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层视角" sheetId="1" state="visible" r:id="rId1"/>
    <sheet xmlns:r="http://schemas.openxmlformats.org/officeDocument/2006/relationships" name="销售主管管理视角" sheetId="2" state="visible" r:id="rId2"/>
    <sheet xmlns:r="http://schemas.openxmlformats.org/officeDocument/2006/relationships" name="团队长管理视角" sheetId="3" state="visible" r:id="rId3"/>
    <sheet xmlns:r="http://schemas.openxmlformats.org/officeDocument/2006/relationships" name="客户分配规则" sheetId="4" state="visible" r:id="rId4"/>
    <sheet xmlns:r="http://schemas.openxmlformats.org/officeDocument/2006/relationships" name="周度团队数据-折标+考核0130" sheetId="5" state="visible" r:id="rId5"/>
    <sheet xmlns:r="http://schemas.openxmlformats.org/officeDocument/2006/relationships" name="周度团队数据-折标+考核0206" sheetId="6" state="visible" r:id="rId6"/>
    <sheet xmlns:r="http://schemas.openxmlformats.org/officeDocument/2006/relationships" name="周度团队数据-折标+考核0306" sheetId="7" state="visible" r:id="rId7"/>
    <sheet xmlns:r="http://schemas.openxmlformats.org/officeDocument/2006/relationships" name="周度团队数据-折标+考核0313" sheetId="8" state="visible" r:id="rId8"/>
    <sheet xmlns:r="http://schemas.openxmlformats.org/officeDocument/2006/relationships" name="周度团队数据-折标+考核0320" sheetId="9" state="visible" r:id="rId9"/>
    <sheet xmlns:r="http://schemas.openxmlformats.org/officeDocument/2006/relationships" name="周度团队数据-折标+考核0327" sheetId="10" state="visible" r:id="rId10"/>
    <sheet xmlns:r="http://schemas.openxmlformats.org/officeDocument/2006/relationships" name="周度团队数据-折标+考核0402" sheetId="11" state="visible" r:id="rId11"/>
    <sheet xmlns:r="http://schemas.openxmlformats.org/officeDocument/2006/relationships" name="周度团队数据-折标+考核0410" sheetId="12" state="visible" r:id="rId12"/>
    <sheet xmlns:r="http://schemas.openxmlformats.org/officeDocument/2006/relationships" name="周度团队数据-折标+考核0417" sheetId="13" state="visible" r:id="rId13"/>
    <sheet xmlns:r="http://schemas.openxmlformats.org/officeDocument/2006/relationships" name="周度团队数据-折标+考核0424" sheetId="14" state="visible" r:id="rId14"/>
    <sheet xmlns:r="http://schemas.openxmlformats.org/officeDocument/2006/relationships" name="周度团队数据-折标+考核0508" sheetId="15" state="visible" r:id="rId15"/>
    <sheet xmlns:r="http://schemas.openxmlformats.org/officeDocument/2006/relationships" name="周度团队数据-折标+考核0515" sheetId="16" state="visible" r:id="rId16"/>
    <sheet xmlns:r="http://schemas.openxmlformats.org/officeDocument/2006/relationships" name="周度团队数据-折标+考核0522" sheetId="17" state="visible" r:id="rId17"/>
    <sheet xmlns:r="http://schemas.openxmlformats.org/officeDocument/2006/relationships" name="周度团队数据-折标+考核0529" sheetId="18" state="visible" r:id="rId18"/>
    <sheet xmlns:r="http://schemas.openxmlformats.org/officeDocument/2006/relationships" name="周度团队数据-折标+考核0605" sheetId="19" state="visible" r:id="rId19"/>
    <sheet xmlns:r="http://schemas.openxmlformats.org/officeDocument/2006/relationships" name="周度团队数据-折标+考核0612" sheetId="20" state="visible" r:id="rId20"/>
    <sheet xmlns:r="http://schemas.openxmlformats.org/officeDocument/2006/relationships" name="周度团队数据-折标+考核0618" sheetId="21" state="visible" r:id="rId21"/>
    <sheet xmlns:r="http://schemas.openxmlformats.org/officeDocument/2006/relationships" name="周度团队数据-折标+考核0626" sheetId="22" state="visible" r:id="rId22"/>
    <sheet xmlns:r="http://schemas.openxmlformats.org/officeDocument/2006/relationships" name="周度团队数据-折标+考核0703" sheetId="23" state="visible" r:id="rId23"/>
    <sheet xmlns:r="http://schemas.openxmlformats.org/officeDocument/2006/relationships" name="周度团队数据-折标+考核0710" sheetId="24" state="visible" r:id="rId24"/>
    <sheet xmlns:r="http://schemas.openxmlformats.org/officeDocument/2006/relationships" name="周度团队数据-折标+考核0717" sheetId="25" state="visible" r:id="rId25"/>
    <sheet xmlns:r="http://schemas.openxmlformats.org/officeDocument/2006/relationships" name="周度团队数据-折标+考核0724" sheetId="26" state="visible" r:id="rId26"/>
    <sheet xmlns:r="http://schemas.openxmlformats.org/officeDocument/2006/relationships" name="周度团队数据-折标+考核0731" sheetId="27" state="visible" r:id="rId27"/>
    <sheet xmlns:r="http://schemas.openxmlformats.org/officeDocument/2006/relationships" name="周度团队数据-折标+考核0807" sheetId="28" state="visible" r:id="rId28"/>
    <sheet xmlns:r="http://schemas.openxmlformats.org/officeDocument/2006/relationships" name="周度团队数据-折标+考核0814" sheetId="29" state="visible" r:id="rId29"/>
    <sheet xmlns:r="http://schemas.openxmlformats.org/officeDocument/2006/relationships" name="周度团队数据-折标+考核0821" sheetId="30" state="visible" r:id="rId30"/>
    <sheet xmlns:r="http://schemas.openxmlformats.org/officeDocument/2006/relationships" name="周度团队数据-折标+考核0828" sheetId="31" state="visible" r:id="rId31"/>
    <sheet xmlns:r="http://schemas.openxmlformats.org/officeDocument/2006/relationships" name="周度团队数据-折标+考核0904" sheetId="32" state="visible" r:id="rId32"/>
    <sheet xmlns:r="http://schemas.openxmlformats.org/officeDocument/2006/relationships" name="周度团队数据-折标+考核0918" sheetId="33" state="visible" r:id="rId33"/>
    <sheet xmlns:r="http://schemas.openxmlformats.org/officeDocument/2006/relationships" name="周度团队数据-保险" sheetId="34" state="visible" r:id="rId34"/>
    <sheet xmlns:r="http://schemas.openxmlformats.org/officeDocument/2006/relationships" name="周度团队数据-开单情况" sheetId="35" state="visible" r:id="rId35"/>
    <sheet xmlns:r="http://schemas.openxmlformats.org/officeDocument/2006/relationships" name="周度团队数据-累计开户" sheetId="36" state="visible" r:id="rId36"/>
    <sheet xmlns:r="http://schemas.openxmlformats.org/officeDocument/2006/relationships" name="周度团队数据-累计出入金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[$-F400]h:mm:ss\ AM/PM"/>
    <numFmt numFmtId="165" formatCode="0_ "/>
    <numFmt numFmtId="166" formatCode="0.00_);[Red]\(0.00\)"/>
    <numFmt numFmtId="167" formatCode="yyyy/mm/dd"/>
    <numFmt numFmtId="168" formatCode="_ * #,##0.00_ ;_ * \-#,##0.00_ ;_ * &quot;-&quot;??_ ;_ @_ "/>
    <numFmt numFmtId="169" formatCode="0_);[Red]\(0\)"/>
    <numFmt numFmtId="170" formatCode="yyyy/m/d;@"/>
    <numFmt numFmtId="171" formatCode="0.00_ "/>
    <numFmt numFmtId="172" formatCode="0.00_);[Red](0.00)"/>
    <numFmt numFmtId="173" formatCode="_ \¥* #,##0.00_ ;_ \¥* -#,##0.00_ ;_ \¥* &quot;-&quot;??_ ;_ @_ "/>
    <numFmt numFmtId="174" formatCode="_ * #,##0_ ;_ * -#,##0_ ;_ * &quot;-&quot;_ ;_ @_ "/>
    <numFmt numFmtId="175" formatCode="_ \¥* #,##0_ ;_ \¥* -#,##0_ ;_ \¥* &quot;-&quot;_ ;_ @_ "/>
    <numFmt numFmtId="176" formatCode="_ * #,##0.00_ ;_ * -#,##0.00_ ;_ * &quot;-&quot;??_ ;_ @_ "/>
  </numFmts>
  <fonts count="50">
    <font>
      <name val="等线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等线"/>
      <charset val="134"/>
      <color theme="1"/>
      <sz val="18"/>
      <scheme val="minor"/>
    </font>
    <font>
      <name val="等线"/>
      <charset val="134"/>
      <color rgb="FFFF0000"/>
      <sz val="11"/>
      <scheme val="minor"/>
    </font>
    <font>
      <name val="微软雅黑"/>
      <charset val="134"/>
      <b val="1"/>
      <color theme="1"/>
      <sz val="9"/>
    </font>
    <font>
      <name val="等线"/>
      <charset val="134"/>
      <b val="1"/>
      <color theme="1"/>
      <sz val="11"/>
      <scheme val="minor"/>
    </font>
    <font>
      <name val="宋体"/>
      <charset val="134"/>
      <b val="1"/>
      <color rgb="FF000000"/>
      <sz val="16"/>
    </font>
    <font>
      <name val="宋体"/>
      <charset val="134"/>
      <b val="1"/>
      <color theme="1"/>
      <sz val="12"/>
    </font>
    <font>
      <name val="宋体"/>
      <charset val="134"/>
      <b val="1"/>
      <color theme="1"/>
      <sz val="11"/>
    </font>
    <font>
      <name val="宋体"/>
      <charset val="134"/>
      <b val="1"/>
      <sz val="10"/>
    </font>
    <font>
      <name val="宋体"/>
      <charset val="134"/>
      <b val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theme="0"/>
      <sz val="10"/>
    </font>
    <font>
      <name val="微软雅黑"/>
      <charset val="134"/>
      <color theme="1"/>
      <sz val="9"/>
    </font>
    <font>
      <name val="等线"/>
      <charset val="134"/>
      <color theme="1"/>
      <sz val="11"/>
      <u val="single"/>
      <scheme val="minor"/>
    </font>
    <font>
      <name val="等线"/>
      <color theme="1"/>
      <sz val="11"/>
    </font>
    <font>
      <name val="宋体"/>
      <b val="1"/>
      <sz val="10"/>
    </font>
    <font>
      <name val="宋体"/>
      <b val="1"/>
      <color rgb="FF000000"/>
      <sz val="10"/>
    </font>
    <font>
      <name val="宋体"/>
      <charset val="134"/>
      <b val="1"/>
      <color rgb="FFFFFFFF"/>
      <sz val="10"/>
    </font>
    <font>
      <name val="等线"/>
      <charset val="134"/>
      <color theme="1"/>
      <sz val="11"/>
      <scheme val="minor"/>
    </font>
    <font>
      <name val="宋体"/>
      <b val="1"/>
      <sz val="11"/>
    </font>
    <font>
      <name val="宋体"/>
      <b val="1"/>
      <color theme="1"/>
      <sz val="11"/>
    </font>
    <font>
      <name val="宋体"/>
      <charset val="134"/>
      <sz val="10"/>
    </font>
    <font>
      <name val="宋体"/>
      <charset val="134"/>
      <sz val="11"/>
    </font>
    <font>
      <color rgb="FF006100"/>
    </font>
    <font>
      <color auto="1"/>
    </font>
    <font/>
    <font>
      <color rgb="FF9C0006"/>
    </font>
    <font>
      <color rgb="FF9C650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  <font>
      <name val="等线"/>
      <charset val="0"/>
      <color rgb="FF9C65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FA7D00"/>
      <sz val="11"/>
      <scheme val="minor"/>
    </font>
  </fonts>
  <fills count="50">
    <fill>
      <patternFill/>
    </fill>
    <fill>
      <patternFill patternType="gray125"/>
    </fill>
    <fill>
      <patternFill patternType="solid">
        <fgColor theme="4" tint="0.7999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 tint="0.39915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9" tint="0.399152"/>
        <bgColor indexed="64"/>
      </patternFill>
    </fill>
    <fill>
      <patternFill patternType="solid">
        <fgColor rgb="FFEF630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/>
    </fill>
    <fill>
      <patternFill patternType="solid">
        <fgColor rgb="FFE6E6FA"/>
      </patternFill>
    </fill>
    <fill>
      <patternFill patternType="solid">
        <fgColor theme="9" tint="0.799982"/>
        <bgColor indexed="64"/>
      </patternFill>
    </fill>
    <fill>
      <patternFill patternType="solid">
        <bgColor rgb="FFC6EFCE"/>
      </patternFill>
    </fill>
    <fill>
      <patternFill patternType="solid">
        <bgColor theme="7" tint="0.799524"/>
      </patternFill>
    </fill>
    <fill>
      <patternFill patternType="solid">
        <bgColor rgb="FFFFC7CE"/>
      </patternFill>
    </fill>
    <fill>
      <patternFill patternType="solid">
        <bgColor rgb="FFFFEB9C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medium"/>
    </border>
    <border>
      <left style="thin"/>
      <right style="thin"/>
      <top/>
      <bottom/>
      <diagonal/>
    </border>
    <border>
      <left style="thin"/>
      <right style="thin"/>
      <top style="thin"/>
      <bottom style="thin"/>
    </border>
    <border>
      <left style="thin"/>
      <right style="thin"/>
      <top/>
      <bottom style="medium"/>
      <diagonal/>
    </border>
    <border>
      <left style="thin"/>
      <right style="thin"/>
      <top style="medium"/>
      <bottom style="medium"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medium">
        <color auto="1"/>
      </left>
      <right style="thin">
        <color auto="1"/>
      </right>
      <top style="medium"/>
      <bottom style="medium">
        <color auto="1"/>
      </bottom>
    </border>
    <border>
      <left/>
      <right/>
      <top style="medium"/>
      <bottom style="medium">
        <color auto="1"/>
      </bottom>
      <diagonal/>
    </border>
    <border>
      <left/>
      <right style="thin">
        <color auto="1"/>
      </right>
      <top style="medium"/>
      <bottom style="medium">
        <color auto="1"/>
      </bottom>
      <diagonal/>
    </border>
    <border>
      <left style="thin">
        <color auto="1"/>
      </left>
      <right style="thin">
        <color auto="1"/>
      </right>
      <top style="medium"/>
      <bottom style="medium"/>
    </border>
    <border>
      <left style="medium">
        <color auto="1"/>
      </left>
      <right style="medium">
        <color auto="1"/>
      </right>
      <top style="medium"/>
      <bottom style="medium"/>
    </border>
    <border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  <border>
      <left style="medium">
        <color auto="1"/>
      </left>
      <right style="thin">
        <color auto="1"/>
      </right>
      <top style="medium"/>
      <bottom style="medium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/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/>
      <bottom/>
      <diagonal/>
    </border>
    <border>
      <left/>
      <right style="thin">
        <color auto="1"/>
      </right>
      <top style="medium"/>
      <bottom/>
      <diagonal/>
    </border>
    <border>
      <left style="thin"/>
      <right/>
      <top/>
      <bottom/>
      <diagonal/>
    </border>
    <border>
      <left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50">
    <xf numFmtId="0" fontId="20" fillId="17" borderId="79"/>
    <xf numFmtId="0" fontId="30" fillId="24" borderId="79" applyAlignment="1">
      <alignment vertical="center"/>
    </xf>
    <xf numFmtId="0" fontId="31" fillId="25" borderId="79" applyAlignment="1">
      <alignment vertical="center"/>
    </xf>
    <xf numFmtId="0" fontId="30" fillId="26" borderId="79" applyAlignment="1">
      <alignment vertical="center"/>
    </xf>
    <xf numFmtId="9" fontId="20" fillId="17" borderId="79"/>
    <xf numFmtId="0" fontId="31" fillId="7" borderId="79" applyAlignment="1">
      <alignment vertical="center"/>
    </xf>
    <xf numFmtId="173" fontId="20" fillId="17" borderId="79" applyAlignment="1">
      <alignment vertical="center"/>
    </xf>
    <xf numFmtId="0" fontId="30" fillId="27" borderId="79" applyAlignment="1">
      <alignment vertical="center"/>
    </xf>
    <xf numFmtId="0" fontId="30" fillId="28" borderId="79" applyAlignment="1">
      <alignment vertical="center"/>
    </xf>
    <xf numFmtId="0" fontId="31" fillId="8" borderId="79" applyAlignment="1">
      <alignment vertical="center"/>
    </xf>
    <xf numFmtId="0" fontId="30" fillId="29" borderId="79" applyAlignment="1">
      <alignment vertical="center"/>
    </xf>
    <xf numFmtId="0" fontId="31" fillId="30" borderId="79" applyAlignment="1">
      <alignment vertical="center"/>
    </xf>
    <xf numFmtId="0" fontId="30" fillId="31" borderId="79" applyAlignment="1">
      <alignment vertical="center"/>
    </xf>
    <xf numFmtId="0" fontId="30" fillId="32" borderId="79" applyAlignment="1">
      <alignment vertical="center"/>
    </xf>
    <xf numFmtId="0" fontId="31" fillId="33" borderId="79" applyAlignment="1">
      <alignment vertical="center"/>
    </xf>
    <xf numFmtId="0" fontId="31" fillId="34" borderId="79" applyAlignment="1">
      <alignment vertical="center"/>
    </xf>
    <xf numFmtId="0" fontId="30" fillId="35" borderId="79" applyAlignment="1">
      <alignment vertical="center"/>
    </xf>
    <xf numFmtId="0" fontId="20" fillId="36" borderId="79"/>
    <xf numFmtId="0" fontId="31" fillId="37" borderId="79" applyAlignment="1">
      <alignment vertical="center"/>
    </xf>
    <xf numFmtId="0" fontId="31" fillId="38" borderId="79" applyAlignment="1">
      <alignment vertical="center"/>
    </xf>
    <xf numFmtId="0" fontId="30" fillId="39" borderId="79" applyAlignment="1">
      <alignment vertical="center"/>
    </xf>
    <xf numFmtId="0" fontId="30" fillId="40" borderId="79" applyAlignment="1">
      <alignment vertical="center"/>
    </xf>
    <xf numFmtId="0" fontId="31" fillId="41" borderId="79" applyAlignment="1">
      <alignment vertical="center"/>
    </xf>
    <xf numFmtId="164" fontId="32" fillId="17" borderId="79"/>
    <xf numFmtId="0" fontId="31" fillId="2" borderId="79" applyAlignment="1">
      <alignment vertical="center"/>
    </xf>
    <xf numFmtId="0" fontId="30" fillId="42" borderId="79" applyAlignment="1">
      <alignment vertical="center"/>
    </xf>
    <xf numFmtId="0" fontId="33" fillId="43" borderId="79" applyAlignment="1">
      <alignment vertical="center"/>
    </xf>
    <xf numFmtId="0" fontId="34" fillId="44" borderId="79" applyAlignment="1">
      <alignment vertical="center"/>
    </xf>
    <xf numFmtId="0" fontId="35" fillId="17" borderId="81" applyAlignment="1">
      <alignment vertical="center"/>
    </xf>
    <xf numFmtId="0" fontId="36" fillId="45" borderId="82" applyAlignment="1">
      <alignment vertical="center"/>
    </xf>
    <xf numFmtId="0" fontId="37" fillId="45" borderId="83" applyAlignment="1">
      <alignment vertical="center"/>
    </xf>
    <xf numFmtId="0" fontId="38" fillId="46" borderId="82" applyAlignment="1">
      <alignment vertical="center"/>
    </xf>
    <xf numFmtId="0" fontId="39" fillId="17" borderId="79" applyAlignment="1">
      <alignment vertical="center"/>
    </xf>
    <xf numFmtId="0" fontId="39" fillId="17" borderId="84" applyAlignment="1">
      <alignment vertical="center"/>
    </xf>
    <xf numFmtId="0" fontId="40" fillId="17" borderId="85" applyAlignment="1">
      <alignment vertical="center"/>
    </xf>
    <xf numFmtId="0" fontId="41" fillId="17" borderId="85" applyAlignment="1">
      <alignment vertical="center"/>
    </xf>
    <xf numFmtId="0" fontId="20" fillId="47" borderId="86" applyAlignment="1">
      <alignment vertical="center"/>
    </xf>
    <xf numFmtId="0" fontId="42" fillId="17" borderId="79" applyAlignment="1">
      <alignment vertical="center"/>
    </xf>
    <xf numFmtId="0" fontId="43" fillId="17" borderId="79" applyAlignment="1">
      <alignment vertical="center"/>
    </xf>
    <xf numFmtId="174" fontId="20" fillId="17" borderId="79" applyAlignment="1">
      <alignment vertical="center"/>
    </xf>
    <xf numFmtId="0" fontId="44" fillId="17" borderId="79" applyAlignment="1">
      <alignment vertical="center"/>
    </xf>
    <xf numFmtId="175" fontId="20" fillId="17" borderId="79" applyAlignment="1">
      <alignment vertical="center"/>
    </xf>
    <xf numFmtId="0" fontId="45" fillId="17" borderId="79" applyAlignment="1">
      <alignment vertical="center"/>
    </xf>
    <xf numFmtId="0" fontId="31" fillId="19" borderId="79" applyAlignment="1">
      <alignment vertical="center"/>
    </xf>
    <xf numFmtId="176" fontId="20" fillId="17" borderId="79"/>
    <xf numFmtId="0" fontId="46" fillId="48" borderId="79" applyAlignment="1">
      <alignment vertical="center"/>
    </xf>
    <xf numFmtId="0" fontId="47" fillId="49" borderId="87" applyAlignment="1">
      <alignment vertical="center"/>
    </xf>
    <xf numFmtId="0" fontId="31" fillId="10" borderId="79" applyAlignment="1">
      <alignment vertical="center"/>
    </xf>
    <xf numFmtId="0" fontId="48" fillId="17" borderId="79" applyAlignment="1">
      <alignment vertical="center"/>
    </xf>
    <xf numFmtId="0" fontId="49" fillId="17" borderId="88" applyAlignment="1">
      <alignment vertical="center"/>
    </xf>
  </cellStyleXfs>
  <cellXfs count="8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0" fillId="17" borderId="1" pivotButton="0" quotePrefix="0" xfId="0"/>
    <xf numFmtId="0" fontId="3" fillId="2" borderId="1" applyAlignment="1" pivotButton="0" quotePrefix="0" xfId="0">
      <alignment vertical="center"/>
    </xf>
    <xf numFmtId="0" fontId="3" fillId="3" borderId="79" applyAlignment="1" pivotButton="0" quotePrefix="0" xfId="0">
      <alignment horizontal="center" vertical="center"/>
    </xf>
    <xf numFmtId="0" fontId="20" fillId="4" borderId="2" pivotButton="0" quotePrefix="0" xfId="0"/>
    <xf numFmtId="0" fontId="20" fillId="4" borderId="3" applyAlignment="1" pivotButton="0" quotePrefix="0" xfId="0">
      <alignment horizontal="center"/>
    </xf>
    <xf numFmtId="0" fontId="20" fillId="4" borderId="79" applyAlignment="1" pivotButton="0" quotePrefix="0" xfId="0">
      <alignment horizontal="center"/>
    </xf>
    <xf numFmtId="0" fontId="20" fillId="17" borderId="79" applyAlignment="1" pivotButton="0" quotePrefix="0" xfId="0">
      <alignment horizontal="center"/>
    </xf>
    <xf numFmtId="0" fontId="20" fillId="4" borderId="4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20" fillId="17" borderId="5" pivotButton="0" quotePrefix="0" xfId="0"/>
    <xf numFmtId="0" fontId="20" fillId="17" borderId="6" pivotButton="0" quotePrefix="0" xfId="0"/>
    <xf numFmtId="0" fontId="20" fillId="17" borderId="2" pivotButton="0" quotePrefix="0" xfId="0"/>
    <xf numFmtId="0" fontId="20" fillId="17" borderId="2" applyAlignment="1" pivotButton="0" quotePrefix="0" xfId="0">
      <alignment horizontal="center"/>
    </xf>
    <xf numFmtId="0" fontId="20" fillId="17" borderId="2" applyAlignment="1" pivotButton="0" quotePrefix="0" xfId="0">
      <alignment horizontal="center" vertical="center"/>
    </xf>
    <xf numFmtId="0" fontId="20" fillId="17" borderId="2" applyAlignment="1" pivotButton="0" quotePrefix="0" xfId="0">
      <alignment horizontal="center" wrapText="1"/>
    </xf>
    <xf numFmtId="0" fontId="20" fillId="17" borderId="7" pivotButton="0" quotePrefix="0" xfId="0"/>
    <xf numFmtId="0" fontId="20" fillId="17" borderId="8" pivotButton="0" quotePrefix="0" xfId="0"/>
    <xf numFmtId="0" fontId="4" fillId="17" borderId="2" pivotButton="0" quotePrefix="0" xfId="0"/>
    <xf numFmtId="0" fontId="20" fillId="17" borderId="2" applyAlignment="1" pivotButton="0" quotePrefix="0" xfId="0">
      <alignment horizontal="left" vertical="top"/>
    </xf>
    <xf numFmtId="0" fontId="20" fillId="17" borderId="2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/>
    </xf>
    <xf numFmtId="0" fontId="6" fillId="7" borderId="2" applyAlignment="1" pivotButton="0" quotePrefix="0" xfId="17">
      <alignment horizontal="center" vertical="center" wrapText="1"/>
    </xf>
    <xf numFmtId="0" fontId="20" fillId="5" borderId="2" applyAlignment="1" pivotButton="0" quotePrefix="0" xfId="0">
      <alignment horizontal="center"/>
    </xf>
    <xf numFmtId="0" fontId="20" fillId="4" borderId="9" applyAlignment="1" pivotButton="0" quotePrefix="0" xfId="0">
      <alignment horizontal="center"/>
    </xf>
    <xf numFmtId="0" fontId="20" fillId="17" borderId="10" applyAlignment="1" pivotButton="0" quotePrefix="0" xfId="0">
      <alignment horizontal="center" vertical="center"/>
    </xf>
    <xf numFmtId="0" fontId="20" fillId="17" borderId="10" applyAlignment="1" pivotButton="0" quotePrefix="0" xfId="0">
      <alignment horizontal="center" vertical="center" wrapText="1"/>
    </xf>
    <xf numFmtId="0" fontId="20" fillId="17" borderId="11" pivotButton="0" quotePrefix="0" xfId="0"/>
    <xf numFmtId="0" fontId="20" fillId="17" borderId="1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/>
    </xf>
    <xf numFmtId="0" fontId="20" fillId="17" borderId="12" pivotButton="0" quotePrefix="0" xfId="0"/>
    <xf numFmtId="0" fontId="20" fillId="8" borderId="13" applyAlignment="1" pivotButton="0" quotePrefix="0" xfId="0">
      <alignment horizontal="center"/>
    </xf>
    <xf numFmtId="0" fontId="20" fillId="17" borderId="14" pivotButton="0" quotePrefix="0" xfId="0"/>
    <xf numFmtId="0" fontId="20" fillId="17" borderId="15" pivotButton="0" quotePrefix="0" xfId="0"/>
    <xf numFmtId="0" fontId="20" fillId="8" borderId="16" pivotButton="0" quotePrefix="0" xfId="0"/>
    <xf numFmtId="0" fontId="20" fillId="8" borderId="17" applyAlignment="1" pivotButton="0" quotePrefix="0" xfId="0">
      <alignment horizontal="center"/>
    </xf>
    <xf numFmtId="0" fontId="20" fillId="8" borderId="17" pivotButton="0" quotePrefix="0" xfId="0"/>
    <xf numFmtId="0" fontId="20" fillId="8" borderId="18" pivotButton="0" quotePrefix="0" xfId="0"/>
    <xf numFmtId="0" fontId="20" fillId="17" borderId="17" applyAlignment="1" pivotButton="0" quotePrefix="0" xfId="0">
      <alignment horizontal="center" vertical="center"/>
    </xf>
    <xf numFmtId="0" fontId="20" fillId="17" borderId="17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center" vertical="center"/>
    </xf>
    <xf numFmtId="0" fontId="20" fillId="17" borderId="19" pivotButton="0" quotePrefix="0" xfId="0"/>
    <xf numFmtId="0" fontId="20" fillId="17" borderId="20" pivotButton="0" quotePrefix="0" xfId="0"/>
    <xf numFmtId="0" fontId="20" fillId="17" borderId="4" pivotButton="0" quotePrefix="0" xfId="0"/>
    <xf numFmtId="0" fontId="20" fillId="4" borderId="8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0" fillId="4" borderId="9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20" fillId="8" borderId="16" applyAlignment="1" pivotButton="0" quotePrefix="0" xfId="0">
      <alignment horizontal="center" vertical="center"/>
    </xf>
    <xf numFmtId="0" fontId="20" fillId="8" borderId="17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20" fillId="17" borderId="79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20" fillId="17" borderId="2" applyAlignment="1" pivotButton="0" quotePrefix="0" xfId="0">
      <alignment horizontal="left" vertical="center"/>
    </xf>
    <xf numFmtId="0" fontId="20" fillId="17" borderId="2" applyAlignment="1" pivotButton="0" quotePrefix="0" xfId="0">
      <alignment vertical="center"/>
    </xf>
    <xf numFmtId="0" fontId="20" fillId="17" borderId="2" applyAlignment="1" pivotButton="0" quotePrefix="0" xfId="0">
      <alignment horizontal="left" vertical="center" wrapText="1"/>
    </xf>
    <xf numFmtId="0" fontId="20" fillId="17" borderId="2" applyAlignment="1" pivotButton="0" quotePrefix="0" xfId="0">
      <alignment vertical="center" wrapText="1"/>
    </xf>
    <xf numFmtId="164" fontId="7" fillId="17" borderId="1" applyAlignment="1" pivotButton="0" quotePrefix="0" xfId="0">
      <alignment horizontal="center" vertical="center"/>
    </xf>
    <xf numFmtId="164" fontId="8" fillId="17" borderId="79" applyAlignment="1" pivotButton="0" quotePrefix="0" xfId="0">
      <alignment horizontal="center" vertical="center"/>
    </xf>
    <xf numFmtId="10" fontId="9" fillId="17" borderId="79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164" fontId="10" fillId="5" borderId="2" applyAlignment="1" pivotButton="0" quotePrefix="0" xfId="0">
      <alignment horizontal="center" vertical="center" wrapText="1"/>
    </xf>
    <xf numFmtId="164" fontId="12" fillId="9" borderId="2" applyAlignment="1" pivotButton="0" quotePrefix="0" xfId="0">
      <alignment horizontal="center" vertical="center" wrapText="1"/>
    </xf>
    <xf numFmtId="165" fontId="12" fillId="10" borderId="2" applyAlignment="1" pivotButton="0" quotePrefix="0" xfId="0">
      <alignment horizontal="center" vertical="center" wrapText="1"/>
    </xf>
    <xf numFmtId="164" fontId="10" fillId="11" borderId="2" applyAlignment="1" pivotButton="0" quotePrefix="0" xfId="0">
      <alignment horizontal="center" vertical="center" wrapText="1"/>
    </xf>
    <xf numFmtId="166" fontId="10" fillId="9" borderId="2" applyAlignment="1" pivotButton="0" quotePrefix="0" xfId="0">
      <alignment horizontal="center" vertical="center" wrapText="1"/>
    </xf>
    <xf numFmtId="164" fontId="13" fillId="12" borderId="2" applyAlignment="1" pivotButton="0" quotePrefix="0" xfId="0">
      <alignment horizontal="center" vertical="center" wrapText="1"/>
    </xf>
    <xf numFmtId="10" fontId="13" fillId="12" borderId="2" applyAlignment="1" pivotButton="0" quotePrefix="0" xfId="0">
      <alignment horizontal="center" vertical="center" wrapText="1"/>
    </xf>
    <xf numFmtId="164" fontId="9" fillId="17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167" fontId="20" fillId="17" borderId="2" pivotButton="0" quotePrefix="0" xfId="0"/>
    <xf numFmtId="0" fontId="14" fillId="13" borderId="2" applyAlignment="1" pivotButton="0" quotePrefix="0" xfId="4">
      <alignment horizontal="center" vertical="center"/>
    </xf>
    <xf numFmtId="168" fontId="14" fillId="13" borderId="2" applyAlignment="1" pivotButton="0" quotePrefix="0" xfId="44">
      <alignment horizontal="center" vertical="center"/>
    </xf>
    <xf numFmtId="4" fontId="14" fillId="13" borderId="2" applyAlignment="1" pivotButton="0" quotePrefix="0" xfId="0">
      <alignment horizontal="center" vertical="center"/>
    </xf>
    <xf numFmtId="4" fontId="20" fillId="17" borderId="2" pivotButton="0" quotePrefix="0" xfId="0"/>
    <xf numFmtId="165" fontId="11" fillId="17" borderId="2" applyAlignment="1" pivotButton="0" quotePrefix="0" xfId="23">
      <alignment horizontal="center" vertical="center" wrapText="1"/>
    </xf>
    <xf numFmtId="9" fontId="11" fillId="17" borderId="2" applyAlignment="1" pivotButton="0" quotePrefix="0" xfId="23">
      <alignment horizontal="center" vertical="center" wrapText="1"/>
    </xf>
    <xf numFmtId="166" fontId="11" fillId="17" borderId="2" applyAlignment="1" pivotButton="0" quotePrefix="0" xfId="23">
      <alignment horizontal="center" vertical="center" wrapText="1"/>
    </xf>
    <xf numFmtId="169" fontId="9" fillId="17" borderId="2" applyAlignment="1" pivotButton="0" quotePrefix="0" xfId="0">
      <alignment horizontal="center" vertical="center"/>
    </xf>
    <xf numFmtId="10" fontId="11" fillId="17" borderId="2" applyAlignment="1" pivotButton="0" quotePrefix="0" xfId="23">
      <alignment horizontal="center" vertical="center" wrapText="1"/>
    </xf>
    <xf numFmtId="169" fontId="11" fillId="17" borderId="2" applyAlignment="1" pivotButton="0" quotePrefix="0" xfId="23">
      <alignment horizontal="center" vertical="center" wrapText="1"/>
    </xf>
    <xf numFmtId="0" fontId="9" fillId="17" borderId="79" applyAlignment="1" pivotButton="0" quotePrefix="0" xfId="0">
      <alignment horizontal="center" vertical="center"/>
    </xf>
    <xf numFmtId="14" fontId="9" fillId="17" borderId="79" applyAlignment="1" pivotButton="0" quotePrefix="0" xfId="0">
      <alignment horizontal="center" vertical="center"/>
    </xf>
    <xf numFmtId="170" fontId="9" fillId="17" borderId="79" applyAlignment="1" pivotButton="0" quotePrefix="0" xfId="0">
      <alignment horizontal="center" vertical="center"/>
    </xf>
    <xf numFmtId="0" fontId="14" fillId="13" borderId="12" applyAlignment="1" pivotButton="0" quotePrefix="0" xfId="0">
      <alignment horizontal="center" vertical="center"/>
    </xf>
    <xf numFmtId="167" fontId="20" fillId="17" borderId="12" pivotButton="0" quotePrefix="0" xfId="0"/>
    <xf numFmtId="0" fontId="14" fillId="13" borderId="12" applyAlignment="1" pivotButton="0" quotePrefix="0" xfId="4">
      <alignment horizontal="center" vertical="center"/>
    </xf>
    <xf numFmtId="168" fontId="14" fillId="13" borderId="12" applyAlignment="1" pivotButton="0" quotePrefix="0" xfId="44">
      <alignment horizontal="center" vertical="center"/>
    </xf>
    <xf numFmtId="4" fontId="14" fillId="13" borderId="12" applyAlignment="1" pivotButton="0" quotePrefix="0" xfId="0">
      <alignment horizontal="center" vertical="center"/>
    </xf>
    <xf numFmtId="4" fontId="20" fillId="17" borderId="12" pivotButton="0" quotePrefix="0" xfId="0"/>
    <xf numFmtId="165" fontId="11" fillId="17" borderId="12" applyAlignment="1" pivotButton="0" quotePrefix="0" xfId="23">
      <alignment horizontal="center" vertical="center" wrapText="1"/>
    </xf>
    <xf numFmtId="9" fontId="11" fillId="17" borderId="12" applyAlignment="1" pivotButton="0" quotePrefix="0" xfId="23">
      <alignment horizontal="center" vertical="center" wrapText="1"/>
    </xf>
    <xf numFmtId="166" fontId="11" fillId="17" borderId="12" applyAlignment="1" pivotButton="0" quotePrefix="0" xfId="23">
      <alignment horizontal="center" vertical="center" wrapText="1"/>
    </xf>
    <xf numFmtId="164" fontId="9" fillId="8" borderId="21" applyAlignment="1" pivotButton="0" quotePrefix="0" xfId="0">
      <alignment horizontal="center" vertical="center"/>
    </xf>
    <xf numFmtId="0" fontId="20" fillId="17" borderId="16" pivotButton="0" quotePrefix="0" xfId="0"/>
    <xf numFmtId="165" fontId="9" fillId="8" borderId="22" applyAlignment="1" pivotButton="0" quotePrefix="0" xfId="0">
      <alignment horizontal="center" vertical="center"/>
    </xf>
    <xf numFmtId="165" fontId="9" fillId="8" borderId="23" applyAlignment="1" pivotButton="0" quotePrefix="0" xfId="0">
      <alignment horizontal="center" vertical="center"/>
    </xf>
    <xf numFmtId="9" fontId="11" fillId="8" borderId="23" applyAlignment="1" pivotButton="0" quotePrefix="0" xfId="23">
      <alignment horizontal="center" vertical="center" wrapText="1"/>
    </xf>
    <xf numFmtId="166" fontId="11" fillId="8" borderId="23" applyAlignment="1" pivotButton="0" quotePrefix="0" xfId="23">
      <alignment horizontal="center" vertical="center" wrapText="1"/>
    </xf>
    <xf numFmtId="10" fontId="9" fillId="8" borderId="24" applyAlignment="1" pivotButton="0" quotePrefix="0" xfId="0">
      <alignment horizontal="center" vertical="center"/>
    </xf>
    <xf numFmtId="171" fontId="9" fillId="8" borderId="17" applyAlignment="1" pivotButton="0" quotePrefix="0" xfId="0">
      <alignment horizontal="center" vertical="center"/>
    </xf>
    <xf numFmtId="0" fontId="6" fillId="17" borderId="8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167" fontId="20" fillId="17" borderId="8" pivotButton="0" quotePrefix="0" xfId="0"/>
    <xf numFmtId="0" fontId="14" fillId="13" borderId="8" applyAlignment="1" pivotButton="0" quotePrefix="0" xfId="4">
      <alignment horizontal="center" vertical="center"/>
    </xf>
    <xf numFmtId="168" fontId="14" fillId="13" borderId="8" applyAlignment="1" pivotButton="0" quotePrefix="0" xfId="44">
      <alignment horizontal="center" vertical="center"/>
    </xf>
    <xf numFmtId="4" fontId="14" fillId="13" borderId="8" applyAlignment="1" pivotButton="0" quotePrefix="0" xfId="0">
      <alignment horizontal="center" vertical="center"/>
    </xf>
    <xf numFmtId="9" fontId="11" fillId="17" borderId="8" applyAlignment="1" pivotButton="0" quotePrefix="0" xfId="23">
      <alignment horizontal="center" vertical="center" wrapText="1"/>
    </xf>
    <xf numFmtId="166" fontId="11" fillId="17" borderId="8" applyAlignment="1" pivotButton="0" quotePrefix="0" xfId="23">
      <alignment horizontal="center" vertical="center" wrapText="1"/>
    </xf>
    <xf numFmtId="169" fontId="9" fillId="17" borderId="8" applyAlignment="1" pivotButton="0" quotePrefix="0" xfId="0">
      <alignment horizontal="center" vertical="center"/>
    </xf>
    <xf numFmtId="10" fontId="11" fillId="17" borderId="8" applyAlignment="1" pivotButton="0" quotePrefix="0" xfId="23">
      <alignment horizontal="center" vertical="center" wrapText="1"/>
    </xf>
    <xf numFmtId="4" fontId="14" fillId="13" borderId="19" applyAlignment="1" pivotButton="0" quotePrefix="0" xfId="0">
      <alignment horizontal="center" vertical="center"/>
    </xf>
    <xf numFmtId="0" fontId="6" fillId="17" borderId="17" applyAlignment="1" pivotButton="0" quotePrefix="0" xfId="0">
      <alignment horizontal="center" vertical="center"/>
    </xf>
    <xf numFmtId="10" fontId="6" fillId="17" borderId="17" applyAlignment="1" pivotButton="0" quotePrefix="0" xfId="0">
      <alignment horizontal="center" vertical="center"/>
    </xf>
    <xf numFmtId="4" fontId="14" fillId="13" borderId="6" applyAlignment="1" pivotButton="0" quotePrefix="0" xfId="0">
      <alignment horizontal="center" vertical="center"/>
    </xf>
    <xf numFmtId="4" fontId="14" fillId="13" borderId="25" applyAlignment="1" pivotButton="0" quotePrefix="0" xfId="0">
      <alignment horizontal="center" vertical="center"/>
    </xf>
    <xf numFmtId="165" fontId="9" fillId="8" borderId="17" applyAlignment="1" pivotButton="0" quotePrefix="0" xfId="0">
      <alignment horizontal="center" vertical="center"/>
    </xf>
    <xf numFmtId="165" fontId="9" fillId="8" borderId="15" applyAlignment="1" pivotButton="0" quotePrefix="0" xfId="0">
      <alignment horizontal="center" vertical="center"/>
    </xf>
    <xf numFmtId="165" fontId="9" fillId="8" borderId="13" applyAlignment="1" pivotButton="0" quotePrefix="0" xfId="0">
      <alignment horizontal="center" vertical="center"/>
    </xf>
    <xf numFmtId="165" fontId="9" fillId="8" borderId="16" applyAlignment="1" pivotButton="0" quotePrefix="0" xfId="0">
      <alignment horizontal="center" vertical="center"/>
    </xf>
    <xf numFmtId="164" fontId="9" fillId="8" borderId="26" applyAlignment="1" pivotButton="0" quotePrefix="0" xfId="0">
      <alignment horizontal="center" vertical="center"/>
    </xf>
    <xf numFmtId="0" fontId="20" fillId="17" borderId="27" pivotButton="0" quotePrefix="0" xfId="0"/>
    <xf numFmtId="0" fontId="20" fillId="17" borderId="28" pivotButton="0" quotePrefix="0" xfId="0"/>
    <xf numFmtId="165" fontId="9" fillId="8" borderId="29" applyAlignment="1" pivotButton="0" quotePrefix="0" xfId="0">
      <alignment horizontal="center" vertical="center"/>
    </xf>
    <xf numFmtId="165" fontId="9" fillId="8" borderId="30" applyAlignment="1" pivotButton="0" quotePrefix="0" xfId="0">
      <alignment horizontal="center" vertical="center"/>
    </xf>
    <xf numFmtId="165" fontId="9" fillId="8" borderId="31" applyAlignment="1" pivotButton="0" quotePrefix="0" xfId="0">
      <alignment horizontal="center" vertical="center"/>
    </xf>
    <xf numFmtId="0" fontId="6" fillId="17" borderId="32" applyAlignment="1" pivotButton="0" quotePrefix="0" xfId="0">
      <alignment horizontal="center" vertical="center"/>
    </xf>
    <xf numFmtId="0" fontId="14" fillId="13" borderId="33" applyAlignment="1" pivotButton="0" quotePrefix="0" xfId="0">
      <alignment horizontal="center" vertical="center"/>
    </xf>
    <xf numFmtId="167" fontId="20" fillId="17" borderId="33" pivotButton="0" quotePrefix="0" xfId="0"/>
    <xf numFmtId="0" fontId="14" fillId="13" borderId="33" applyAlignment="1" pivotButton="0" quotePrefix="0" xfId="4">
      <alignment horizontal="center" vertical="center"/>
    </xf>
    <xf numFmtId="4" fontId="14" fillId="13" borderId="33" applyAlignment="1" pivotButton="0" quotePrefix="0" xfId="0">
      <alignment horizontal="center" vertical="center"/>
    </xf>
    <xf numFmtId="4" fontId="20" fillId="17" borderId="33" pivotButton="0" quotePrefix="0" xfId="0"/>
    <xf numFmtId="0" fontId="20" fillId="17" borderId="33" pivotButton="0" quotePrefix="0" xfId="0"/>
    <xf numFmtId="9" fontId="11" fillId="17" borderId="33" applyAlignment="1" pivotButton="0" quotePrefix="0" xfId="23">
      <alignment horizontal="center" vertical="center" wrapText="1"/>
    </xf>
    <xf numFmtId="166" fontId="11" fillId="17" borderId="34" applyAlignment="1" pivotButton="0" quotePrefix="0" xfId="23">
      <alignment horizontal="center" vertical="center" wrapText="1"/>
    </xf>
    <xf numFmtId="169" fontId="9" fillId="17" borderId="32" applyAlignment="1" pivotButton="0" quotePrefix="0" xfId="0">
      <alignment horizontal="center" vertical="center"/>
    </xf>
    <xf numFmtId="10" fontId="11" fillId="17" borderId="33" applyAlignment="1" pivotButton="0" quotePrefix="0" xfId="23">
      <alignment horizontal="center" vertical="center" wrapText="1"/>
    </xf>
    <xf numFmtId="169" fontId="9" fillId="17" borderId="35" applyAlignment="1" pivotButton="0" quotePrefix="0" xfId="0">
      <alignment horizontal="center" vertical="center"/>
    </xf>
    <xf numFmtId="0" fontId="20" fillId="17" borderId="36" pivotButton="0" quotePrefix="0" xfId="0"/>
    <xf numFmtId="0" fontId="14" fillId="13" borderId="10" applyAlignment="1" pivotButton="0" quotePrefix="0" xfId="0">
      <alignment horizontal="center" vertical="center"/>
    </xf>
    <xf numFmtId="167" fontId="20" fillId="17" borderId="10" pivotButton="0" quotePrefix="0" xfId="0"/>
    <xf numFmtId="0" fontId="14" fillId="13" borderId="10" applyAlignment="1" pivotButton="0" quotePrefix="0" xfId="4">
      <alignment horizontal="center" vertical="center"/>
    </xf>
    <xf numFmtId="4" fontId="14" fillId="13" borderId="10" applyAlignment="1" pivotButton="0" quotePrefix="0" xfId="0">
      <alignment horizontal="center" vertical="center"/>
    </xf>
    <xf numFmtId="0" fontId="20" fillId="17" borderId="10" pivotButton="0" quotePrefix="0" xfId="0"/>
    <xf numFmtId="9" fontId="11" fillId="17" borderId="10" applyAlignment="1" pivotButton="0" quotePrefix="0" xfId="23">
      <alignment horizontal="center" vertical="center" wrapText="1"/>
    </xf>
    <xf numFmtId="166" fontId="11" fillId="17" borderId="37" applyAlignment="1" pivotButton="0" quotePrefix="0" xfId="23">
      <alignment horizontal="center" vertical="center" wrapText="1"/>
    </xf>
    <xf numFmtId="0" fontId="20" fillId="17" borderId="38" pivotButton="0" quotePrefix="0" xfId="0"/>
    <xf numFmtId="164" fontId="9" fillId="8" borderId="39" applyAlignment="1" pivotButton="0" quotePrefix="0" xfId="0">
      <alignment horizontal="center" vertical="center"/>
    </xf>
    <xf numFmtId="165" fontId="9" fillId="8" borderId="7" applyAlignment="1" pivotButton="0" quotePrefix="0" xfId="0">
      <alignment horizontal="center" vertical="center"/>
    </xf>
    <xf numFmtId="165" fontId="9" fillId="8" borderId="40" applyAlignment="1" pivotButton="0" quotePrefix="0" xfId="0">
      <alignment horizontal="center" vertical="center"/>
    </xf>
    <xf numFmtId="166" fontId="11" fillId="17" borderId="33" applyAlignment="1" pivotButton="0" quotePrefix="0" xfId="23">
      <alignment horizontal="center" vertical="center" wrapText="1"/>
    </xf>
    <xf numFmtId="166" fontId="11" fillId="17" borderId="10" applyAlignment="1" pivotButton="0" quotePrefix="0" xfId="23">
      <alignment horizontal="center" vertical="center" wrapText="1"/>
    </xf>
    <xf numFmtId="164" fontId="9" fillId="8" borderId="41" applyAlignment="1" pivotButton="0" quotePrefix="0" xfId="0">
      <alignment horizontal="center" vertical="center"/>
    </xf>
    <xf numFmtId="0" fontId="20" fillId="17" borderId="42" pivotButton="0" quotePrefix="0" xfId="0"/>
    <xf numFmtId="0" fontId="20" fillId="17" borderId="43" pivotButton="0" quotePrefix="0" xfId="0"/>
    <xf numFmtId="165" fontId="9" fillId="8" borderId="11" applyAlignment="1" pivotButton="0" quotePrefix="0" xfId="0">
      <alignment horizontal="center" vertical="center"/>
    </xf>
    <xf numFmtId="165" fontId="9" fillId="8" borderId="44" applyAlignment="1" pivotButton="0" quotePrefix="0" xfId="0">
      <alignment horizontal="center" vertical="center"/>
    </xf>
    <xf numFmtId="165" fontId="9" fillId="8" borderId="45" applyAlignment="1" pivotButton="0" quotePrefix="0" xfId="0">
      <alignment horizontal="center" vertical="center"/>
    </xf>
    <xf numFmtId="169" fontId="9" fillId="17" borderId="21" applyAlignment="1" pivotButton="0" quotePrefix="0" xfId="0">
      <alignment horizontal="center" vertical="center"/>
    </xf>
    <xf numFmtId="10" fontId="11" fillId="17" borderId="17" applyAlignment="1" pivotButton="0" quotePrefix="0" xfId="23">
      <alignment horizontal="center" vertical="center" wrapText="1"/>
    </xf>
    <xf numFmtId="169" fontId="9" fillId="17" borderId="18" applyAlignment="1" pivotButton="0" quotePrefix="0" xfId="0">
      <alignment horizontal="center" vertical="center"/>
    </xf>
    <xf numFmtId="0" fontId="20" fillId="17" borderId="39" pivotButton="0" quotePrefix="0" xfId="0"/>
    <xf numFmtId="0" fontId="20" fillId="17" borderId="46" pivotButton="0" quotePrefix="0" xfId="0"/>
    <xf numFmtId="0" fontId="20" fillId="17" borderId="41" pivotButton="0" quotePrefix="0" xfId="0"/>
    <xf numFmtId="0" fontId="20" fillId="17" borderId="47" pivotButton="0" quotePrefix="0" xfId="0"/>
    <xf numFmtId="164" fontId="9" fillId="4" borderId="21" applyAlignment="1" pivotButton="0" quotePrefix="0" xfId="0">
      <alignment horizontal="center" vertical="center"/>
    </xf>
    <xf numFmtId="165" fontId="9" fillId="4" borderId="17" applyAlignment="1" pivotButton="0" quotePrefix="0" xfId="0">
      <alignment horizontal="center" vertical="center"/>
    </xf>
    <xf numFmtId="165" fontId="9" fillId="4" borderId="22" applyAlignment="1" pivotButton="0" quotePrefix="0" xfId="0">
      <alignment horizontal="center" vertical="center"/>
    </xf>
    <xf numFmtId="9" fontId="11" fillId="4" borderId="8" applyAlignment="1" pivotButton="0" quotePrefix="0" xfId="23">
      <alignment horizontal="center" vertical="center" wrapText="1"/>
    </xf>
    <xf numFmtId="9" fontId="11" fillId="4" borderId="4" applyAlignment="1" pivotButton="0" quotePrefix="0" xfId="23">
      <alignment horizontal="center" vertical="center" wrapText="1"/>
    </xf>
    <xf numFmtId="165" fontId="9" fillId="4" borderId="2" applyAlignment="1" pivotButton="0" quotePrefix="0" xfId="0">
      <alignment horizontal="center" vertical="center"/>
    </xf>
    <xf numFmtId="10" fontId="6" fillId="4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 wrapText="1"/>
    </xf>
    <xf numFmtId="164" fontId="9" fillId="17" borderId="10" applyAlignment="1" pivotButton="0" quotePrefix="0" xfId="0">
      <alignment horizontal="center" vertical="center"/>
    </xf>
    <xf numFmtId="167" fontId="20" fillId="17" borderId="2" applyAlignment="1" pivotButton="0" quotePrefix="0" xfId="0">
      <alignment horizontal="center" vertical="center"/>
    </xf>
    <xf numFmtId="4" fontId="20" fillId="17" borderId="2" applyAlignment="1" pivotButton="0" quotePrefix="0" xfId="0">
      <alignment horizontal="center" vertical="center"/>
    </xf>
    <xf numFmtId="4" fontId="20" fillId="17" borderId="79" applyAlignment="1" pivotButton="0" quotePrefix="0" xfId="0">
      <alignment horizontal="center" vertical="center"/>
    </xf>
    <xf numFmtId="167" fontId="20" fillId="17" borderId="12" applyAlignment="1" pivotButton="0" quotePrefix="0" xfId="0">
      <alignment horizontal="center" vertical="center"/>
    </xf>
    <xf numFmtId="4" fontId="20" fillId="17" borderId="12" applyAlignment="1" pivotButton="0" quotePrefix="0" xfId="0">
      <alignment horizontal="center" vertical="center"/>
    </xf>
    <xf numFmtId="167" fontId="20" fillId="17" borderId="8" applyAlignment="1" pivotButton="0" quotePrefix="0" xfId="0">
      <alignment horizontal="center" vertical="center"/>
    </xf>
    <xf numFmtId="0" fontId="15" fillId="17" borderId="79" applyAlignment="1" pivotButton="0" quotePrefix="0" xfId="0">
      <alignment horizontal="center" vertical="center"/>
    </xf>
    <xf numFmtId="164" fontId="9" fillId="8" borderId="13" applyAlignment="1" pivotButton="0" quotePrefix="0" xfId="0">
      <alignment horizontal="center" vertical="center"/>
    </xf>
    <xf numFmtId="165" fontId="9" fillId="8" borderId="27" applyAlignment="1" pivotButton="0" quotePrefix="0" xfId="0">
      <alignment horizontal="center" vertical="center"/>
    </xf>
    <xf numFmtId="0" fontId="6" fillId="17" borderId="21" applyAlignment="1" pivotButton="0" quotePrefix="0" xfId="0">
      <alignment horizontal="center" vertical="center"/>
    </xf>
    <xf numFmtId="167" fontId="20" fillId="17" borderId="33" applyAlignment="1" pivotButton="0" quotePrefix="0" xfId="0">
      <alignment horizontal="center" vertical="center"/>
    </xf>
    <xf numFmtId="4" fontId="20" fillId="17" borderId="33" applyAlignment="1" pivotButton="0" quotePrefix="0" xfId="0">
      <alignment horizontal="center" vertical="center"/>
    </xf>
    <xf numFmtId="0" fontId="20" fillId="17" borderId="33" applyAlignment="1" pivotButton="0" quotePrefix="0" xfId="0">
      <alignment horizontal="center" vertical="center"/>
    </xf>
    <xf numFmtId="167" fontId="20" fillId="17" borderId="10" applyAlignment="1" pivotButton="0" quotePrefix="0" xfId="0">
      <alignment horizontal="center" vertical="center"/>
    </xf>
    <xf numFmtId="165" fontId="9" fillId="8" borderId="48" applyAlignment="1" pivotButton="0" quotePrefix="0" xfId="0">
      <alignment horizontal="center" vertical="center"/>
    </xf>
    <xf numFmtId="165" fontId="9" fillId="4" borderId="14" applyAlignment="1" pivotButton="0" quotePrefix="0" xfId="0">
      <alignment horizontal="center" vertical="center"/>
    </xf>
    <xf numFmtId="165" fontId="9" fillId="4" borderId="13" applyAlignment="1" pivotButton="0" quotePrefix="0" xfId="0">
      <alignment horizontal="center" vertical="center"/>
    </xf>
    <xf numFmtId="4" fontId="9" fillId="17" borderId="2" applyAlignment="1" pivotButton="0" quotePrefix="0" xfId="0">
      <alignment horizontal="center" vertical="center"/>
    </xf>
    <xf numFmtId="1" fontId="9" fillId="17" borderId="79" applyAlignment="1" pivotButton="0" quotePrefix="0" xfId="0">
      <alignment horizontal="center" vertical="center"/>
    </xf>
    <xf numFmtId="10" fontId="11" fillId="17" borderId="12" applyAlignment="1" pivotButton="0" quotePrefix="0" xfId="23">
      <alignment horizontal="center" vertical="center" wrapText="1"/>
    </xf>
    <xf numFmtId="4" fontId="9" fillId="8" borderId="22" applyAlignment="1" pivotButton="0" quotePrefix="0" xfId="0">
      <alignment horizontal="center" vertical="center"/>
    </xf>
    <xf numFmtId="10" fontId="11" fillId="8" borderId="23" applyAlignment="1" pivotButton="0" quotePrefix="0" xfId="23">
      <alignment horizontal="center" vertical="center" wrapText="1"/>
    </xf>
    <xf numFmtId="4" fontId="9" fillId="8" borderId="24" applyAlignment="1" pivotButton="0" quotePrefix="0" xfId="0">
      <alignment horizontal="center" vertical="center" wrapText="1"/>
    </xf>
    <xf numFmtId="10" fontId="9" fillId="8" borderId="17" applyAlignment="1" pivotButton="0" quotePrefix="0" xfId="0">
      <alignment horizontal="center" vertical="center" wrapText="1"/>
    </xf>
    <xf numFmtId="0" fontId="20" fillId="8" borderId="18" applyAlignment="1" pivotButton="0" quotePrefix="0" xfId="0">
      <alignment horizontal="center" vertical="center" wrapText="1"/>
    </xf>
    <xf numFmtId="0" fontId="20" fillId="8" borderId="79" pivotButton="0" quotePrefix="0" xfId="0"/>
    <xf numFmtId="14" fontId="20" fillId="8" borderId="79" pivotButton="0" quotePrefix="0" xfId="0"/>
    <xf numFmtId="10" fontId="20" fillId="8" borderId="79" pivotButton="0" quotePrefix="0" xfId="0"/>
    <xf numFmtId="4" fontId="9" fillId="17" borderId="8" applyAlignment="1" pivotButton="0" quotePrefix="0" xfId="0">
      <alignment horizontal="center" vertical="center"/>
    </xf>
    <xf numFmtId="169" fontId="9" fillId="17" borderId="8" applyAlignment="1" pivotButton="0" quotePrefix="0" xfId="0">
      <alignment horizontal="center" vertical="center" wrapText="1"/>
    </xf>
    <xf numFmtId="168" fontId="14" fillId="13" borderId="2" applyAlignment="1" pivotButton="0" quotePrefix="0" xfId="0">
      <alignment horizontal="center" vertical="center"/>
    </xf>
    <xf numFmtId="4" fontId="6" fillId="17" borderId="17" applyAlignment="1" pivotButton="0" quotePrefix="0" xfId="0">
      <alignment horizontal="center" vertical="center"/>
    </xf>
    <xf numFmtId="10" fontId="6" fillId="17" borderId="17" applyAlignment="1" pivotButton="0" quotePrefix="0" xfId="0">
      <alignment horizontal="center" vertical="center" wrapText="1"/>
    </xf>
    <xf numFmtId="4" fontId="9" fillId="8" borderId="17" applyAlignment="1" pivotButton="0" quotePrefix="0" xfId="0">
      <alignment horizontal="center" vertical="center"/>
    </xf>
    <xf numFmtId="10" fontId="9" fillId="8" borderId="22" applyAlignment="1" pivotButton="0" quotePrefix="0" xfId="0">
      <alignment horizontal="center" vertical="center" wrapText="1"/>
    </xf>
    <xf numFmtId="10" fontId="9" fillId="8" borderId="22" applyAlignment="1" pivotButton="0" quotePrefix="0" xfId="0">
      <alignment horizontal="center" vertical="center"/>
    </xf>
    <xf numFmtId="4" fontId="9" fillId="8" borderId="22" applyAlignment="1" pivotButton="0" quotePrefix="0" xfId="0">
      <alignment horizontal="center" vertical="center" wrapText="1"/>
    </xf>
    <xf numFmtId="165" fontId="9" fillId="8" borderId="15" applyAlignment="1" pivotButton="0" quotePrefix="0" xfId="0">
      <alignment horizontal="center" vertical="center" wrapText="1"/>
    </xf>
    <xf numFmtId="4" fontId="9" fillId="8" borderId="13" applyAlignment="1" pivotButton="0" quotePrefix="0" xfId="0">
      <alignment horizontal="center" vertical="center"/>
    </xf>
    <xf numFmtId="4" fontId="9" fillId="8" borderId="29" applyAlignment="1" pivotButton="0" quotePrefix="0" xfId="0">
      <alignment horizontal="center" vertical="center"/>
    </xf>
    <xf numFmtId="10" fontId="9" fillId="8" borderId="30" applyAlignment="1" pivotButton="0" quotePrefix="0" xfId="0">
      <alignment horizontal="center" vertical="center" wrapText="1"/>
    </xf>
    <xf numFmtId="10" fontId="9" fillId="8" borderId="30" applyAlignment="1" pivotButton="0" quotePrefix="0" xfId="0">
      <alignment horizontal="center" vertical="center"/>
    </xf>
    <xf numFmtId="4" fontId="9" fillId="8" borderId="30" applyAlignment="1" pivotButton="0" quotePrefix="0" xfId="0">
      <alignment horizontal="center" vertical="center" wrapText="1"/>
    </xf>
    <xf numFmtId="165" fontId="9" fillId="8" borderId="31" applyAlignment="1" pivotButton="0" quotePrefix="0" xfId="0">
      <alignment horizontal="center" vertical="center" wrapText="1"/>
    </xf>
    <xf numFmtId="4" fontId="9" fillId="17" borderId="32" applyAlignment="1" pivotButton="0" quotePrefix="0" xfId="0">
      <alignment horizontal="center" vertical="center"/>
    </xf>
    <xf numFmtId="169" fontId="9" fillId="17" borderId="35" applyAlignment="1" pivotButton="0" quotePrefix="0" xfId="0">
      <alignment horizontal="center" vertical="center" wrapText="1"/>
    </xf>
    <xf numFmtId="10" fontId="11" fillId="17" borderId="10" applyAlignment="1" pivotButton="0" quotePrefix="0" xfId="23">
      <alignment horizontal="center" vertical="center" wrapText="1"/>
    </xf>
    <xf numFmtId="4" fontId="9" fillId="8" borderId="7" applyAlignment="1" pivotButton="0" quotePrefix="0" xfId="0">
      <alignment horizontal="center" vertical="center"/>
    </xf>
    <xf numFmtId="10" fontId="9" fillId="8" borderId="40" applyAlignment="1" pivotButton="0" quotePrefix="0" xfId="0">
      <alignment horizontal="center" vertical="center" wrapText="1"/>
    </xf>
    <xf numFmtId="10" fontId="9" fillId="8" borderId="40" applyAlignment="1" pivotButton="0" quotePrefix="0" xfId="0">
      <alignment horizontal="center" vertical="center"/>
    </xf>
    <xf numFmtId="4" fontId="9" fillId="8" borderId="40" applyAlignment="1" pivotButton="0" quotePrefix="0" xfId="0">
      <alignment horizontal="center" vertical="center" wrapText="1"/>
    </xf>
    <xf numFmtId="165" fontId="9" fillId="8" borderId="40" applyAlignment="1" pivotButton="0" quotePrefix="0" xfId="0">
      <alignment horizontal="center" vertical="center" wrapText="1"/>
    </xf>
    <xf numFmtId="4" fontId="9" fillId="8" borderId="11" applyAlignment="1" pivotButton="0" quotePrefix="0" xfId="0">
      <alignment horizontal="center" vertical="center"/>
    </xf>
    <xf numFmtId="10" fontId="9" fillId="8" borderId="11" applyAlignment="1" pivotButton="0" quotePrefix="0" xfId="0">
      <alignment horizontal="center" vertical="center" wrapText="1"/>
    </xf>
    <xf numFmtId="10" fontId="9" fillId="8" borderId="11" applyAlignment="1" pivotButton="0" quotePrefix="0" xfId="0">
      <alignment horizontal="center" vertical="center"/>
    </xf>
    <xf numFmtId="4" fontId="9" fillId="8" borderId="44" applyAlignment="1" pivotButton="0" quotePrefix="0" xfId="0">
      <alignment horizontal="center" vertical="center" wrapText="1"/>
    </xf>
    <xf numFmtId="10" fontId="9" fillId="8" borderId="44" applyAlignment="1" pivotButton="0" quotePrefix="0" xfId="0">
      <alignment horizontal="center" vertical="center" wrapText="1"/>
    </xf>
    <xf numFmtId="165" fontId="9" fillId="8" borderId="45" applyAlignment="1" pivotButton="0" quotePrefix="0" xfId="0">
      <alignment horizontal="center" vertical="center" wrapText="1"/>
    </xf>
    <xf numFmtId="4" fontId="9" fillId="17" borderId="21" applyAlignment="1" pivotButton="0" quotePrefix="0" xfId="0">
      <alignment horizontal="center" vertical="center"/>
    </xf>
    <xf numFmtId="169" fontId="9" fillId="17" borderId="18" applyAlignment="1" pivotButton="0" quotePrefix="0" xfId="0">
      <alignment horizontal="center" vertical="center" wrapText="1"/>
    </xf>
    <xf numFmtId="165" fontId="9" fillId="4" borderId="17" applyAlignment="1" pivotButton="0" quotePrefix="0" xfId="0">
      <alignment horizontal="center" vertical="center" wrapText="1"/>
    </xf>
    <xf numFmtId="165" fontId="9" fillId="4" borderId="14" applyAlignment="1" pivotButton="0" quotePrefix="0" xfId="0">
      <alignment horizontal="center" vertical="center" wrapText="1"/>
    </xf>
    <xf numFmtId="165" fontId="9" fillId="4" borderId="13" applyAlignment="1" pivotButton="0" quotePrefix="0" xfId="0">
      <alignment horizontal="center" vertical="center" wrapText="1"/>
    </xf>
    <xf numFmtId="10" fontId="11" fillId="4" borderId="8" applyAlignment="1" pivotButton="0" quotePrefix="0" xfId="23">
      <alignment horizontal="center" vertical="center" wrapText="1"/>
    </xf>
    <xf numFmtId="10" fontId="11" fillId="4" borderId="4" applyAlignment="1" pivotButton="0" quotePrefix="0" xfId="23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10" fontId="6" fillId="4" borderId="2" applyAlignment="1" pivotButton="0" quotePrefix="0" xfId="0">
      <alignment horizontal="center" vertical="center" wrapText="1"/>
    </xf>
    <xf numFmtId="0" fontId="20" fillId="4" borderId="79" pivotButton="0" quotePrefix="0" xfId="0"/>
    <xf numFmtId="164" fontId="7" fillId="17" borderId="79" applyAlignment="1" pivotButton="0" quotePrefix="0" xfId="0">
      <alignment horizontal="center" vertical="center"/>
    </xf>
    <xf numFmtId="164" fontId="10" fillId="9" borderId="8" applyAlignment="1" pivotButton="0" quotePrefix="0" xfId="0">
      <alignment horizontal="center" vertical="center" wrapText="1"/>
    </xf>
    <xf numFmtId="164" fontId="11" fillId="9" borderId="8" applyAlignment="1" pivotButton="0" quotePrefix="0" xfId="0">
      <alignment horizontal="center" vertical="center" wrapText="1"/>
    </xf>
    <xf numFmtId="164" fontId="10" fillId="5" borderId="8" applyAlignment="1" pivotButton="0" quotePrefix="0" xfId="0">
      <alignment horizontal="center" vertical="center" wrapText="1"/>
    </xf>
    <xf numFmtId="164" fontId="12" fillId="9" borderId="8" applyAlignment="1" pivotButton="0" quotePrefix="0" xfId="0">
      <alignment horizontal="center" vertical="center" wrapText="1"/>
    </xf>
    <xf numFmtId="164" fontId="12" fillId="5" borderId="8" applyAlignment="1" pivotButton="0" quotePrefix="0" xfId="0">
      <alignment horizontal="center" vertical="center" wrapText="1"/>
    </xf>
    <xf numFmtId="164" fontId="10" fillId="11" borderId="8" applyAlignment="1" pivotButton="0" quotePrefix="0" xfId="0">
      <alignment horizontal="center" vertical="center" wrapText="1"/>
    </xf>
    <xf numFmtId="166" fontId="10" fillId="9" borderId="8" applyAlignment="1" pivotButton="0" quotePrefix="0" xfId="0">
      <alignment horizontal="center" vertical="center" wrapText="1"/>
    </xf>
    <xf numFmtId="164" fontId="13" fillId="12" borderId="8" applyAlignment="1" pivotButton="0" quotePrefix="0" xfId="0">
      <alignment horizontal="center" vertical="center" wrapText="1"/>
    </xf>
    <xf numFmtId="10" fontId="13" fillId="12" borderId="8" applyAlignment="1" pivotButton="0" quotePrefix="0" xfId="0">
      <alignment horizontal="center" vertical="center" wrapText="1"/>
    </xf>
    <xf numFmtId="14" fontId="20" fillId="17" borderId="79" pivotButton="0" quotePrefix="0" xfId="0"/>
    <xf numFmtId="10" fontId="20" fillId="17" borderId="79" pivotButton="0" quotePrefix="0" xfId="0"/>
    <xf numFmtId="168" fontId="14" fillId="13" borderId="10" applyAlignment="1" pivotButton="0" quotePrefix="0" xfId="44">
      <alignment horizontal="center" vertical="center"/>
    </xf>
    <xf numFmtId="4" fontId="20" fillId="17" borderId="10" applyAlignment="1" pivotButton="0" quotePrefix="0" xfId="0">
      <alignment horizontal="center" vertical="center"/>
    </xf>
    <xf numFmtId="4" fontId="9" fillId="17" borderId="10" applyAlignment="1" pivotButton="0" quotePrefix="0" xfId="0">
      <alignment horizontal="center" vertical="center" wrapText="1"/>
    </xf>
    <xf numFmtId="169" fontId="11" fillId="17" borderId="10" applyAlignment="1" pivotButton="0" quotePrefix="0" xfId="23">
      <alignment horizontal="center" vertical="center" wrapText="1"/>
    </xf>
    <xf numFmtId="167" fontId="20" fillId="14" borderId="2" applyAlignment="1" pivotButton="0" quotePrefix="0" xfId="0">
      <alignment horizontal="center" vertical="center"/>
    </xf>
    <xf numFmtId="4" fontId="20" fillId="14" borderId="2" applyAlignment="1" pivotButton="0" quotePrefix="0" xfId="0">
      <alignment horizontal="center" vertical="center"/>
    </xf>
    <xf numFmtId="0" fontId="20" fillId="14" borderId="7" pivotButton="0" quotePrefix="0" xfId="0"/>
    <xf numFmtId="10" fontId="11" fillId="14" borderId="2" applyAlignment="1" pivotButton="0" quotePrefix="0" xfId="23">
      <alignment horizontal="center" vertical="center" wrapText="1"/>
    </xf>
    <xf numFmtId="166" fontId="11" fillId="14" borderId="2" applyAlignment="1" pivotButton="0" quotePrefix="0" xfId="23">
      <alignment horizontal="center" vertical="center" wrapText="1"/>
    </xf>
    <xf numFmtId="167" fontId="9" fillId="17" borderId="79" applyAlignment="1" pivotButton="0" quotePrefix="0" xfId="0">
      <alignment horizontal="center" vertical="center"/>
    </xf>
    <xf numFmtId="4" fontId="9" fillId="8" borderId="49" applyAlignment="1" pivotButton="0" quotePrefix="0" xfId="0">
      <alignment horizontal="center" vertical="center"/>
    </xf>
    <xf numFmtId="4" fontId="9" fillId="8" borderId="50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/>
    </xf>
    <xf numFmtId="169" fontId="9" fillId="17" borderId="10" applyAlignment="1" pivotButton="0" quotePrefix="0" xfId="0">
      <alignment horizontal="center" vertical="center" wrapText="1"/>
    </xf>
    <xf numFmtId="167" fontId="20" fillId="14" borderId="12" applyAlignment="1" pivotButton="0" quotePrefix="0" xfId="0">
      <alignment horizontal="center" vertical="center"/>
    </xf>
    <xf numFmtId="0" fontId="20" fillId="14" borderId="8" pivotButton="0" quotePrefix="0" xfId="0"/>
    <xf numFmtId="10" fontId="11" fillId="14" borderId="12" applyAlignment="1" pivotButton="0" quotePrefix="0" xfId="23">
      <alignment horizontal="center" vertical="center" wrapText="1"/>
    </xf>
    <xf numFmtId="166" fontId="11" fillId="14" borderId="12" applyAlignment="1" pivotButton="0" quotePrefix="0" xfId="23">
      <alignment horizontal="center" vertical="center" wrapText="1"/>
    </xf>
    <xf numFmtId="168" fontId="14" fillId="13" borderId="10" applyAlignment="1" pivotButton="0" quotePrefix="0" xfId="0">
      <alignment horizontal="center" vertical="center"/>
    </xf>
    <xf numFmtId="4" fontId="6" fillId="17" borderId="10" applyAlignment="1" pivotButton="0" quotePrefix="0" xfId="0">
      <alignment horizontal="center" vertical="center" wrapText="1"/>
    </xf>
    <xf numFmtId="10" fontId="6" fillId="17" borderId="10" applyAlignment="1" pivotButton="0" quotePrefix="0" xfId="0">
      <alignment horizontal="center" vertical="center" wrapText="1"/>
    </xf>
    <xf numFmtId="0" fontId="20" fillId="14" borderId="20" pivotButton="0" quotePrefix="0" xfId="0"/>
    <xf numFmtId="0" fontId="20" fillId="14" borderId="19" pivotButton="0" quotePrefix="0" xfId="0"/>
    <xf numFmtId="165" fontId="9" fillId="8" borderId="18" applyAlignment="1" pivotButton="0" quotePrefix="0" xfId="0">
      <alignment horizontal="center" vertical="center"/>
    </xf>
    <xf numFmtId="165" fontId="9" fillId="8" borderId="49" applyAlignment="1" pivotButton="0" quotePrefix="0" xfId="0">
      <alignment horizontal="center" vertical="center"/>
    </xf>
    <xf numFmtId="10" fontId="9" fillId="8" borderId="49" applyAlignment="1" pivotButton="0" quotePrefix="0" xfId="0">
      <alignment horizontal="center" vertical="center" wrapText="1"/>
    </xf>
    <xf numFmtId="10" fontId="9" fillId="8" borderId="49" applyAlignment="1" pivotButton="0" quotePrefix="0" xfId="0">
      <alignment horizontal="center" vertical="center"/>
    </xf>
    <xf numFmtId="4" fontId="9" fillId="8" borderId="49" applyAlignment="1" pivotButton="0" quotePrefix="0" xfId="0">
      <alignment horizontal="center" vertical="center" wrapText="1"/>
    </xf>
    <xf numFmtId="165" fontId="9" fillId="8" borderId="18" applyAlignment="1" pivotButton="0" quotePrefix="0" xfId="0">
      <alignment horizontal="center" vertical="center" wrapText="1"/>
    </xf>
    <xf numFmtId="0" fontId="6" fillId="17" borderId="51" applyAlignment="1" pivotButton="0" quotePrefix="0" xfId="0">
      <alignment horizontal="center" vertical="center"/>
    </xf>
    <xf numFmtId="4" fontId="9" fillId="17" borderId="51" applyAlignment="1" pivotButton="0" quotePrefix="0" xfId="0">
      <alignment horizontal="center" vertical="center" wrapText="1"/>
    </xf>
    <xf numFmtId="169" fontId="9" fillId="17" borderId="52" applyAlignment="1" pivotButton="0" quotePrefix="0" xfId="0">
      <alignment horizontal="center" vertical="center" wrapText="1"/>
    </xf>
    <xf numFmtId="167" fontId="20" fillId="14" borderId="10" applyAlignment="1" pivotButton="0" quotePrefix="0" xfId="0">
      <alignment horizontal="center" vertical="center"/>
    </xf>
    <xf numFmtId="10" fontId="11" fillId="14" borderId="10" applyAlignment="1" pivotButton="0" quotePrefix="0" xfId="23">
      <alignment horizontal="center" vertical="center" wrapText="1"/>
    </xf>
    <xf numFmtId="166" fontId="11" fillId="14" borderId="37" applyAlignment="1" pivotButton="0" quotePrefix="0" xfId="23">
      <alignment horizontal="center" vertical="center" wrapText="1"/>
    </xf>
    <xf numFmtId="165" fontId="9" fillId="8" borderId="49" applyAlignment="1" pivotButton="0" quotePrefix="0" xfId="0">
      <alignment horizontal="center" vertical="center" wrapText="1"/>
    </xf>
    <xf numFmtId="166" fontId="11" fillId="14" borderId="10" applyAlignment="1" pivotButton="0" quotePrefix="0" xfId="23">
      <alignment horizontal="center" vertical="center" wrapText="1"/>
    </xf>
    <xf numFmtId="10" fontId="9" fillId="8" borderId="17" applyAlignment="1" pivotButton="0" quotePrefix="0" xfId="0">
      <alignment horizontal="center" vertical="center"/>
    </xf>
    <xf numFmtId="167" fontId="14" fillId="13" borderId="12" applyAlignment="1" pivotButton="0" quotePrefix="0" xfId="0">
      <alignment horizontal="center" vertical="center"/>
    </xf>
    <xf numFmtId="168" fontId="14" fillId="13" borderId="12" applyAlignment="1" pivotButton="0" quotePrefix="0" xfId="0">
      <alignment horizontal="center" vertical="center"/>
    </xf>
    <xf numFmtId="10" fontId="11" fillId="14" borderId="12" applyAlignment="1" pivotButton="0" quotePrefix="0" xfId="0">
      <alignment horizontal="center" vertical="center" wrapText="1"/>
    </xf>
    <xf numFmtId="166" fontId="11" fillId="14" borderId="12" applyAlignment="1" pivotButton="0" quotePrefix="0" xfId="0">
      <alignment horizontal="center" vertical="center" wrapText="1"/>
    </xf>
    <xf numFmtId="167" fontId="14" fillId="13" borderId="10" applyAlignment="1" pivotButton="0" quotePrefix="0" xfId="0">
      <alignment horizontal="center" vertical="center"/>
    </xf>
    <xf numFmtId="10" fontId="11" fillId="17" borderId="10" applyAlignment="1" pivotButton="0" quotePrefix="0" xfId="0">
      <alignment horizontal="center" vertical="center" wrapText="1"/>
    </xf>
    <xf numFmtId="166" fontId="11" fillId="17" borderId="10" applyAlignment="1" pivotButton="0" quotePrefix="0" xfId="0">
      <alignment horizontal="center" vertical="center" wrapText="1"/>
    </xf>
    <xf numFmtId="4" fontId="20" fillId="17" borderId="51" applyAlignment="1" pivotButton="0" quotePrefix="0" xfId="0">
      <alignment horizontal="center" vertical="center" wrapText="1"/>
    </xf>
    <xf numFmtId="10" fontId="20" fillId="17" borderId="10" applyAlignment="1" pivotButton="0" quotePrefix="0" xfId="0">
      <alignment horizontal="center" vertical="center" wrapText="1"/>
    </xf>
    <xf numFmtId="0" fontId="20" fillId="17" borderId="52" applyAlignment="1" pivotButton="0" quotePrefix="0" xfId="0">
      <alignment horizontal="center" vertical="center" wrapText="1"/>
    </xf>
    <xf numFmtId="10" fontId="11" fillId="8" borderId="23" applyAlignment="1" pivotButton="0" quotePrefix="0" xfId="0">
      <alignment horizontal="center" vertical="center" wrapText="1"/>
    </xf>
    <xf numFmtId="10" fontId="11" fillId="4" borderId="17" applyAlignment="1" pivotButton="0" quotePrefix="0" xfId="23">
      <alignment horizontal="center" vertical="center" wrapText="1"/>
    </xf>
    <xf numFmtId="10" fontId="6" fillId="4" borderId="17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4" fontId="20" fillId="14" borderId="10" applyAlignment="1" pivotButton="0" quotePrefix="0" xfId="0">
      <alignment horizontal="center" vertical="center"/>
    </xf>
    <xf numFmtId="10" fontId="20" fillId="14" borderId="10" applyAlignment="1" pivotButton="0" quotePrefix="0" xfId="0">
      <alignment horizontal="center" vertical="center"/>
    </xf>
    <xf numFmtId="166" fontId="20" fillId="14" borderId="10" applyAlignment="1" pivotButton="0" quotePrefix="0" xfId="0">
      <alignment horizontal="center" vertical="center"/>
    </xf>
    <xf numFmtId="4" fontId="20" fillId="14" borderId="10" applyAlignment="1" pivotButton="0" quotePrefix="0" xfId="0">
      <alignment horizontal="center" vertical="center" wrapText="1"/>
    </xf>
    <xf numFmtId="10" fontId="20" fillId="14" borderId="10" applyAlignment="1" pivotButton="0" quotePrefix="0" xfId="0">
      <alignment horizontal="center" vertical="center" wrapText="1"/>
    </xf>
    <xf numFmtId="169" fontId="20" fillId="14" borderId="10" applyAlignment="1" pivotButton="0" quotePrefix="0" xfId="0">
      <alignment horizontal="center" vertical="center" wrapText="1"/>
    </xf>
    <xf numFmtId="0" fontId="20" fillId="14" borderId="79" applyAlignment="1" pivotButton="0" quotePrefix="0" xfId="0">
      <alignment horizontal="center" vertical="center"/>
    </xf>
    <xf numFmtId="0" fontId="20" fillId="14" borderId="2" applyAlignment="1" pivotButton="0" quotePrefix="0" xfId="0">
      <alignment horizontal="center" vertical="center"/>
    </xf>
    <xf numFmtId="10" fontId="20" fillId="14" borderId="2" applyAlignment="1" pivotButton="0" quotePrefix="0" xfId="0">
      <alignment horizontal="center" vertical="center"/>
    </xf>
    <xf numFmtId="166" fontId="20" fillId="14" borderId="2" applyAlignment="1" pivotButton="0" quotePrefix="0" xfId="0">
      <alignment horizontal="center" vertical="center"/>
    </xf>
    <xf numFmtId="14" fontId="20" fillId="14" borderId="79" applyAlignment="1" pivotButton="0" quotePrefix="0" xfId="0">
      <alignment horizontal="center" vertical="center"/>
    </xf>
    <xf numFmtId="167" fontId="20" fillId="14" borderId="79" applyAlignment="1" pivotButton="0" quotePrefix="0" xfId="0">
      <alignment horizontal="center" vertical="center"/>
    </xf>
    <xf numFmtId="1" fontId="20" fillId="14" borderId="79" applyAlignment="1" pivotButton="0" quotePrefix="0" xfId="0">
      <alignment horizontal="center" vertical="center"/>
    </xf>
    <xf numFmtId="10" fontId="20" fillId="14" borderId="79" applyAlignment="1" pivotButton="0" quotePrefix="0" xfId="0">
      <alignment horizontal="center" vertical="center"/>
    </xf>
    <xf numFmtId="0" fontId="20" fillId="15" borderId="17" applyAlignment="1" pivotButton="0" quotePrefix="0" xfId="0">
      <alignment horizontal="center" vertical="center"/>
    </xf>
    <xf numFmtId="4" fontId="20" fillId="15" borderId="17" applyAlignment="1" pivotButton="0" quotePrefix="0" xfId="0">
      <alignment horizontal="center" vertical="center"/>
    </xf>
    <xf numFmtId="165" fontId="20" fillId="15" borderId="17" applyAlignment="1" pivotButton="0" quotePrefix="0" xfId="0">
      <alignment horizontal="center" vertical="center"/>
    </xf>
    <xf numFmtId="10" fontId="20" fillId="15" borderId="17" applyAlignment="1" pivotButton="0" quotePrefix="0" xfId="0">
      <alignment horizontal="center" vertical="center" wrapText="1"/>
    </xf>
    <xf numFmtId="10" fontId="20" fillId="15" borderId="17" applyAlignment="1" pivotButton="0" quotePrefix="0" xfId="0">
      <alignment horizontal="center" vertical="center"/>
    </xf>
    <xf numFmtId="4" fontId="20" fillId="15" borderId="17" applyAlignment="1" pivotButton="0" quotePrefix="0" xfId="0">
      <alignment horizontal="center" vertical="center" wrapText="1"/>
    </xf>
    <xf numFmtId="0" fontId="20" fillId="15" borderId="17" applyAlignment="1" pivotButton="0" quotePrefix="0" xfId="0">
      <alignment horizontal="center" vertical="center" wrapText="1"/>
    </xf>
    <xf numFmtId="0" fontId="20" fillId="15" borderId="79" applyAlignment="1" pivotButton="0" quotePrefix="0" xfId="0">
      <alignment horizontal="center" vertical="center"/>
    </xf>
    <xf numFmtId="14" fontId="20" fillId="15" borderId="79" applyAlignment="1" pivotButton="0" quotePrefix="0" xfId="0">
      <alignment horizontal="center" vertical="center"/>
    </xf>
    <xf numFmtId="10" fontId="20" fillId="15" borderId="79" applyAlignment="1" pivotButton="0" quotePrefix="0" xfId="0">
      <alignment horizontal="center" vertical="center"/>
    </xf>
    <xf numFmtId="165" fontId="20" fillId="14" borderId="2" applyAlignment="1" pivotButton="0" quotePrefix="0" xfId="0">
      <alignment horizontal="center" vertical="center"/>
    </xf>
    <xf numFmtId="166" fontId="20" fillId="15" borderId="17" applyAlignment="1" pivotButton="0" quotePrefix="0" xfId="0">
      <alignment horizontal="center" vertical="center"/>
    </xf>
    <xf numFmtId="169" fontId="20" fillId="15" borderId="17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 wrapText="1"/>
    </xf>
    <xf numFmtId="165" fontId="20" fillId="15" borderId="17" applyAlignment="1" pivotButton="0" quotePrefix="0" xfId="0">
      <alignment horizontal="center" vertical="center" wrapText="1"/>
    </xf>
    <xf numFmtId="164" fontId="9" fillId="16" borderId="21" applyAlignment="1" pivotButton="0" quotePrefix="0" xfId="0">
      <alignment horizontal="center" vertical="center"/>
    </xf>
    <xf numFmtId="165" fontId="9" fillId="16" borderId="17" applyAlignment="1" pivotButton="0" quotePrefix="0" xfId="0">
      <alignment horizontal="center" vertical="center" wrapText="1"/>
    </xf>
    <xf numFmtId="4" fontId="9" fillId="16" borderId="13" applyAlignment="1" pivotButton="0" quotePrefix="0" xfId="0">
      <alignment horizontal="center" vertical="center" wrapText="1"/>
    </xf>
    <xf numFmtId="10" fontId="11" fillId="16" borderId="17" applyAlignment="1" pivotButton="0" quotePrefix="0" xfId="23">
      <alignment horizontal="center" vertical="center" wrapText="1"/>
    </xf>
    <xf numFmtId="166" fontId="9" fillId="16" borderId="17" applyAlignment="1" pivotButton="0" quotePrefix="0" xfId="0">
      <alignment horizontal="center" vertical="center" wrapText="1"/>
    </xf>
    <xf numFmtId="4" fontId="9" fillId="16" borderId="17" applyAlignment="1" pivotButton="0" quotePrefix="0" xfId="0">
      <alignment horizontal="center" vertical="center" wrapText="1"/>
    </xf>
    <xf numFmtId="10" fontId="6" fillId="16" borderId="17" applyAlignment="1" pivotButton="0" quotePrefix="0" xfId="0">
      <alignment horizontal="center" vertical="center" wrapText="1"/>
    </xf>
    <xf numFmtId="0" fontId="9" fillId="16" borderId="17" applyAlignment="1" pivotButton="0" quotePrefix="0" xfId="0">
      <alignment horizontal="center" vertical="center" wrapText="1"/>
    </xf>
    <xf numFmtId="0" fontId="20" fillId="16" borderId="79" pivotButton="0" quotePrefix="0" xfId="0"/>
    <xf numFmtId="165" fontId="20" fillId="14" borderId="10" applyAlignment="1" pivotButton="0" quotePrefix="0" xfId="0">
      <alignment horizontal="center" vertical="center"/>
    </xf>
    <xf numFmtId="165" fontId="20" fillId="14" borderId="10" applyAlignment="1" pivotButton="0" quotePrefix="0" xfId="0">
      <alignment horizontal="center" vertical="center" wrapText="1"/>
    </xf>
    <xf numFmtId="165" fontId="9" fillId="16" borderId="13" applyAlignment="1" pivotButton="0" quotePrefix="0" xfId="0">
      <alignment horizontal="center" vertical="center" wrapText="1"/>
    </xf>
    <xf numFmtId="0" fontId="20" fillId="16" borderId="79" applyAlignment="1" pivotButton="0" quotePrefix="0" xfId="0">
      <alignment horizontal="center" vertical="center"/>
    </xf>
    <xf numFmtId="0" fontId="9" fillId="16" borderId="13" applyAlignment="1" pivotButton="0" quotePrefix="0" xfId="0">
      <alignment horizontal="center" vertical="center" wrapText="1"/>
    </xf>
    <xf numFmtId="0" fontId="20" fillId="14" borderId="53" applyAlignment="1" pivotButton="0" quotePrefix="0" xfId="0">
      <alignment horizontal="center" vertical="center"/>
    </xf>
    <xf numFmtId="167" fontId="20" fillId="14" borderId="53" applyAlignment="1" pivotButton="0" quotePrefix="0" xfId="0">
      <alignment horizontal="center" vertical="center"/>
    </xf>
    <xf numFmtId="4" fontId="20" fillId="14" borderId="53" applyAlignment="1" pivotButton="0" quotePrefix="0" xfId="0">
      <alignment horizontal="center" vertical="center"/>
    </xf>
    <xf numFmtId="10" fontId="20" fillId="14" borderId="53" applyAlignment="1" pivotButton="0" quotePrefix="0" xfId="0">
      <alignment horizontal="center" vertical="center"/>
    </xf>
    <xf numFmtId="166" fontId="20" fillId="14" borderId="53" applyAlignment="1" pivotButton="0" quotePrefix="0" xfId="0">
      <alignment horizontal="center" vertical="center"/>
    </xf>
    <xf numFmtId="4" fontId="20" fillId="14" borderId="53" applyAlignment="1" pivotButton="0" quotePrefix="0" xfId="0">
      <alignment horizontal="center" vertical="center" wrapText="1"/>
    </xf>
    <xf numFmtId="10" fontId="20" fillId="14" borderId="53" applyAlignment="1" pivotButton="0" quotePrefix="0" xfId="0">
      <alignment horizontal="center" vertical="center" wrapText="1"/>
    </xf>
    <xf numFmtId="169" fontId="20" fillId="14" borderId="53" applyAlignment="1" pivotButton="0" quotePrefix="0" xfId="0">
      <alignment horizontal="center" vertical="center" wrapText="1"/>
    </xf>
    <xf numFmtId="0" fontId="20" fillId="17" borderId="54" pivotButton="0" quotePrefix="0" xfId="0"/>
    <xf numFmtId="0" fontId="20" fillId="14" borderId="55" applyAlignment="1" pivotButton="0" quotePrefix="0" xfId="0">
      <alignment horizontal="center" vertical="center"/>
    </xf>
    <xf numFmtId="167" fontId="20" fillId="14" borderId="55" applyAlignment="1" pivotButton="0" quotePrefix="0" xfId="0">
      <alignment horizontal="center" vertical="center"/>
    </xf>
    <xf numFmtId="4" fontId="20" fillId="14" borderId="55" applyAlignment="1" pivotButton="0" quotePrefix="0" xfId="0">
      <alignment horizontal="center" vertical="center"/>
    </xf>
    <xf numFmtId="10" fontId="20" fillId="14" borderId="55" applyAlignment="1" pivotButton="0" quotePrefix="0" xfId="0">
      <alignment horizontal="center" vertical="center"/>
    </xf>
    <xf numFmtId="166" fontId="20" fillId="14" borderId="55" applyAlignment="1" pivotButton="0" quotePrefix="0" xfId="0">
      <alignment horizontal="center" vertical="center"/>
    </xf>
    <xf numFmtId="0" fontId="20" fillId="17" borderId="56" pivotButton="0" quotePrefix="0" xfId="0"/>
    <xf numFmtId="0" fontId="20" fillId="15" borderId="57" applyAlignment="1" pivotButton="0" quotePrefix="0" xfId="0">
      <alignment horizontal="center" vertical="center"/>
    </xf>
    <xf numFmtId="0" fontId="20" fillId="17" borderId="58" pivotButton="0" quotePrefix="0" xfId="0"/>
    <xf numFmtId="0" fontId="20" fillId="17" borderId="59" pivotButton="0" quotePrefix="0" xfId="0"/>
    <xf numFmtId="4" fontId="20" fillId="15" borderId="57" applyAlignment="1" pivotButton="0" quotePrefix="0" xfId="0">
      <alignment horizontal="center" vertical="center"/>
    </xf>
    <xf numFmtId="165" fontId="20" fillId="15" borderId="57" applyAlignment="1" pivotButton="0" quotePrefix="0" xfId="0">
      <alignment horizontal="center" vertical="center"/>
    </xf>
    <xf numFmtId="10" fontId="20" fillId="15" borderId="57" applyAlignment="1" pivotButton="0" quotePrefix="0" xfId="0">
      <alignment horizontal="center" vertical="center" wrapText="1"/>
    </xf>
    <xf numFmtId="10" fontId="20" fillId="15" borderId="57" applyAlignment="1" pivotButton="0" quotePrefix="0" xfId="0">
      <alignment horizontal="center" vertical="center"/>
    </xf>
    <xf numFmtId="4" fontId="20" fillId="15" borderId="57" applyAlignment="1" pivotButton="0" quotePrefix="0" xfId="0">
      <alignment horizontal="center" vertical="center" wrapText="1"/>
    </xf>
    <xf numFmtId="0" fontId="20" fillId="15" borderId="57" applyAlignment="1" pivotButton="0" quotePrefix="0" xfId="0">
      <alignment horizontal="center" vertical="center" wrapText="1"/>
    </xf>
    <xf numFmtId="166" fontId="20" fillId="15" borderId="57" applyAlignment="1" pivotButton="0" quotePrefix="0" xfId="0">
      <alignment horizontal="center" vertical="center"/>
    </xf>
    <xf numFmtId="165" fontId="20" fillId="14" borderId="53" applyAlignment="1" pivotButton="0" quotePrefix="0" xfId="0">
      <alignment horizontal="center" vertical="center"/>
    </xf>
    <xf numFmtId="0" fontId="20" fillId="14" borderId="53" applyAlignment="1" pivotButton="0" quotePrefix="0" xfId="0">
      <alignment horizontal="center" vertical="center" wrapText="1"/>
    </xf>
    <xf numFmtId="165" fontId="20" fillId="14" borderId="55" applyAlignment="1" pivotButton="0" quotePrefix="0" xfId="0">
      <alignment horizontal="center" vertical="center"/>
    </xf>
    <xf numFmtId="164" fontId="9" fillId="16" borderId="60" applyAlignment="1" pivotButton="0" quotePrefix="0" xfId="0">
      <alignment horizontal="center" vertical="center"/>
    </xf>
    <xf numFmtId="0" fontId="20" fillId="17" borderId="61" pivotButton="0" quotePrefix="0" xfId="0"/>
    <xf numFmtId="0" fontId="20" fillId="17" borderId="62" pivotButton="0" quotePrefix="0" xfId="0"/>
    <xf numFmtId="165" fontId="9" fillId="16" borderId="63" applyAlignment="1" pivotButton="0" quotePrefix="0" xfId="0">
      <alignment horizontal="center" vertical="center" wrapText="1"/>
    </xf>
    <xf numFmtId="0" fontId="9" fillId="16" borderId="63" applyAlignment="1" pivotButton="0" quotePrefix="0" xfId="0">
      <alignment horizontal="center" vertical="center" wrapText="1"/>
    </xf>
    <xf numFmtId="4" fontId="9" fillId="16" borderId="64" applyAlignment="1" pivotButton="0" quotePrefix="0" xfId="0">
      <alignment horizontal="center" vertical="center" wrapText="1"/>
    </xf>
    <xf numFmtId="10" fontId="11" fillId="16" borderId="63" applyAlignment="1" pivotButton="0" quotePrefix="0" xfId="23">
      <alignment horizontal="center" vertical="center" wrapText="1"/>
    </xf>
    <xf numFmtId="166" fontId="9" fillId="16" borderId="63" applyAlignment="1" pivotButton="0" quotePrefix="0" xfId="0">
      <alignment horizontal="center" vertical="center" wrapText="1"/>
    </xf>
    <xf numFmtId="4" fontId="9" fillId="16" borderId="63" applyAlignment="1" pivotButton="0" quotePrefix="0" xfId="0">
      <alignment horizontal="center" vertical="center" wrapText="1"/>
    </xf>
    <xf numFmtId="10" fontId="6" fillId="16" borderId="63" applyAlignment="1" pivotButton="0" quotePrefix="0" xfId="0">
      <alignment horizontal="center" vertical="center" wrapText="1"/>
    </xf>
    <xf numFmtId="0" fontId="16" fillId="17" borderId="65" pivotButton="0" quotePrefix="0" xfId="0"/>
    <xf numFmtId="164" fontId="17" fillId="11" borderId="66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18" fillId="5" borderId="67" applyAlignment="1" pivotButton="0" quotePrefix="0" xfId="0">
      <alignment horizontal="center" vertical="center" wrapText="1"/>
    </xf>
    <xf numFmtId="164" fontId="18" fillId="5" borderId="67" applyAlignment="1" pivotButton="0" quotePrefix="0" xfId="0">
      <alignment horizontal="center" vertical="center" wrapText="1"/>
    </xf>
    <xf numFmtId="10" fontId="19" fillId="12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20" fillId="17" borderId="66" pivotButton="0" quotePrefix="0" xfId="0"/>
    <xf numFmtId="4" fontId="20" fillId="18" borderId="53" applyAlignment="1" pivotButton="0" quotePrefix="0" xfId="0">
      <alignment horizontal="center" vertical="center"/>
    </xf>
    <xf numFmtId="172" fontId="20" fillId="14" borderId="53" applyAlignment="1" pivotButton="0" quotePrefix="0" xfId="0">
      <alignment horizontal="center" vertical="center" wrapText="1"/>
    </xf>
    <xf numFmtId="40" fontId="20" fillId="18" borderId="68" applyAlignment="1" pivotButton="0" quotePrefix="0" xfId="0">
      <alignment horizontal="center" vertical="center"/>
    </xf>
    <xf numFmtId="4" fontId="20" fillId="18" borderId="55" applyAlignment="1" pivotButton="0" quotePrefix="0" xfId="0">
      <alignment horizontal="center" vertical="center"/>
    </xf>
    <xf numFmtId="4" fontId="16" fillId="18" borderId="55" applyAlignment="1" pivotButton="0" quotePrefix="0" xfId="0">
      <alignment horizontal="center" vertical="center"/>
    </xf>
    <xf numFmtId="4" fontId="16" fillId="14" borderId="55" applyAlignment="1" pivotButton="0" quotePrefix="0" xfId="0">
      <alignment horizontal="center" vertical="center"/>
    </xf>
    <xf numFmtId="0" fontId="20" fillId="17" borderId="69" pivotButton="0" quotePrefix="0" xfId="0"/>
    <xf numFmtId="0" fontId="20" fillId="17" borderId="70" pivotButton="0" quotePrefix="0" xfId="0"/>
    <xf numFmtId="172" fontId="20" fillId="15" borderId="57" applyAlignment="1" pivotButton="0" quotePrefix="0" xfId="0">
      <alignment horizontal="center" vertical="center" wrapText="1"/>
    </xf>
    <xf numFmtId="40" fontId="20" fillId="15" borderId="57" applyAlignment="1" pivotButton="0" quotePrefix="0" xfId="0">
      <alignment horizontal="center" vertical="center"/>
    </xf>
    <xf numFmtId="165" fontId="16" fillId="14" borderId="55" applyAlignment="1" pivotButton="0" quotePrefix="0" xfId="0">
      <alignment horizontal="center" vertical="center"/>
    </xf>
    <xf numFmtId="0" fontId="16" fillId="14" borderId="55" applyAlignment="1" pivotButton="0" quotePrefix="0" xfId="0">
      <alignment horizontal="center" vertical="center"/>
    </xf>
    <xf numFmtId="164" fontId="9" fillId="16" borderId="71" applyAlignment="1" pivotButton="0" quotePrefix="0" xfId="0">
      <alignment horizontal="center" vertical="center"/>
    </xf>
    <xf numFmtId="0" fontId="20" fillId="16" borderId="61" pivotButton="0" quotePrefix="0" xfId="0"/>
    <xf numFmtId="0" fontId="20" fillId="16" borderId="62" pivotButton="0" quotePrefix="0" xfId="0"/>
    <xf numFmtId="10" fontId="21" fillId="16" borderId="63" applyAlignment="1" pivotButton="0" quotePrefix="0" xfId="23">
      <alignment horizontal="center" vertical="center" wrapText="1"/>
    </xf>
    <xf numFmtId="4" fontId="20" fillId="16" borderId="57" pivotButton="0" quotePrefix="0" xfId="0"/>
    <xf numFmtId="4" fontId="22" fillId="16" borderId="64" applyAlignment="1" pivotButton="0" quotePrefix="0" xfId="0">
      <alignment horizontal="center" vertical="center" wrapText="1"/>
    </xf>
    <xf numFmtId="10" fontId="9" fillId="16" borderId="63" applyAlignment="1" pivotButton="0" quotePrefix="0" xfId="0">
      <alignment horizontal="center" vertical="center" wrapText="1"/>
    </xf>
    <xf numFmtId="172" fontId="9" fillId="16" borderId="63" applyAlignment="1" pivotButton="0" quotePrefix="0" xfId="0">
      <alignment horizontal="center" vertical="center" wrapText="1"/>
    </xf>
    <xf numFmtId="40" fontId="20" fillId="16" borderId="57" pivotButton="0" quotePrefix="0" xfId="0"/>
    <xf numFmtId="0" fontId="20" fillId="17" borderId="79" pivotButton="0" quotePrefix="0" xfId="0"/>
    <xf numFmtId="172" fontId="20" fillId="17" borderId="79" pivotButton="0" quotePrefix="0" xfId="0"/>
    <xf numFmtId="0" fontId="6" fillId="4" borderId="2" applyAlignment="1" pivotButton="0" quotePrefix="0" xfId="0">
      <alignment horizontal="center" vertical="center" wrapText="1"/>
    </xf>
    <xf numFmtId="3" fontId="14" fillId="13" borderId="8" applyAlignment="1" pivotButton="0" quotePrefix="0" xfId="0">
      <alignment horizontal="center" vertical="center"/>
    </xf>
    <xf numFmtId="0" fontId="6" fillId="17" borderId="36" applyAlignment="1" pivotButton="0" quotePrefix="0" xfId="0">
      <alignment horizontal="center" vertical="center"/>
    </xf>
    <xf numFmtId="10" fontId="11" fillId="4" borderId="23" applyAlignment="1" pivotButton="0" quotePrefix="0" xfId="23">
      <alignment horizontal="center" vertical="center" wrapText="1"/>
    </xf>
    <xf numFmtId="164" fontId="23" fillId="19" borderId="2" applyAlignment="1" pivotButton="0" quotePrefix="0" xfId="0">
      <alignment horizontal="center" vertical="center" wrapText="1"/>
    </xf>
    <xf numFmtId="164" fontId="24" fillId="19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1" fontId="9" fillId="8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 wrapText="1"/>
    </xf>
    <xf numFmtId="0" fontId="6" fillId="17" borderId="79" pivotButton="0" quotePrefix="0" xfId="0"/>
    <xf numFmtId="3" fontId="14" fillId="13" borderId="2" applyAlignment="1" pivotButton="0" quotePrefix="0" xfId="0">
      <alignment horizontal="center" vertical="center"/>
    </xf>
    <xf numFmtId="165" fontId="9" fillId="8" borderId="2" applyAlignment="1" pivotButton="0" quotePrefix="0" xfId="0">
      <alignment horizontal="center" vertical="center"/>
    </xf>
    <xf numFmtId="164" fontId="7" fillId="17" borderId="72" applyAlignment="1" pivotButton="0" quotePrefix="0" xfId="0">
      <alignment horizontal="center" vertical="center"/>
    </xf>
    <xf numFmtId="0" fontId="20" fillId="17" borderId="73" pivotButton="0" quotePrefix="0" xfId="0"/>
    <xf numFmtId="0" fontId="20" fillId="17" borderId="74" pivotButton="0" quotePrefix="0" xfId="0"/>
    <xf numFmtId="164" fontId="7" fillId="17" borderId="1" applyAlignment="1" pivotButton="0" quotePrefix="0" xfId="0">
      <alignment vertical="center"/>
    </xf>
    <xf numFmtId="164" fontId="23" fillId="19" borderId="75" applyAlignment="1" pivotButton="0" quotePrefix="0" xfId="0">
      <alignment horizontal="center" vertical="center" wrapText="1"/>
    </xf>
    <xf numFmtId="168" fontId="20" fillId="19" borderId="2" applyAlignment="1" pivotButton="0" quotePrefix="0" xfId="44">
      <alignment horizontal="center" vertical="center" wrapText="1"/>
    </xf>
    <xf numFmtId="168" fontId="20" fillId="4" borderId="2" applyAlignment="1" pivotButton="0" quotePrefix="0" xfId="44">
      <alignment horizontal="center" vertical="center" wrapText="1"/>
    </xf>
    <xf numFmtId="168" fontId="20" fillId="4" borderId="76" applyAlignment="1" pivotButton="0" quotePrefix="0" xfId="44">
      <alignment horizontal="center" vertical="center" wrapText="1"/>
    </xf>
    <xf numFmtId="0" fontId="20" fillId="19" borderId="6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164" fontId="9" fillId="17" borderId="75" applyAlignment="1" pivotButton="0" quotePrefix="0" xfId="0">
      <alignment horizontal="center" vertical="center"/>
    </xf>
    <xf numFmtId="168" fontId="14" fillId="13" borderId="76" applyAlignment="1" pivotButton="0" quotePrefix="0" xfId="44">
      <alignment horizontal="center" vertical="center"/>
    </xf>
    <xf numFmtId="3" fontId="14" fillId="13" borderId="6" applyAlignment="1" pivotButton="0" quotePrefix="0" xfId="0">
      <alignment horizontal="center" vertical="center"/>
    </xf>
    <xf numFmtId="164" fontId="9" fillId="8" borderId="75" applyAlignment="1" pivotButton="0" quotePrefix="0" xfId="0">
      <alignment horizontal="center" vertical="center"/>
    </xf>
    <xf numFmtId="2" fontId="9" fillId="8" borderId="2" applyAlignment="1" pivotButton="0" quotePrefix="0" xfId="44">
      <alignment horizontal="center" vertical="center"/>
    </xf>
    <xf numFmtId="2" fontId="9" fillId="8" borderId="76" applyAlignment="1" pivotButton="0" quotePrefix="0" xfId="44">
      <alignment horizontal="center" vertical="center"/>
    </xf>
    <xf numFmtId="165" fontId="9" fillId="8" borderId="6" applyAlignment="1" pivotButton="0" quotePrefix="0" xfId="0">
      <alignment horizontal="center" vertical="center"/>
    </xf>
    <xf numFmtId="0" fontId="6" fillId="17" borderId="75" applyAlignment="1" pivotButton="0" quotePrefix="0" xfId="0">
      <alignment horizontal="center" vertical="center"/>
    </xf>
    <xf numFmtId="168" fontId="20" fillId="17" borderId="79" pivotButton="0" quotePrefix="0" xfId="44"/>
    <xf numFmtId="168" fontId="20" fillId="17" borderId="77" pivotButton="0" quotePrefix="0" xfId="44"/>
    <xf numFmtId="168" fontId="14" fillId="13" borderId="7" applyAlignment="1" pivotButton="0" quotePrefix="0" xfId="44">
      <alignment horizontal="center" vertical="center"/>
    </xf>
    <xf numFmtId="168" fontId="9" fillId="8" borderId="2" applyAlignment="1" pivotButton="0" quotePrefix="0" xfId="44">
      <alignment horizontal="center" vertical="center"/>
    </xf>
    <xf numFmtId="164" fontId="9" fillId="4" borderId="51" applyAlignment="1" pivotButton="0" quotePrefix="0" xfId="0">
      <alignment horizontal="center" vertical="center"/>
    </xf>
    <xf numFmtId="0" fontId="20" fillId="17" borderId="78" pivotButton="0" quotePrefix="0" xfId="0"/>
    <xf numFmtId="2" fontId="9" fillId="4" borderId="10" applyAlignment="1" pivotButton="0" quotePrefix="0" xfId="44">
      <alignment horizontal="center" vertical="center"/>
    </xf>
    <xf numFmtId="2" fontId="9" fillId="4" borderId="52" applyAlignment="1" pivotButton="0" quotePrefix="0" xfId="44">
      <alignment horizontal="center" vertical="center"/>
    </xf>
    <xf numFmtId="165" fontId="9" fillId="4" borderId="6" applyAlignment="1" pivotButton="0" quotePrefix="0" xfId="0">
      <alignment horizontal="center" vertical="center"/>
    </xf>
    <xf numFmtId="0" fontId="25" fillId="20" borderId="0" pivotButton="0" quotePrefix="0" xfId="0"/>
    <xf numFmtId="0" fontId="26" fillId="21" borderId="0" pivotButton="0" quotePrefix="0" xfId="0"/>
    <xf numFmtId="0" fontId="27" fillId="0" borderId="0" pivotButton="0" quotePrefix="0" xfId="0"/>
    <xf numFmtId="0" fontId="28" fillId="22" borderId="0" pivotButton="0" quotePrefix="0" xfId="0"/>
    <xf numFmtId="0" fontId="29" fillId="23" borderId="0" pivotButton="0" quotePrefix="0" xfId="0"/>
    <xf numFmtId="0" fontId="20" fillId="17" borderId="79" pivotButton="0" quotePrefix="0" xfId="0"/>
    <xf numFmtId="0" fontId="20" fillId="17" borderId="79" applyAlignment="1" pivotButton="0" quotePrefix="0" xfId="0">
      <alignment horizontal="center"/>
    </xf>
    <xf numFmtId="0" fontId="20" fillId="17" borderId="79" applyAlignment="1" pivotButton="0" quotePrefix="0" xfId="0">
      <alignment horizontal="center" vertical="center"/>
    </xf>
    <xf numFmtId="0" fontId="20" fillId="17" borderId="79" applyAlignment="1" pivotButton="0" quotePrefix="0" xfId="0">
      <alignment vertical="center"/>
    </xf>
    <xf numFmtId="0" fontId="20" fillId="17" borderId="80" applyAlignment="1" pivotButton="0" quotePrefix="0" xfId="0">
      <alignment horizontal="center" vertical="center"/>
    </xf>
    <xf numFmtId="0" fontId="20" fillId="17" borderId="79" pivotButton="0" quotePrefix="0" xfId="0"/>
    <xf numFmtId="0" fontId="20" fillId="17" borderId="79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vertical="center"/>
    </xf>
    <xf numFmtId="0" fontId="3" fillId="3" borderId="79" applyAlignment="1" pivotButton="0" quotePrefix="0" xfId="0">
      <alignment horizontal="center" vertical="center"/>
    </xf>
    <xf numFmtId="0" fontId="20" fillId="4" borderId="2" pivotButton="0" quotePrefix="0" xfId="0"/>
    <xf numFmtId="0" fontId="20" fillId="4" borderId="3" applyAlignment="1" pivotButton="0" quotePrefix="0" xfId="0">
      <alignment horizontal="center"/>
    </xf>
    <xf numFmtId="0" fontId="20" fillId="4" borderId="79" applyAlignment="1" pivotButton="0" quotePrefix="0" xfId="0">
      <alignment horizontal="center"/>
    </xf>
    <xf numFmtId="0" fontId="20" fillId="4" borderId="4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20" fillId="17" borderId="2" pivotButton="0" quotePrefix="0" xfId="0"/>
    <xf numFmtId="0" fontId="20" fillId="17" borderId="2" applyAlignment="1" pivotButton="0" quotePrefix="0" xfId="0">
      <alignment horizontal="center"/>
    </xf>
    <xf numFmtId="0" fontId="20" fillId="17" borderId="2" applyAlignment="1" pivotButton="0" quotePrefix="0" xfId="0">
      <alignment horizontal="center" vertical="center"/>
    </xf>
    <xf numFmtId="0" fontId="20" fillId="17" borderId="2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4" fillId="17" borderId="2" pivotButton="0" quotePrefix="0" xfId="0"/>
    <xf numFmtId="0" fontId="20" fillId="17" borderId="2" applyAlignment="1" pivotButton="0" quotePrefix="0" xfId="0">
      <alignment horizontal="left" vertical="top"/>
    </xf>
    <xf numFmtId="0" fontId="20" fillId="17" borderId="2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/>
    </xf>
    <xf numFmtId="0" fontId="6" fillId="7" borderId="2" applyAlignment="1" pivotButton="0" quotePrefix="0" xfId="17">
      <alignment horizontal="center" vertical="center" wrapText="1"/>
    </xf>
    <xf numFmtId="0" fontId="20" fillId="5" borderId="2" applyAlignment="1" pivotButton="0" quotePrefix="0" xfId="0">
      <alignment horizontal="center"/>
    </xf>
    <xf numFmtId="0" fontId="20" fillId="4" borderId="9" applyAlignment="1" pivotButton="0" quotePrefix="0" xfId="0">
      <alignment horizontal="center"/>
    </xf>
    <xf numFmtId="0" fontId="20" fillId="17" borderId="10" applyAlignment="1" pivotButton="0" quotePrefix="0" xfId="0">
      <alignment horizontal="center" vertical="center"/>
    </xf>
    <xf numFmtId="0" fontId="20" fillId="17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20" fillId="17" borderId="1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/>
    </xf>
    <xf numFmtId="0" fontId="20" fillId="17" borderId="12" pivotButton="0" quotePrefix="0" xfId="0"/>
    <xf numFmtId="0" fontId="20" fillId="8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20" fillId="8" borderId="16" pivotButton="0" quotePrefix="0" xfId="0"/>
    <xf numFmtId="0" fontId="20" fillId="8" borderId="17" applyAlignment="1" pivotButton="0" quotePrefix="0" xfId="0">
      <alignment horizontal="center"/>
    </xf>
    <xf numFmtId="0" fontId="20" fillId="8" borderId="17" pivotButton="0" quotePrefix="0" xfId="0"/>
    <xf numFmtId="0" fontId="20" fillId="8" borderId="18" pivotButton="0" quotePrefix="0" xfId="0"/>
    <xf numFmtId="0" fontId="20" fillId="17" borderId="17" applyAlignment="1" pivotButton="0" quotePrefix="0" xfId="0">
      <alignment horizontal="center" vertical="center"/>
    </xf>
    <xf numFmtId="0" fontId="20" fillId="17" borderId="17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center" vertical="center"/>
    </xf>
    <xf numFmtId="0" fontId="20" fillId="17" borderId="8" pivotButton="0" quotePrefix="0" xfId="0"/>
    <xf numFmtId="0" fontId="20" fillId="17" borderId="19" pivotButton="0" quotePrefix="0" xfId="0"/>
    <xf numFmtId="0" fontId="20" fillId="17" borderId="6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19" pivotButton="0" quotePrefix="0" xfId="0"/>
    <xf numFmtId="0" fontId="20" fillId="17" borderId="79" applyAlignment="1" pivotButton="0" quotePrefix="0" xfId="0">
      <alignment horizontal="center" vertical="center"/>
    </xf>
    <xf numFmtId="0" fontId="20" fillId="4" borderId="8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0" fillId="4" borderId="9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20" fillId="8" borderId="16" applyAlignment="1" pivotButton="0" quotePrefix="0" xfId="0">
      <alignment horizontal="center" vertical="center"/>
    </xf>
    <xf numFmtId="0" fontId="20" fillId="8" borderId="17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20" fillId="17" borderId="8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20" fillId="17" borderId="2" applyAlignment="1" pivotButton="0" quotePrefix="0" xfId="0">
      <alignment horizontal="left" vertical="center"/>
    </xf>
    <xf numFmtId="0" fontId="20" fillId="17" borderId="2" applyAlignment="1" pivotButton="0" quotePrefix="0" xfId="0">
      <alignment vertical="center"/>
    </xf>
    <xf numFmtId="0" fontId="20" fillId="17" borderId="2" applyAlignment="1" pivotButton="0" quotePrefix="0" xfId="0">
      <alignment horizontal="left" vertical="center" wrapText="1"/>
    </xf>
    <xf numFmtId="0" fontId="20" fillId="17" borderId="2" applyAlignment="1" pivotButton="0" quotePrefix="0" xfId="0">
      <alignment vertical="center" wrapText="1"/>
    </xf>
    <xf numFmtId="164" fontId="7" fillId="17" borderId="1" applyAlignment="1" pivotButton="0" quotePrefix="0" xfId="0">
      <alignment horizontal="center" vertical="center"/>
    </xf>
    <xf numFmtId="164" fontId="8" fillId="17" borderId="79" applyAlignment="1" pivotButton="0" quotePrefix="0" xfId="0">
      <alignment horizontal="center" vertical="center"/>
    </xf>
    <xf numFmtId="0" fontId="20" fillId="17" borderId="79" applyAlignment="1" pivotButton="0" quotePrefix="0" xfId="0">
      <alignment vertical="center"/>
    </xf>
    <xf numFmtId="164" fontId="10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164" fontId="10" fillId="5" borderId="2" applyAlignment="1" pivotButton="0" quotePrefix="0" xfId="0">
      <alignment horizontal="center" vertical="center" wrapText="1"/>
    </xf>
    <xf numFmtId="164" fontId="12" fillId="9" borderId="2" applyAlignment="1" pivotButton="0" quotePrefix="0" xfId="0">
      <alignment horizontal="center" vertical="center" wrapText="1"/>
    </xf>
    <xf numFmtId="165" fontId="12" fillId="10" borderId="2" applyAlignment="1" pivotButton="0" quotePrefix="0" xfId="0">
      <alignment horizontal="center" vertical="center" wrapText="1"/>
    </xf>
    <xf numFmtId="164" fontId="10" fillId="11" borderId="2" applyAlignment="1" pivotButton="0" quotePrefix="0" xfId="0">
      <alignment horizontal="center" vertical="center" wrapText="1"/>
    </xf>
    <xf numFmtId="166" fontId="10" fillId="9" borderId="2" applyAlignment="1" pivotButton="0" quotePrefix="0" xfId="0">
      <alignment horizontal="center" vertical="center" wrapText="1"/>
    </xf>
    <xf numFmtId="164" fontId="13" fillId="12" borderId="2" applyAlignment="1" pivotButton="0" quotePrefix="0" xfId="0">
      <alignment horizontal="center" vertical="center" wrapText="1"/>
    </xf>
    <xf numFmtId="164" fontId="9" fillId="17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167" fontId="20" fillId="17" borderId="2" pivotButton="0" quotePrefix="0" xfId="0"/>
    <xf numFmtId="168" fontId="14" fillId="13" borderId="2" applyAlignment="1" pivotButton="0" quotePrefix="0" xfId="44">
      <alignment horizontal="center" vertical="center"/>
    </xf>
    <xf numFmtId="165" fontId="11" fillId="17" borderId="2" applyAlignment="1" pivotButton="0" quotePrefix="0" xfId="23">
      <alignment horizontal="center" vertical="center" wrapText="1"/>
    </xf>
    <xf numFmtId="166" fontId="11" fillId="17" borderId="2" applyAlignment="1" pivotButton="0" quotePrefix="0" xfId="23">
      <alignment horizontal="center" vertical="center" wrapText="1"/>
    </xf>
    <xf numFmtId="169" fontId="9" fillId="17" borderId="2" applyAlignment="1" pivotButton="0" quotePrefix="0" xfId="0">
      <alignment horizontal="center" vertical="center"/>
    </xf>
    <xf numFmtId="169" fontId="11" fillId="17" borderId="2" applyAlignment="1" pivotButton="0" quotePrefix="0" xfId="23">
      <alignment horizontal="center" vertical="center" wrapText="1"/>
    </xf>
    <xf numFmtId="0" fontId="9" fillId="17" borderId="79" applyAlignment="1" pivotButton="0" quotePrefix="0" xfId="0">
      <alignment horizontal="center" vertical="center"/>
    </xf>
    <xf numFmtId="170" fontId="9" fillId="17" borderId="79" applyAlignment="1" pivotButton="0" quotePrefix="0" xfId="0">
      <alignment horizontal="center" vertical="center"/>
    </xf>
    <xf numFmtId="0" fontId="14" fillId="13" borderId="12" applyAlignment="1" pivotButton="0" quotePrefix="0" xfId="0">
      <alignment horizontal="center" vertical="center"/>
    </xf>
    <xf numFmtId="167" fontId="20" fillId="17" borderId="12" pivotButton="0" quotePrefix="0" xfId="0"/>
    <xf numFmtId="168" fontId="14" fillId="13" borderId="12" applyAlignment="1" pivotButton="0" quotePrefix="0" xfId="44">
      <alignment horizontal="center" vertical="center"/>
    </xf>
    <xf numFmtId="165" fontId="11" fillId="17" borderId="12" applyAlignment="1" pivotButton="0" quotePrefix="0" xfId="23">
      <alignment horizontal="center" vertical="center" wrapText="1"/>
    </xf>
    <xf numFmtId="166" fontId="11" fillId="17" borderId="12" applyAlignment="1" pivotButton="0" quotePrefix="0" xfId="23">
      <alignment horizontal="center" vertical="center" wrapText="1"/>
    </xf>
    <xf numFmtId="164" fontId="9" fillId="8" borderId="21" applyAlignment="1" pivotButton="0" quotePrefix="0" xfId="0">
      <alignment horizontal="center" vertical="center"/>
    </xf>
    <xf numFmtId="0" fontId="0" fillId="0" borderId="16" pivotButton="0" quotePrefix="0" xfId="0"/>
    <xf numFmtId="165" fontId="9" fillId="8" borderId="22" applyAlignment="1" pivotButton="0" quotePrefix="0" xfId="0">
      <alignment horizontal="center" vertical="center"/>
    </xf>
    <xf numFmtId="165" fontId="9" fillId="8" borderId="23" applyAlignment="1" pivotButton="0" quotePrefix="0" xfId="0">
      <alignment horizontal="center" vertical="center"/>
    </xf>
    <xf numFmtId="166" fontId="11" fillId="8" borderId="23" applyAlignment="1" pivotButton="0" quotePrefix="0" xfId="23">
      <alignment horizontal="center" vertical="center" wrapText="1"/>
    </xf>
    <xf numFmtId="171" fontId="9" fillId="8" borderId="17" applyAlignment="1" pivotButton="0" quotePrefix="0" xfId="0">
      <alignment horizontal="center" vertical="center"/>
    </xf>
    <xf numFmtId="0" fontId="6" fillId="17" borderId="8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167" fontId="20" fillId="17" borderId="8" pivotButton="0" quotePrefix="0" xfId="0"/>
    <xf numFmtId="168" fontId="14" fillId="13" borderId="8" applyAlignment="1" pivotButton="0" quotePrefix="0" xfId="44">
      <alignment horizontal="center" vertical="center"/>
    </xf>
    <xf numFmtId="166" fontId="11" fillId="17" borderId="8" applyAlignment="1" pivotButton="0" quotePrefix="0" xfId="23">
      <alignment horizontal="center" vertical="center" wrapText="1"/>
    </xf>
    <xf numFmtId="169" fontId="9" fillId="17" borderId="8" applyAlignment="1" pivotButton="0" quotePrefix="0" xfId="0">
      <alignment horizontal="center" vertical="center"/>
    </xf>
    <xf numFmtId="0" fontId="6" fillId="17" borderId="17" applyAlignment="1" pivotButton="0" quotePrefix="0" xfId="0">
      <alignment horizontal="center" vertical="center"/>
    </xf>
    <xf numFmtId="165" fontId="9" fillId="8" borderId="17" applyAlignment="1" pivotButton="0" quotePrefix="0" xfId="0">
      <alignment horizontal="center" vertical="center"/>
    </xf>
    <xf numFmtId="165" fontId="9" fillId="8" borderId="15" applyAlignment="1" pivotButton="0" quotePrefix="0" xfId="0">
      <alignment horizontal="center" vertical="center"/>
    </xf>
    <xf numFmtId="165" fontId="9" fillId="8" borderId="13" applyAlignment="1" pivotButton="0" quotePrefix="0" xfId="0">
      <alignment horizontal="center" vertical="center"/>
    </xf>
    <xf numFmtId="165" fontId="9" fillId="8" borderId="16" applyAlignment="1" pivotButton="0" quotePrefix="0" xfId="0">
      <alignment horizontal="center" vertical="center"/>
    </xf>
    <xf numFmtId="164" fontId="9" fillId="8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165" fontId="9" fillId="8" borderId="29" applyAlignment="1" pivotButton="0" quotePrefix="0" xfId="0">
      <alignment horizontal="center" vertical="center"/>
    </xf>
    <xf numFmtId="165" fontId="9" fillId="8" borderId="30" applyAlignment="1" pivotButton="0" quotePrefix="0" xfId="0">
      <alignment horizontal="center" vertical="center"/>
    </xf>
    <xf numFmtId="165" fontId="9" fillId="8" borderId="31" applyAlignment="1" pivotButton="0" quotePrefix="0" xfId="0">
      <alignment horizontal="center" vertical="center"/>
    </xf>
    <xf numFmtId="0" fontId="6" fillId="17" borderId="32" applyAlignment="1" pivotButton="0" quotePrefix="0" xfId="0">
      <alignment horizontal="center" vertical="center"/>
    </xf>
    <xf numFmtId="0" fontId="14" fillId="13" borderId="33" applyAlignment="1" pivotButton="0" quotePrefix="0" xfId="0">
      <alignment horizontal="center" vertical="center"/>
    </xf>
    <xf numFmtId="167" fontId="20" fillId="17" borderId="33" pivotButton="0" quotePrefix="0" xfId="0"/>
    <xf numFmtId="0" fontId="20" fillId="17" borderId="33" pivotButton="0" quotePrefix="0" xfId="0"/>
    <xf numFmtId="166" fontId="11" fillId="17" borderId="34" applyAlignment="1" pivotButton="0" quotePrefix="0" xfId="23">
      <alignment horizontal="center" vertical="center" wrapText="1"/>
    </xf>
    <xf numFmtId="169" fontId="9" fillId="17" borderId="32" applyAlignment="1" pivotButton="0" quotePrefix="0" xfId="0">
      <alignment horizontal="center" vertical="center"/>
    </xf>
    <xf numFmtId="169" fontId="9" fillId="17" borderId="35" applyAlignment="1" pivotButton="0" quotePrefix="0" xfId="0">
      <alignment horizontal="center" vertical="center"/>
    </xf>
    <xf numFmtId="0" fontId="0" fillId="0" borderId="36" pivotButton="0" quotePrefix="0" xfId="0"/>
    <xf numFmtId="0" fontId="14" fillId="13" borderId="10" applyAlignment="1" pivotButton="0" quotePrefix="0" xfId="0">
      <alignment horizontal="center" vertical="center"/>
    </xf>
    <xf numFmtId="167" fontId="20" fillId="17" borderId="10" pivotButton="0" quotePrefix="0" xfId="0"/>
    <xf numFmtId="0" fontId="20" fillId="17" borderId="10" pivotButton="0" quotePrefix="0" xfId="0"/>
    <xf numFmtId="166" fontId="11" fillId="17" borderId="37" applyAlignment="1" pivotButton="0" quotePrefix="0" xfId="23">
      <alignment horizontal="center" vertical="center" wrapText="1"/>
    </xf>
    <xf numFmtId="0" fontId="0" fillId="0" borderId="38" pivotButton="0" quotePrefix="0" xfId="0"/>
    <xf numFmtId="164" fontId="9" fillId="8" borderId="39" applyAlignment="1" pivotButton="0" quotePrefix="0" xfId="0">
      <alignment horizontal="center" vertical="center"/>
    </xf>
    <xf numFmtId="165" fontId="9" fillId="8" borderId="7" applyAlignment="1" pivotButton="0" quotePrefix="0" xfId="0">
      <alignment horizontal="center" vertical="center"/>
    </xf>
    <xf numFmtId="165" fontId="9" fillId="8" borderId="40" applyAlignment="1" pivotButton="0" quotePrefix="0" xfId="0">
      <alignment horizontal="center" vertical="center"/>
    </xf>
    <xf numFmtId="166" fontId="11" fillId="17" borderId="33" applyAlignment="1" pivotButton="0" quotePrefix="0" xfId="23">
      <alignment horizontal="center" vertical="center" wrapText="1"/>
    </xf>
    <xf numFmtId="166" fontId="11" fillId="17" borderId="10" applyAlignment="1" pivotButton="0" quotePrefix="0" xfId="23">
      <alignment horizontal="center" vertical="center" wrapText="1"/>
    </xf>
    <xf numFmtId="164" fontId="9" fillId="8" borderId="41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5" fontId="9" fillId="8" borderId="11" applyAlignment="1" pivotButton="0" quotePrefix="0" xfId="0">
      <alignment horizontal="center" vertical="center"/>
    </xf>
    <xf numFmtId="165" fontId="9" fillId="8" borderId="44" applyAlignment="1" pivotButton="0" quotePrefix="0" xfId="0">
      <alignment horizontal="center" vertical="center"/>
    </xf>
    <xf numFmtId="165" fontId="9" fillId="8" borderId="45" applyAlignment="1" pivotButton="0" quotePrefix="0" xfId="0">
      <alignment horizontal="center" vertical="center"/>
    </xf>
    <xf numFmtId="169" fontId="9" fillId="17" borderId="21" applyAlignment="1" pivotButton="0" quotePrefix="0" xfId="0">
      <alignment horizontal="center" vertical="center"/>
    </xf>
    <xf numFmtId="169" fontId="9" fillId="17" borderId="1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6" pivotButton="0" quotePrefix="0" xfId="0"/>
    <xf numFmtId="0" fontId="0" fillId="0" borderId="41" pivotButton="0" quotePrefix="0" xfId="0"/>
    <xf numFmtId="0" fontId="0" fillId="0" borderId="47" pivotButton="0" quotePrefix="0" xfId="0"/>
    <xf numFmtId="164" fontId="9" fillId="4" borderId="21" applyAlignment="1" pivotButton="0" quotePrefix="0" xfId="0">
      <alignment horizontal="center" vertical="center"/>
    </xf>
    <xf numFmtId="165" fontId="9" fillId="4" borderId="17" applyAlignment="1" pivotButton="0" quotePrefix="0" xfId="0">
      <alignment horizontal="center" vertical="center"/>
    </xf>
    <xf numFmtId="165" fontId="9" fillId="4" borderId="2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 wrapText="1"/>
    </xf>
    <xf numFmtId="164" fontId="9" fillId="17" borderId="10" applyAlignment="1" pivotButton="0" quotePrefix="0" xfId="0">
      <alignment horizontal="center" vertical="center"/>
    </xf>
    <xf numFmtId="167" fontId="20" fillId="17" borderId="2" applyAlignment="1" pivotButton="0" quotePrefix="0" xfId="0">
      <alignment horizontal="center" vertical="center"/>
    </xf>
    <xf numFmtId="167" fontId="20" fillId="17" borderId="12" applyAlignment="1" pivotButton="0" quotePrefix="0" xfId="0">
      <alignment horizontal="center" vertical="center"/>
    </xf>
    <xf numFmtId="167" fontId="20" fillId="17" borderId="8" applyAlignment="1" pivotButton="0" quotePrefix="0" xfId="0">
      <alignment horizontal="center" vertical="center"/>
    </xf>
    <xf numFmtId="0" fontId="15" fillId="17" borderId="79" applyAlignment="1" pivotButton="0" quotePrefix="0" xfId="0">
      <alignment horizontal="center" vertical="center"/>
    </xf>
    <xf numFmtId="164" fontId="9" fillId="8" borderId="13" applyAlignment="1" pivotButton="0" quotePrefix="0" xfId="0">
      <alignment horizontal="center" vertical="center"/>
    </xf>
    <xf numFmtId="165" fontId="9" fillId="8" borderId="27" applyAlignment="1" pivotButton="0" quotePrefix="0" xfId="0">
      <alignment horizontal="center" vertical="center"/>
    </xf>
    <xf numFmtId="0" fontId="6" fillId="17" borderId="21" applyAlignment="1" pivotButton="0" quotePrefix="0" xfId="0">
      <alignment horizontal="center" vertical="center"/>
    </xf>
    <xf numFmtId="167" fontId="20" fillId="17" borderId="33" applyAlignment="1" pivotButton="0" quotePrefix="0" xfId="0">
      <alignment horizontal="center" vertical="center"/>
    </xf>
    <xf numFmtId="0" fontId="20" fillId="17" borderId="33" applyAlignment="1" pivotButton="0" quotePrefix="0" xfId="0">
      <alignment horizontal="center" vertical="center"/>
    </xf>
    <xf numFmtId="167" fontId="20" fillId="17" borderId="10" applyAlignment="1" pivotButton="0" quotePrefix="0" xfId="0">
      <alignment horizontal="center" vertical="center"/>
    </xf>
    <xf numFmtId="165" fontId="9" fillId="8" borderId="48" applyAlignment="1" pivotButton="0" quotePrefix="0" xfId="0">
      <alignment horizontal="center" vertical="center"/>
    </xf>
    <xf numFmtId="165" fontId="9" fillId="4" borderId="14" applyAlignment="1" pivotButton="0" quotePrefix="0" xfId="0">
      <alignment horizontal="center" vertical="center"/>
    </xf>
    <xf numFmtId="165" fontId="9" fillId="4" borderId="13" applyAlignment="1" pivotButton="0" quotePrefix="0" xfId="0">
      <alignment horizontal="center" vertical="center"/>
    </xf>
    <xf numFmtId="0" fontId="20" fillId="17" borderId="1" pivotButton="0" quotePrefix="0" xfId="0"/>
    <xf numFmtId="0" fontId="20" fillId="8" borderId="18" applyAlignment="1" pivotButton="0" quotePrefix="0" xfId="0">
      <alignment horizontal="center" vertical="center" wrapText="1"/>
    </xf>
    <xf numFmtId="0" fontId="20" fillId="8" borderId="79" pivotButton="0" quotePrefix="0" xfId="0"/>
    <xf numFmtId="169" fontId="9" fillId="17" borderId="8" applyAlignment="1" pivotButton="0" quotePrefix="0" xfId="0">
      <alignment horizontal="center" vertical="center" wrapText="1"/>
    </xf>
    <xf numFmtId="168" fontId="14" fillId="13" borderId="2" applyAlignment="1" pivotButton="0" quotePrefix="0" xfId="0">
      <alignment horizontal="center" vertical="center"/>
    </xf>
    <xf numFmtId="165" fontId="9" fillId="8" borderId="15" applyAlignment="1" pivotButton="0" quotePrefix="0" xfId="0">
      <alignment horizontal="center" vertical="center" wrapText="1"/>
    </xf>
    <xf numFmtId="165" fontId="9" fillId="8" borderId="31" applyAlignment="1" pivotButton="0" quotePrefix="0" xfId="0">
      <alignment horizontal="center" vertical="center" wrapText="1"/>
    </xf>
    <xf numFmtId="169" fontId="9" fillId="17" borderId="35" applyAlignment="1" pivotButton="0" quotePrefix="0" xfId="0">
      <alignment horizontal="center" vertical="center" wrapText="1"/>
    </xf>
    <xf numFmtId="165" fontId="9" fillId="8" borderId="40" applyAlignment="1" pivotButton="0" quotePrefix="0" xfId="0">
      <alignment horizontal="center" vertical="center" wrapText="1"/>
    </xf>
    <xf numFmtId="165" fontId="9" fillId="8" borderId="45" applyAlignment="1" pivotButton="0" quotePrefix="0" xfId="0">
      <alignment horizontal="center" vertical="center" wrapText="1"/>
    </xf>
    <xf numFmtId="169" fontId="9" fillId="17" borderId="18" applyAlignment="1" pivotButton="0" quotePrefix="0" xfId="0">
      <alignment horizontal="center" vertical="center" wrapText="1"/>
    </xf>
    <xf numFmtId="165" fontId="9" fillId="4" borderId="17" applyAlignment="1" pivotButton="0" quotePrefix="0" xfId="0">
      <alignment horizontal="center" vertical="center" wrapText="1"/>
    </xf>
    <xf numFmtId="165" fontId="9" fillId="4" borderId="14" applyAlignment="1" pivotButton="0" quotePrefix="0" xfId="0">
      <alignment horizontal="center" vertical="center" wrapText="1"/>
    </xf>
    <xf numFmtId="165" fontId="9" fillId="4" borderId="13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20" fillId="4" borderId="79" pivotButton="0" quotePrefix="0" xfId="0"/>
    <xf numFmtId="164" fontId="7" fillId="17" borderId="79" applyAlignment="1" pivotButton="0" quotePrefix="0" xfId="0">
      <alignment horizontal="center" vertical="center"/>
    </xf>
    <xf numFmtId="164" fontId="10" fillId="9" borderId="8" applyAlignment="1" pivotButton="0" quotePrefix="0" xfId="0">
      <alignment horizontal="center" vertical="center" wrapText="1"/>
    </xf>
    <xf numFmtId="164" fontId="11" fillId="9" borderId="8" applyAlignment="1" pivotButton="0" quotePrefix="0" xfId="0">
      <alignment horizontal="center" vertical="center" wrapText="1"/>
    </xf>
    <xf numFmtId="164" fontId="10" fillId="5" borderId="8" applyAlignment="1" pivotButton="0" quotePrefix="0" xfId="0">
      <alignment horizontal="center" vertical="center" wrapText="1"/>
    </xf>
    <xf numFmtId="164" fontId="12" fillId="9" borderId="8" applyAlignment="1" pivotButton="0" quotePrefix="0" xfId="0">
      <alignment horizontal="center" vertical="center" wrapText="1"/>
    </xf>
    <xf numFmtId="164" fontId="12" fillId="5" borderId="8" applyAlignment="1" pivotButton="0" quotePrefix="0" xfId="0">
      <alignment horizontal="center" vertical="center" wrapText="1"/>
    </xf>
    <xf numFmtId="164" fontId="10" fillId="11" borderId="8" applyAlignment="1" pivotButton="0" quotePrefix="0" xfId="0">
      <alignment horizontal="center" vertical="center" wrapText="1"/>
    </xf>
    <xf numFmtId="166" fontId="10" fillId="9" borderId="8" applyAlignment="1" pivotButton="0" quotePrefix="0" xfId="0">
      <alignment horizontal="center" vertical="center" wrapText="1"/>
    </xf>
    <xf numFmtId="164" fontId="13" fillId="12" borderId="8" applyAlignment="1" pivotButton="0" quotePrefix="0" xfId="0">
      <alignment horizontal="center" vertical="center" wrapText="1"/>
    </xf>
    <xf numFmtId="168" fontId="14" fillId="13" borderId="10" applyAlignment="1" pivotButton="0" quotePrefix="0" xfId="44">
      <alignment horizontal="center" vertical="center"/>
    </xf>
    <xf numFmtId="169" fontId="11" fillId="17" borderId="10" applyAlignment="1" pivotButton="0" quotePrefix="0" xfId="23">
      <alignment horizontal="center" vertical="center" wrapText="1"/>
    </xf>
    <xf numFmtId="167" fontId="20" fillId="14" borderId="2" applyAlignment="1" pivotButton="0" quotePrefix="0" xfId="0">
      <alignment horizontal="center" vertical="center"/>
    </xf>
    <xf numFmtId="0" fontId="20" fillId="14" borderId="7" pivotButton="0" quotePrefix="0" xfId="0"/>
    <xf numFmtId="166" fontId="11" fillId="14" borderId="2" applyAlignment="1" pivotButton="0" quotePrefix="0" xfId="23">
      <alignment horizontal="center" vertical="center" wrapText="1"/>
    </xf>
    <xf numFmtId="167" fontId="9" fillId="17" borderId="79" applyAlignment="1" pivotButton="0" quotePrefix="0" xfId="0">
      <alignment horizontal="center" vertical="center"/>
    </xf>
    <xf numFmtId="0" fontId="6" fillId="17" borderId="10" applyAlignment="1" pivotButton="0" quotePrefix="0" xfId="0">
      <alignment horizontal="center" vertical="center"/>
    </xf>
    <xf numFmtId="169" fontId="9" fillId="17" borderId="10" applyAlignment="1" pivotButton="0" quotePrefix="0" xfId="0">
      <alignment horizontal="center" vertical="center" wrapText="1"/>
    </xf>
    <xf numFmtId="167" fontId="20" fillId="14" borderId="12" applyAlignment="1" pivotButton="0" quotePrefix="0" xfId="0">
      <alignment horizontal="center" vertical="center"/>
    </xf>
    <xf numFmtId="0" fontId="20" fillId="14" borderId="8" pivotButton="0" quotePrefix="0" xfId="0"/>
    <xf numFmtId="166" fontId="11" fillId="14" borderId="12" applyAlignment="1" pivotButton="0" quotePrefix="0" xfId="23">
      <alignment horizontal="center" vertical="center" wrapText="1"/>
    </xf>
    <xf numFmtId="168" fontId="14" fillId="13" borderId="10" applyAlignment="1" pivotButton="0" quotePrefix="0" xfId="0">
      <alignment horizontal="center" vertical="center"/>
    </xf>
    <xf numFmtId="0" fontId="20" fillId="14" borderId="20" pivotButton="0" quotePrefix="0" xfId="0"/>
    <xf numFmtId="0" fontId="20" fillId="14" borderId="19" pivotButton="0" quotePrefix="0" xfId="0"/>
    <xf numFmtId="165" fontId="9" fillId="8" borderId="18" applyAlignment="1" pivotButton="0" quotePrefix="0" xfId="0">
      <alignment horizontal="center" vertical="center"/>
    </xf>
    <xf numFmtId="165" fontId="9" fillId="8" borderId="49" applyAlignment="1" pivotButton="0" quotePrefix="0" xfId="0">
      <alignment horizontal="center" vertical="center"/>
    </xf>
    <xf numFmtId="165" fontId="9" fillId="8" borderId="18" applyAlignment="1" pivotButton="0" quotePrefix="0" xfId="0">
      <alignment horizontal="center" vertical="center" wrapText="1"/>
    </xf>
    <xf numFmtId="0" fontId="6" fillId="17" borderId="51" applyAlignment="1" pivotButton="0" quotePrefix="0" xfId="0">
      <alignment horizontal="center" vertical="center"/>
    </xf>
    <xf numFmtId="169" fontId="9" fillId="17" borderId="52" applyAlignment="1" pivotButton="0" quotePrefix="0" xfId="0">
      <alignment horizontal="center" vertical="center" wrapText="1"/>
    </xf>
    <xf numFmtId="167" fontId="20" fillId="14" borderId="10" applyAlignment="1" pivotButton="0" quotePrefix="0" xfId="0">
      <alignment horizontal="center" vertical="center"/>
    </xf>
    <xf numFmtId="166" fontId="11" fillId="14" borderId="37" applyAlignment="1" pivotButton="0" quotePrefix="0" xfId="23">
      <alignment horizontal="center" vertical="center" wrapText="1"/>
    </xf>
    <xf numFmtId="165" fontId="9" fillId="8" borderId="49" applyAlignment="1" pivotButton="0" quotePrefix="0" xfId="0">
      <alignment horizontal="center" vertical="center" wrapText="1"/>
    </xf>
    <xf numFmtId="166" fontId="11" fillId="14" borderId="10" applyAlignment="1" pivotButton="0" quotePrefix="0" xfId="23">
      <alignment horizontal="center" vertical="center" wrapText="1"/>
    </xf>
    <xf numFmtId="167" fontId="14" fillId="13" borderId="12" applyAlignment="1" pivotButton="0" quotePrefix="0" xfId="0">
      <alignment horizontal="center" vertical="center"/>
    </xf>
    <xf numFmtId="168" fontId="14" fillId="13" borderId="12" applyAlignment="1" pivotButton="0" quotePrefix="0" xfId="0">
      <alignment horizontal="center" vertical="center"/>
    </xf>
    <xf numFmtId="166" fontId="11" fillId="14" borderId="12" applyAlignment="1" pivotButton="0" quotePrefix="0" xfId="0">
      <alignment horizontal="center" vertical="center" wrapText="1"/>
    </xf>
    <xf numFmtId="167" fontId="14" fillId="13" borderId="10" applyAlignment="1" pivotButton="0" quotePrefix="0" xfId="0">
      <alignment horizontal="center" vertical="center"/>
    </xf>
    <xf numFmtId="166" fontId="11" fillId="17" borderId="10" applyAlignment="1" pivotButton="0" quotePrefix="0" xfId="0">
      <alignment horizontal="center" vertical="center" wrapText="1"/>
    </xf>
    <xf numFmtId="0" fontId="20" fillId="17" borderId="52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166" fontId="20" fillId="14" borderId="10" applyAlignment="1" pivotButton="0" quotePrefix="0" xfId="0">
      <alignment horizontal="center" vertical="center"/>
    </xf>
    <xf numFmtId="169" fontId="20" fillId="14" borderId="10" applyAlignment="1" pivotButton="0" quotePrefix="0" xfId="0">
      <alignment horizontal="center" vertical="center" wrapText="1"/>
    </xf>
    <xf numFmtId="0" fontId="20" fillId="14" borderId="79" applyAlignment="1" pivotButton="0" quotePrefix="0" xfId="0">
      <alignment horizontal="center" vertical="center"/>
    </xf>
    <xf numFmtId="0" fontId="20" fillId="14" borderId="2" applyAlignment="1" pivotButton="0" quotePrefix="0" xfId="0">
      <alignment horizontal="center" vertical="center"/>
    </xf>
    <xf numFmtId="166" fontId="20" fillId="14" borderId="2" applyAlignment="1" pivotButton="0" quotePrefix="0" xfId="0">
      <alignment horizontal="center" vertical="center"/>
    </xf>
    <xf numFmtId="167" fontId="20" fillId="14" borderId="79" applyAlignment="1" pivotButton="0" quotePrefix="0" xfId="0">
      <alignment horizontal="center" vertical="center"/>
    </xf>
    <xf numFmtId="0" fontId="20" fillId="15" borderId="17" applyAlignment="1" pivotButton="0" quotePrefix="0" xfId="0">
      <alignment horizontal="center" vertical="center"/>
    </xf>
    <xf numFmtId="165" fontId="20" fillId="15" borderId="17" applyAlignment="1" pivotButton="0" quotePrefix="0" xfId="0">
      <alignment horizontal="center" vertical="center"/>
    </xf>
    <xf numFmtId="0" fontId="20" fillId="15" borderId="17" applyAlignment="1" pivotButton="0" quotePrefix="0" xfId="0">
      <alignment horizontal="center" vertical="center" wrapText="1"/>
    </xf>
    <xf numFmtId="0" fontId="20" fillId="15" borderId="79" applyAlignment="1" pivotButton="0" quotePrefix="0" xfId="0">
      <alignment horizontal="center" vertical="center"/>
    </xf>
    <xf numFmtId="165" fontId="20" fillId="14" borderId="2" applyAlignment="1" pivotButton="0" quotePrefix="0" xfId="0">
      <alignment horizontal="center" vertical="center"/>
    </xf>
    <xf numFmtId="166" fontId="20" fillId="15" borderId="17" applyAlignment="1" pivotButton="0" quotePrefix="0" xfId="0">
      <alignment horizontal="center" vertical="center"/>
    </xf>
    <xf numFmtId="169" fontId="20" fillId="15" borderId="17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 wrapText="1"/>
    </xf>
    <xf numFmtId="165" fontId="20" fillId="15" borderId="17" applyAlignment="1" pivotButton="0" quotePrefix="0" xfId="0">
      <alignment horizontal="center" vertical="center" wrapText="1"/>
    </xf>
    <xf numFmtId="164" fontId="9" fillId="16" borderId="21" applyAlignment="1" pivotButton="0" quotePrefix="0" xfId="0">
      <alignment horizontal="center" vertical="center"/>
    </xf>
    <xf numFmtId="165" fontId="9" fillId="16" borderId="17" applyAlignment="1" pivotButton="0" quotePrefix="0" xfId="0">
      <alignment horizontal="center" vertical="center" wrapText="1"/>
    </xf>
    <xf numFmtId="166" fontId="9" fillId="16" borderId="17" applyAlignment="1" pivotButton="0" quotePrefix="0" xfId="0">
      <alignment horizontal="center" vertical="center" wrapText="1"/>
    </xf>
    <xf numFmtId="0" fontId="9" fillId="16" borderId="17" applyAlignment="1" pivotButton="0" quotePrefix="0" xfId="0">
      <alignment horizontal="center" vertical="center" wrapText="1"/>
    </xf>
    <xf numFmtId="0" fontId="20" fillId="16" borderId="79" pivotButton="0" quotePrefix="0" xfId="0"/>
    <xf numFmtId="165" fontId="20" fillId="14" borderId="10" applyAlignment="1" pivotButton="0" quotePrefix="0" xfId="0">
      <alignment horizontal="center" vertical="center"/>
    </xf>
    <xf numFmtId="165" fontId="20" fillId="14" borderId="10" applyAlignment="1" pivotButton="0" quotePrefix="0" xfId="0">
      <alignment horizontal="center" vertical="center" wrapText="1"/>
    </xf>
    <xf numFmtId="165" fontId="9" fillId="16" borderId="13" applyAlignment="1" pivotButton="0" quotePrefix="0" xfId="0">
      <alignment horizontal="center" vertical="center" wrapText="1"/>
    </xf>
    <xf numFmtId="0" fontId="20" fillId="16" borderId="79" applyAlignment="1" pivotButton="0" quotePrefix="0" xfId="0">
      <alignment horizontal="center" vertical="center"/>
    </xf>
    <xf numFmtId="0" fontId="9" fillId="16" borderId="13" applyAlignment="1" pivotButton="0" quotePrefix="0" xfId="0">
      <alignment horizontal="center" vertical="center" wrapText="1"/>
    </xf>
    <xf numFmtId="0" fontId="20" fillId="14" borderId="53" applyAlignment="1" pivotButton="0" quotePrefix="0" xfId="0">
      <alignment horizontal="center" vertical="center"/>
    </xf>
    <xf numFmtId="167" fontId="20" fillId="14" borderId="53" applyAlignment="1" pivotButton="0" quotePrefix="0" xfId="0">
      <alignment horizontal="center" vertical="center"/>
    </xf>
    <xf numFmtId="166" fontId="20" fillId="14" borderId="53" applyAlignment="1" pivotButton="0" quotePrefix="0" xfId="0">
      <alignment horizontal="center" vertical="center"/>
    </xf>
    <xf numFmtId="169" fontId="20" fillId="14" borderId="53" applyAlignment="1" pivotButton="0" quotePrefix="0" xfId="0">
      <alignment horizontal="center" vertical="center" wrapText="1"/>
    </xf>
    <xf numFmtId="0" fontId="0" fillId="0" borderId="54" pivotButton="0" quotePrefix="0" xfId="0"/>
    <xf numFmtId="0" fontId="20" fillId="14" borderId="55" applyAlignment="1" pivotButton="0" quotePrefix="0" xfId="0">
      <alignment horizontal="center" vertical="center"/>
    </xf>
    <xf numFmtId="167" fontId="20" fillId="14" borderId="55" applyAlignment="1" pivotButton="0" quotePrefix="0" xfId="0">
      <alignment horizontal="center" vertical="center"/>
    </xf>
    <xf numFmtId="166" fontId="20" fillId="14" borderId="55" applyAlignment="1" pivotButton="0" quotePrefix="0" xfId="0">
      <alignment horizontal="center" vertical="center"/>
    </xf>
    <xf numFmtId="0" fontId="0" fillId="0" borderId="56" pivotButton="0" quotePrefix="0" xfId="0"/>
    <xf numFmtId="0" fontId="20" fillId="15" borderId="57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5" fontId="20" fillId="15" borderId="57" applyAlignment="1" pivotButton="0" quotePrefix="0" xfId="0">
      <alignment horizontal="center" vertical="center"/>
    </xf>
    <xf numFmtId="0" fontId="20" fillId="15" borderId="57" applyAlignment="1" pivotButton="0" quotePrefix="0" xfId="0">
      <alignment horizontal="center" vertical="center" wrapText="1"/>
    </xf>
    <xf numFmtId="166" fontId="20" fillId="15" borderId="57" applyAlignment="1" pivotButton="0" quotePrefix="0" xfId="0">
      <alignment horizontal="center" vertical="center"/>
    </xf>
    <xf numFmtId="165" fontId="20" fillId="14" borderId="53" applyAlignment="1" pivotButton="0" quotePrefix="0" xfId="0">
      <alignment horizontal="center" vertical="center"/>
    </xf>
    <xf numFmtId="0" fontId="20" fillId="14" borderId="53" applyAlignment="1" pivotButton="0" quotePrefix="0" xfId="0">
      <alignment horizontal="center" vertical="center" wrapText="1"/>
    </xf>
    <xf numFmtId="165" fontId="20" fillId="14" borderId="55" applyAlignment="1" pivotButton="0" quotePrefix="0" xfId="0">
      <alignment horizontal="center" vertical="center"/>
    </xf>
    <xf numFmtId="164" fontId="9" fillId="16" borderId="6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165" fontId="9" fillId="16" borderId="63" applyAlignment="1" pivotButton="0" quotePrefix="0" xfId="0">
      <alignment horizontal="center" vertical="center" wrapText="1"/>
    </xf>
    <xf numFmtId="0" fontId="9" fillId="16" borderId="63" applyAlignment="1" pivotButton="0" quotePrefix="0" xfId="0">
      <alignment horizontal="center" vertical="center" wrapText="1"/>
    </xf>
    <xf numFmtId="166" fontId="9" fillId="16" borderId="63" applyAlignment="1" pivotButton="0" quotePrefix="0" xfId="0">
      <alignment horizontal="center" vertical="center" wrapText="1"/>
    </xf>
    <xf numFmtId="0" fontId="20" fillId="17" borderId="80" applyAlignment="1" pivotButton="0" quotePrefix="0" xfId="0">
      <alignment horizontal="center" vertical="center"/>
    </xf>
    <xf numFmtId="164" fontId="7" fillId="17" borderId="1" applyAlignment="1" pivotButton="0" quotePrefix="0" xfId="0">
      <alignment horizontal="center" vertical="center"/>
    </xf>
    <xf numFmtId="164" fontId="17" fillId="11" borderId="66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18" fillId="5" borderId="66" applyAlignment="1" pivotButton="0" quotePrefix="0" xfId="0">
      <alignment horizontal="center" vertical="center" wrapText="1"/>
    </xf>
    <xf numFmtId="164" fontId="18" fillId="5" borderId="66" applyAlignment="1" pivotButton="0" quotePrefix="0" xfId="0">
      <alignment horizontal="center" vertical="center" wrapText="1"/>
    </xf>
    <xf numFmtId="40" fontId="20" fillId="14" borderId="53" applyAlignment="1" pivotButton="0" quotePrefix="0" xfId="0">
      <alignment horizontal="center" vertical="center"/>
    </xf>
    <xf numFmtId="40" fontId="20" fillId="14" borderId="53" applyAlignment="1" pivotButton="0" quotePrefix="0" xfId="0">
      <alignment horizontal="center" vertical="center" wrapText="1"/>
    </xf>
    <xf numFmtId="40" fontId="20" fillId="18" borderId="53" applyAlignment="1" pivotButton="0" quotePrefix="0" xfId="0">
      <alignment horizontal="center" vertical="center"/>
    </xf>
    <xf numFmtId="0" fontId="0" fillId="14" borderId="55" applyAlignment="1" pivotButton="0" quotePrefix="0" xfId="0">
      <alignment horizontal="center" vertical="center"/>
    </xf>
    <xf numFmtId="167" fontId="0" fillId="14" borderId="55" applyAlignment="1" pivotButton="0" quotePrefix="0" xfId="0">
      <alignment horizontal="center" vertical="center"/>
    </xf>
    <xf numFmtId="4" fontId="0" fillId="14" borderId="55" applyAlignment="1" pivotButton="0" quotePrefix="0" xfId="0">
      <alignment horizontal="center" vertical="center"/>
    </xf>
    <xf numFmtId="10" fontId="0" fillId="14" borderId="55" applyAlignment="1" pivotButton="0" quotePrefix="0" xfId="0">
      <alignment horizontal="center" vertical="center"/>
    </xf>
    <xf numFmtId="40" fontId="0" fillId="14" borderId="55" applyAlignment="1" pivotButton="0" quotePrefix="0" xfId="0">
      <alignment horizontal="center" vertical="center"/>
    </xf>
    <xf numFmtId="4" fontId="0" fillId="18" borderId="55" applyAlignment="1" pivotButton="0" quotePrefix="0" xfId="0">
      <alignment horizontal="center" vertical="center"/>
    </xf>
    <xf numFmtId="40" fontId="20" fillId="18" borderId="55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167" fontId="0" fillId="14" borderId="0" applyAlignment="1" pivotButton="0" quotePrefix="0" xfId="0">
      <alignment horizontal="center" vertical="center"/>
    </xf>
    <xf numFmtId="1" fontId="0" fillId="14" borderId="0" applyAlignment="1" pivotButton="0" quotePrefix="0" xfId="0">
      <alignment horizontal="center" vertical="center"/>
    </xf>
    <xf numFmtId="10" fontId="0" fillId="14" borderId="0" applyAlignment="1" pivotButton="0" quotePrefix="0" xfId="0">
      <alignment horizontal="center" vertical="center"/>
    </xf>
    <xf numFmtId="40" fontId="20" fillId="15" borderId="57" applyAlignment="1" pivotButton="0" quotePrefix="0" xfId="0">
      <alignment horizontal="center" vertical="center" wrapText="1"/>
    </xf>
    <xf numFmtId="164" fontId="9" fillId="16" borderId="71" applyAlignment="1" pivotButton="0" quotePrefix="0" xfId="0">
      <alignment horizontal="center" vertical="center"/>
    </xf>
    <xf numFmtId="0" fontId="0" fillId="16" borderId="61" pivotButton="0" quotePrefix="0" xfId="0"/>
    <xf numFmtId="0" fontId="0" fillId="16" borderId="62" pivotButton="0" quotePrefix="0" xfId="0"/>
    <xf numFmtId="40" fontId="9" fillId="16" borderId="63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40" fontId="9" fillId="4" borderId="2" applyAlignment="1" pivotButton="0" quotePrefix="0" xfId="0">
      <alignment horizontal="center" vertical="center"/>
    </xf>
    <xf numFmtId="4" fontId="9" fillId="4" borderId="2" applyAlignment="1" pivotButton="0" quotePrefix="0" xfId="0">
      <alignment horizontal="center" vertical="center"/>
    </xf>
    <xf numFmtId="40" fontId="9" fillId="4" borderId="2" applyAlignment="1" pivotButton="0" quotePrefix="0" xfId="0">
      <alignment horizontal="center" vertical="center" wrapText="1"/>
    </xf>
    <xf numFmtId="4" fontId="20" fillId="17" borderId="79" pivotButton="0" quotePrefix="0" xfId="0"/>
    <xf numFmtId="40" fontId="20" fillId="17" borderId="79" pivotButton="0" quotePrefix="0" xfId="0"/>
    <xf numFmtId="4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6" fillId="17" borderId="36" applyAlignment="1" pivotButton="0" quotePrefix="0" xfId="0">
      <alignment horizontal="center" vertical="center"/>
    </xf>
    <xf numFmtId="164" fontId="23" fillId="19" borderId="2" applyAlignment="1" pivotButton="0" quotePrefix="0" xfId="0">
      <alignment horizontal="center" vertical="center" wrapText="1"/>
    </xf>
    <xf numFmtId="164" fontId="24" fillId="19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 wrapText="1"/>
    </xf>
    <xf numFmtId="0" fontId="6" fillId="17" borderId="79" pivotButton="0" quotePrefix="0" xfId="0"/>
    <xf numFmtId="165" fontId="9" fillId="8" borderId="2" applyAlignment="1" pivotButton="0" quotePrefix="0" xfId="0">
      <alignment horizontal="center" vertical="center"/>
    </xf>
    <xf numFmtId="164" fontId="7" fillId="17" borderId="72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  <xf numFmtId="164" fontId="7" fillId="17" borderId="1" applyAlignment="1" pivotButton="0" quotePrefix="0" xfId="0">
      <alignment vertical="center"/>
    </xf>
    <xf numFmtId="164" fontId="23" fillId="19" borderId="75" applyAlignment="1" pivotButton="0" quotePrefix="0" xfId="0">
      <alignment horizontal="center" vertical="center" wrapText="1"/>
    </xf>
    <xf numFmtId="168" fontId="20" fillId="19" borderId="2" applyAlignment="1" pivotButton="0" quotePrefix="0" xfId="44">
      <alignment horizontal="center" vertical="center" wrapText="1"/>
    </xf>
    <xf numFmtId="168" fontId="20" fillId="4" borderId="2" applyAlignment="1" pivotButton="0" quotePrefix="0" xfId="44">
      <alignment horizontal="center" vertical="center" wrapText="1"/>
    </xf>
    <xf numFmtId="168" fontId="20" fillId="4" borderId="76" applyAlignment="1" pivotButton="0" quotePrefix="0" xfId="44">
      <alignment horizontal="center" vertical="center" wrapText="1"/>
    </xf>
    <xf numFmtId="0" fontId="20" fillId="19" borderId="6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164" fontId="9" fillId="17" borderId="75" applyAlignment="1" pivotButton="0" quotePrefix="0" xfId="0">
      <alignment horizontal="center" vertical="center"/>
    </xf>
    <xf numFmtId="168" fontId="14" fillId="13" borderId="76" applyAlignment="1" pivotButton="0" quotePrefix="0" xfId="44">
      <alignment horizontal="center" vertical="center"/>
    </xf>
    <xf numFmtId="164" fontId="9" fillId="8" borderId="75" applyAlignment="1" pivotButton="0" quotePrefix="0" xfId="0">
      <alignment horizontal="center" vertical="center"/>
    </xf>
    <xf numFmtId="165" fontId="9" fillId="8" borderId="6" applyAlignment="1" pivotButton="0" quotePrefix="0" xfId="0">
      <alignment horizontal="center" vertical="center"/>
    </xf>
    <xf numFmtId="0" fontId="6" fillId="17" borderId="75" applyAlignment="1" pivotButton="0" quotePrefix="0" xfId="0">
      <alignment horizontal="center" vertical="center"/>
    </xf>
    <xf numFmtId="168" fontId="20" fillId="17" borderId="79" pivotButton="0" quotePrefix="0" xfId="44"/>
    <xf numFmtId="168" fontId="20" fillId="17" borderId="77" pivotButton="0" quotePrefix="0" xfId="44"/>
    <xf numFmtId="168" fontId="14" fillId="13" borderId="7" applyAlignment="1" pivotButton="0" quotePrefix="0" xfId="44">
      <alignment horizontal="center" vertical="center"/>
    </xf>
    <xf numFmtId="168" fontId="9" fillId="8" borderId="2" applyAlignment="1" pivotButton="0" quotePrefix="0" xfId="44">
      <alignment horizontal="center" vertical="center"/>
    </xf>
    <xf numFmtId="164" fontId="9" fillId="4" borderId="51" applyAlignment="1" pivotButton="0" quotePrefix="0" xfId="0">
      <alignment horizontal="center" vertical="center"/>
    </xf>
    <xf numFmtId="0" fontId="0" fillId="0" borderId="78" pivotButton="0" quotePrefix="0" xfId="0"/>
    <xf numFmtId="165" fontId="9" fillId="4" borderId="6" applyAlignment="1" pivotButton="0" quotePrefix="0" xfId="0">
      <alignment horizontal="center" vertical="center"/>
    </xf>
  </cellXfs>
  <cellStyles count="50">
    <cellStyle name="常规" xfId="0" builtinId="0"/>
    <cellStyle name="60% - 强调文字颜色 4" xfId="1" builtinId="44"/>
    <cellStyle name="40% - 强调文字颜色 4" xfId="2" builtinId="43"/>
    <cellStyle name="60% - 强调文字颜色 6" xfId="3" builtinId="52"/>
    <cellStyle name="百分比" xfId="4" builtinId="5"/>
    <cellStyle name="40% - 强调文字颜色 6" xfId="5" builtinId="51"/>
    <cellStyle name="货币" xfId="6" builtinId="4"/>
    <cellStyle name="强调文字颜色 6" xfId="7" builtinId="49"/>
    <cellStyle name="60% - 强调文字颜色 5" xfId="8" builtinId="48"/>
    <cellStyle name="20% - 强调文字颜色 5" xfId="9" builtinId="46"/>
    <cellStyle name="强调文字颜色 5" xfId="10" builtinId="45"/>
    <cellStyle name="20% - 强调文字颜色 4" xfId="11" builtinId="42"/>
    <cellStyle name="强调文字颜色 4" xfId="12" builtinId="41"/>
    <cellStyle name="60% - 强调文字颜色 3" xfId="13" builtinId="40"/>
    <cellStyle name="40% - 强调文字颜色 3" xfId="14" builtinId="39"/>
    <cellStyle name="20% - 强调文字颜色 3" xfId="15" builtinId="38"/>
    <cellStyle name="强调文字颜色 3" xfId="16" builtinId="37"/>
    <cellStyle name="60% - 强调文字颜色 2" xfId="17" builtinId="36"/>
    <cellStyle name="40% - 强调文字颜色 2" xfId="18" builtinId="35"/>
    <cellStyle name="20% - 强调文字颜色 2" xfId="19" builtinId="34"/>
    <cellStyle name="强调文字颜色 2" xfId="20" builtinId="33"/>
    <cellStyle name="60% - 强调文字颜色 1" xfId="21" builtinId="32"/>
    <cellStyle name="40% - 强调文字颜色 1" xfId="22" builtinId="31"/>
    <cellStyle name="Normal_Sheet5" xfId="23"/>
    <cellStyle name="20% - 强调文字颜色 1" xfId="24" builtinId="30"/>
    <cellStyle name="强调文字颜色 1" xfId="25" builtinId="29"/>
    <cellStyle name="适中" xfId="26" builtinId="28"/>
    <cellStyle name="差" xfId="27" builtinId="27"/>
    <cellStyle name="汇总" xfId="28" builtinId="25"/>
    <cellStyle name="计算" xfId="29" builtinId="22"/>
    <cellStyle name="输出" xfId="30" builtinId="21"/>
    <cellStyle name="输入" xfId="31" builtinId="20"/>
    <cellStyle name="标题 4" xfId="32" builtinId="19"/>
    <cellStyle name="标题 3" xfId="33" builtinId="18"/>
    <cellStyle name="标题 2" xfId="34" builtinId="17"/>
    <cellStyle name="标题 1" xfId="35" builtinId="16"/>
    <cellStyle name="注释" xfId="36" builtinId="10"/>
    <cellStyle name="已访问的超链接" xfId="37" builtinId="9"/>
    <cellStyle name="超链接" xfId="38" builtinId="8"/>
    <cellStyle name="千位分隔[0]" xfId="39" builtinId="6"/>
    <cellStyle name="解释性文本" xfId="40" builtinId="53"/>
    <cellStyle name="货币[0]" xfId="41" builtinId="7"/>
    <cellStyle name="标题" xfId="42" builtinId="15"/>
    <cellStyle name="20% - 强调文字颜色 6" xfId="43" builtinId="50"/>
    <cellStyle name="千位分隔" xfId="44" builtinId="3"/>
    <cellStyle name="好" xfId="45" builtinId="26"/>
    <cellStyle name="检查单元格" xfId="46" builtinId="23"/>
    <cellStyle name="40% - 强调文字颜色 5" xfId="47" builtinId="47"/>
    <cellStyle name="警告文本" xfId="48" builtinId="11"/>
    <cellStyle name="链接单元格" xfId="49" builtinId="24"/>
  </cellStyles>
  <dxfs count="4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theme="7" tint="0.799524"/>
        </patternFill>
      </fill>
    </dxf>
    <dxf>
      <font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1" zoomScale="85" zoomScaleNormal="85" workbookViewId="0">
      <selection activeCell="A1" sqref="A1"/>
    </sheetView>
  </sheetViews>
  <sheetFormatPr baseColWidth="8" defaultColWidth="9" defaultRowHeight="16.8"/>
  <cols>
    <col width="19" customWidth="1" style="483" min="1" max="1"/>
    <col width="11.875" customWidth="1" style="483" min="2" max="2"/>
    <col width="19.5" customWidth="1" style="483" min="3" max="3"/>
    <col width="5.375" customWidth="1" style="483" min="4" max="4"/>
    <col width="16.125" customWidth="1" style="483" min="5" max="5"/>
    <col width="27.875" customWidth="1" style="483" min="6" max="6"/>
    <col width="7.875" customWidth="1" style="484" min="7" max="7"/>
    <col width="4.75" customWidth="1" style="484" min="8" max="8"/>
    <col width="13.75" customWidth="1" style="484" min="9" max="9"/>
    <col width="4.75" customWidth="1" style="483" min="10" max="10"/>
    <col width="14.875" customWidth="1" style="483" min="11" max="11"/>
    <col width="28.875" customWidth="1" style="483" min="12" max="12"/>
    <col width="4.875" customWidth="1" style="484" min="13" max="13"/>
    <col width="5.375" customWidth="1" style="483" min="17" max="17"/>
    <col width="12.25" customWidth="1" style="483" min="18" max="18"/>
    <col width="20.125" customWidth="1" style="483" min="19" max="19"/>
    <col width="9.75" customWidth="1" style="483" min="20" max="20"/>
    <col width="22.25" customWidth="1" style="483" min="23" max="23"/>
  </cols>
  <sheetData>
    <row r="1" ht="22.5" customFormat="1" customHeight="1" s="483">
      <c r="A1" s="485" t="inlineStr">
        <is>
          <t>2025年12月31日存量客户数据看板</t>
        </is>
      </c>
      <c r="B1" s="486" t="n"/>
      <c r="C1" s="486" t="n"/>
      <c r="D1" s="487" t="inlineStr"/>
      <c r="E1" s="488" t="inlineStr">
        <is>
          <t>负责部门：IT+销管</t>
        </is>
      </c>
    </row>
    <row r="2">
      <c r="A2" s="489" t="inlineStr">
        <is>
          <t>客户类型</t>
        </is>
      </c>
      <c r="B2" s="489" t="inlineStr">
        <is>
          <t>数量【个】</t>
        </is>
      </c>
      <c r="C2" s="489" t="inlineStr">
        <is>
          <t>存量AUM【百万/HKD】</t>
        </is>
      </c>
      <c r="E2" s="490" t="inlineStr">
        <is>
          <t>PI客户</t>
        </is>
      </c>
      <c r="I2" s="491" t="inlineStr"/>
      <c r="J2" s="484" t="inlineStr"/>
      <c r="K2" s="492" t="inlineStr">
        <is>
          <t>非PI客户数</t>
        </is>
      </c>
      <c r="L2" s="486" t="n"/>
      <c r="M2" s="486" t="n"/>
      <c r="N2" s="486" t="n"/>
      <c r="O2" s="486" t="n"/>
      <c r="Q2" s="493" t="inlineStr">
        <is>
          <t>PI客户存量规模分层</t>
        </is>
      </c>
      <c r="R2" s="494" t="n"/>
      <c r="S2" s="494" t="n"/>
      <c r="T2" s="495" t="n"/>
      <c r="V2" s="493" t="inlineStr">
        <is>
          <t>PI客户货币基金</t>
        </is>
      </c>
      <c r="W2" s="494" t="n"/>
      <c r="X2" s="495" t="n"/>
    </row>
    <row r="3" ht="40.5" customFormat="1" customHeight="1" s="483">
      <c r="A3" s="496" t="inlineStr">
        <is>
          <t>存量证券客户</t>
        </is>
      </c>
      <c r="B3" s="497" t="inlineStr">
        <is>
          <t>X</t>
        </is>
      </c>
      <c r="C3" s="497" t="inlineStr">
        <is>
          <t>X</t>
        </is>
      </c>
      <c r="E3" s="498" t="inlineStr">
        <is>
          <t>客户总数</t>
        </is>
      </c>
      <c r="F3" s="498" t="inlineStr">
        <is>
          <t>X</t>
        </is>
      </c>
      <c r="G3" s="497" t="inlineStr">
        <is>
          <t>数量</t>
        </is>
      </c>
      <c r="H3" s="497" t="inlineStr">
        <is>
          <t>占比</t>
        </is>
      </c>
      <c r="I3" s="499" t="inlineStr">
        <is>
          <t>AUM
【百万/HKD】</t>
        </is>
      </c>
      <c r="K3" s="498" t="inlineStr">
        <is>
          <t>客户总数</t>
        </is>
      </c>
      <c r="L3" s="498" t="inlineStr">
        <is>
          <t>X</t>
        </is>
      </c>
      <c r="M3" s="497" t="inlineStr">
        <is>
          <t>数量</t>
        </is>
      </c>
      <c r="N3" s="497" t="inlineStr">
        <is>
          <t>占比</t>
        </is>
      </c>
      <c r="O3" s="499" t="inlineStr">
        <is>
          <t>AUM
【百万/HKD】</t>
        </is>
      </c>
      <c r="Q3" s="497" t="inlineStr">
        <is>
          <t>序号</t>
        </is>
      </c>
      <c r="R3" s="497" t="inlineStr">
        <is>
          <t>客户等级</t>
        </is>
      </c>
      <c r="S3" s="497" t="inlineStr">
        <is>
          <t>金额区间</t>
        </is>
      </c>
      <c r="T3" s="496" t="inlineStr">
        <is>
          <t>客户数</t>
        </is>
      </c>
      <c r="V3" s="497" t="inlineStr">
        <is>
          <t>序号</t>
        </is>
      </c>
      <c r="W3" s="497" t="inlineStr">
        <is>
          <t>金额区间</t>
        </is>
      </c>
      <c r="X3" s="496" t="inlineStr">
        <is>
          <t>客户数</t>
        </is>
      </c>
    </row>
    <row r="4">
      <c r="A4" s="496" t="inlineStr">
        <is>
          <t>存量证券PI客户</t>
        </is>
      </c>
      <c r="B4" s="497" t="inlineStr">
        <is>
          <t>X</t>
        </is>
      </c>
      <c r="C4" s="497" t="inlineStr">
        <is>
          <t>X</t>
        </is>
      </c>
      <c r="E4" s="498" t="inlineStr">
        <is>
          <t>客户来源</t>
        </is>
      </c>
      <c r="F4" s="496" t="inlineStr">
        <is>
          <t>自有PI</t>
        </is>
      </c>
      <c r="G4" s="497" t="inlineStr">
        <is>
          <t>X</t>
        </is>
      </c>
      <c r="H4" s="497" t="inlineStr"/>
      <c r="I4" s="497" t="inlineStr"/>
      <c r="K4" s="498" t="inlineStr">
        <is>
          <t>客户来源</t>
        </is>
      </c>
      <c r="L4" s="496" t="inlineStr">
        <is>
          <t>自有PI</t>
        </is>
      </c>
      <c r="M4" s="497" t="inlineStr">
        <is>
          <t>X</t>
        </is>
      </c>
      <c r="N4" s="497" t="inlineStr"/>
      <c r="O4" s="497" t="inlineStr"/>
      <c r="Q4" s="497" t="n">
        <v>1</v>
      </c>
      <c r="R4" s="497" t="inlineStr">
        <is>
          <t>普通客户</t>
        </is>
      </c>
      <c r="S4" s="497" t="inlineStr">
        <is>
          <t>0美金</t>
        </is>
      </c>
      <c r="T4" s="496" t="inlineStr"/>
      <c r="V4" s="497" t="n">
        <v>1</v>
      </c>
      <c r="W4" s="497" t="inlineStr">
        <is>
          <t>0&lt;X&lt;5万美金</t>
        </is>
      </c>
      <c r="X4" s="496" t="inlineStr"/>
    </row>
    <row r="5">
      <c r="A5" s="496" t="inlineStr">
        <is>
          <t>PI客户的人均资金</t>
        </is>
      </c>
      <c r="B5" s="497" t="inlineStr">
        <is>
          <t>X</t>
        </is>
      </c>
      <c r="C5" s="497" t="inlineStr">
        <is>
          <t>X</t>
        </is>
      </c>
      <c r="E5" s="500" t="n"/>
      <c r="F5" s="496" t="inlineStr">
        <is>
          <t>指定PI</t>
        </is>
      </c>
      <c r="G5" s="497" t="inlineStr">
        <is>
          <t>X</t>
        </is>
      </c>
      <c r="H5" s="497" t="inlineStr"/>
      <c r="I5" s="497" t="inlineStr"/>
      <c r="K5" s="500" t="n"/>
      <c r="L5" s="496" t="inlineStr">
        <is>
          <t>指定PI</t>
        </is>
      </c>
      <c r="M5" s="497" t="inlineStr">
        <is>
          <t>X</t>
        </is>
      </c>
      <c r="N5" s="497" t="inlineStr"/>
      <c r="O5" s="497" t="inlineStr"/>
      <c r="Q5" s="497" t="n">
        <v>2</v>
      </c>
      <c r="R5" s="497" t="inlineStr">
        <is>
          <t>普通客户</t>
        </is>
      </c>
      <c r="S5" s="497" t="inlineStr">
        <is>
          <t>0&lt;X&lt;5万美金</t>
        </is>
      </c>
      <c r="T5" s="496" t="inlineStr"/>
      <c r="V5" s="497" t="n">
        <v>2</v>
      </c>
      <c r="W5" s="497" t="inlineStr">
        <is>
          <t>5W≤X&lt;20万美金</t>
        </is>
      </c>
      <c r="X5" s="496" t="inlineStr"/>
    </row>
    <row r="6">
      <c r="A6" s="496" t="inlineStr">
        <is>
          <t>存量证券非PI客户</t>
        </is>
      </c>
      <c r="B6" s="497" t="inlineStr">
        <is>
          <t>X</t>
        </is>
      </c>
      <c r="C6" s="497" t="inlineStr">
        <is>
          <t>X</t>
        </is>
      </c>
      <c r="E6" s="500" t="n"/>
      <c r="F6" s="496" t="inlineStr">
        <is>
          <t>渠道PI</t>
        </is>
      </c>
      <c r="G6" s="497" t="inlineStr">
        <is>
          <t>X</t>
        </is>
      </c>
      <c r="H6" s="497" t="inlineStr"/>
      <c r="I6" s="497" t="inlineStr"/>
      <c r="K6" s="500" t="n"/>
      <c r="L6" s="496" t="inlineStr">
        <is>
          <t>渠道PI</t>
        </is>
      </c>
      <c r="M6" s="497" t="inlineStr">
        <is>
          <t>X</t>
        </is>
      </c>
      <c r="N6" s="497" t="inlineStr"/>
      <c r="O6" s="497" t="inlineStr"/>
      <c r="Q6" s="497" t="n">
        <v>3</v>
      </c>
      <c r="R6" s="497" t="inlineStr">
        <is>
          <t>普通客户</t>
        </is>
      </c>
      <c r="S6" s="497" t="inlineStr">
        <is>
          <t>5W≤X&lt;20万美金</t>
        </is>
      </c>
      <c r="T6" s="496" t="inlineStr"/>
      <c r="V6" s="497" t="n">
        <v>3</v>
      </c>
      <c r="W6" s="497" t="inlineStr">
        <is>
          <t>20≤X&lt;50万美金</t>
        </is>
      </c>
      <c r="X6" s="496" t="inlineStr"/>
    </row>
    <row r="7">
      <c r="A7" s="496" t="inlineStr">
        <is>
          <t>存量保险PI客户数</t>
        </is>
      </c>
      <c r="B7" s="497" t="inlineStr">
        <is>
          <t>X</t>
        </is>
      </c>
      <c r="C7" s="497" t="inlineStr">
        <is>
          <t>X</t>
        </is>
      </c>
      <c r="E7" s="500" t="n"/>
      <c r="F7" s="496" t="inlineStr">
        <is>
          <t>承继PI</t>
        </is>
      </c>
      <c r="G7" s="497" t="inlineStr">
        <is>
          <t>X</t>
        </is>
      </c>
      <c r="H7" s="497" t="inlineStr"/>
      <c r="I7" s="497" t="inlineStr"/>
      <c r="K7" s="500" t="n"/>
      <c r="L7" s="496" t="inlineStr">
        <is>
          <t>承继PI</t>
        </is>
      </c>
      <c r="M7" s="497" t="inlineStr">
        <is>
          <t>X</t>
        </is>
      </c>
      <c r="N7" s="497" t="inlineStr"/>
      <c r="O7" s="497" t="inlineStr"/>
      <c r="Q7" s="497" t="n">
        <v>4</v>
      </c>
      <c r="R7" s="497" t="inlineStr">
        <is>
          <t>悦享客户</t>
        </is>
      </c>
      <c r="S7" s="497" t="inlineStr">
        <is>
          <t>20≤X&lt;50万美金</t>
        </is>
      </c>
      <c r="T7" s="496" t="inlineStr"/>
      <c r="V7" s="497" t="n">
        <v>4</v>
      </c>
      <c r="W7" s="497" t="inlineStr">
        <is>
          <t>50≤X&lt;100万美金</t>
        </is>
      </c>
      <c r="X7" s="496" t="inlineStr"/>
    </row>
    <row r="8">
      <c r="A8" s="496" t="inlineStr">
        <is>
          <t>存量自有客户</t>
        </is>
      </c>
      <c r="B8" s="497" t="inlineStr">
        <is>
          <t>X</t>
        </is>
      </c>
      <c r="C8" s="497" t="inlineStr">
        <is>
          <t>X</t>
        </is>
      </c>
      <c r="E8" s="501" t="n"/>
      <c r="F8" s="502" t="inlineStr">
        <is>
          <t>集团PI【包含无续约客户】</t>
        </is>
      </c>
      <c r="G8" s="497" t="inlineStr">
        <is>
          <t>X</t>
        </is>
      </c>
      <c r="H8" s="497" t="inlineStr"/>
      <c r="I8" s="497" t="inlineStr"/>
      <c r="K8" s="501" t="n"/>
      <c r="L8" s="502" t="inlineStr">
        <is>
          <t>集团PI【包含无续约客户】</t>
        </is>
      </c>
      <c r="M8" s="497" t="inlineStr">
        <is>
          <t>X</t>
        </is>
      </c>
      <c r="N8" s="497" t="inlineStr"/>
      <c r="O8" s="497" t="inlineStr"/>
      <c r="Q8" s="497" t="n">
        <v>5</v>
      </c>
      <c r="R8" s="497" t="inlineStr">
        <is>
          <t>欣享客户</t>
        </is>
      </c>
      <c r="S8" s="497" t="inlineStr">
        <is>
          <t>50≤X&lt;100万美金</t>
        </is>
      </c>
      <c r="T8" s="496" t="inlineStr"/>
      <c r="V8" s="497" t="n">
        <v>5</v>
      </c>
      <c r="W8" s="497" t="inlineStr">
        <is>
          <t>100≤X&lt;300万美金</t>
        </is>
      </c>
      <c r="X8" s="496" t="inlineStr"/>
    </row>
    <row r="9">
      <c r="A9" s="496" t="inlineStr">
        <is>
          <t>存量指定客户</t>
        </is>
      </c>
      <c r="B9" s="497" t="inlineStr">
        <is>
          <t>X</t>
        </is>
      </c>
      <c r="C9" s="497" t="inlineStr">
        <is>
          <t>X</t>
        </is>
      </c>
      <c r="E9" s="498" t="inlineStr">
        <is>
          <t>客户持仓情况</t>
        </is>
      </c>
      <c r="F9" s="496" t="inlineStr">
        <is>
          <t>目前有持仓客户数</t>
        </is>
      </c>
      <c r="G9" s="497" t="inlineStr">
        <is>
          <t>X</t>
        </is>
      </c>
      <c r="H9" s="497" t="inlineStr">
        <is>
          <t>%</t>
        </is>
      </c>
      <c r="I9" s="503" t="inlineStr"/>
      <c r="K9" s="498" t="inlineStr">
        <is>
          <t>客户持仓情况</t>
        </is>
      </c>
      <c r="L9" s="496" t="inlineStr">
        <is>
          <t>目前有持仓客户数</t>
        </is>
      </c>
      <c r="M9" s="497" t="inlineStr">
        <is>
          <t>X</t>
        </is>
      </c>
      <c r="N9" s="497" t="inlineStr">
        <is>
          <t>%</t>
        </is>
      </c>
      <c r="O9" s="497" t="inlineStr"/>
      <c r="Q9" s="497" t="n">
        <v>6</v>
      </c>
      <c r="R9" s="497" t="inlineStr">
        <is>
          <t>睿享客户</t>
        </is>
      </c>
      <c r="S9" s="497" t="inlineStr">
        <is>
          <t>100≤X&lt;300万美金</t>
        </is>
      </c>
      <c r="T9" s="496" t="inlineStr"/>
      <c r="V9" s="497" t="n">
        <v>6</v>
      </c>
      <c r="W9" s="497" t="inlineStr">
        <is>
          <t>≥300万美金</t>
        </is>
      </c>
      <c r="X9" s="496" t="inlineStr"/>
    </row>
    <row r="10">
      <c r="A10" s="496" t="inlineStr">
        <is>
          <t>存量承继客户</t>
        </is>
      </c>
      <c r="B10" s="497" t="inlineStr">
        <is>
          <t>X</t>
        </is>
      </c>
      <c r="C10" s="497" t="inlineStr">
        <is>
          <t>X</t>
        </is>
      </c>
      <c r="E10" s="500" t="n"/>
      <c r="F10" s="496" t="inlineStr">
        <is>
          <t>持仓客户同时持有保单</t>
        </is>
      </c>
      <c r="G10" s="497" t="inlineStr">
        <is>
          <t>X</t>
        </is>
      </c>
      <c r="H10" s="497" t="inlineStr">
        <is>
          <t>%</t>
        </is>
      </c>
      <c r="I10" s="497" t="inlineStr"/>
      <c r="K10" s="500" t="n"/>
      <c r="L10" s="496" t="inlineStr">
        <is>
          <t>持仓客户同时持有保单</t>
        </is>
      </c>
      <c r="M10" s="497" t="inlineStr">
        <is>
          <t>X</t>
        </is>
      </c>
      <c r="N10" s="497" t="inlineStr">
        <is>
          <t>%</t>
        </is>
      </c>
      <c r="O10" s="497" t="inlineStr"/>
      <c r="Q10" s="497" t="n">
        <v>7</v>
      </c>
      <c r="R10" s="497" t="inlineStr">
        <is>
          <t>臻享客户</t>
        </is>
      </c>
      <c r="S10" s="497" t="inlineStr">
        <is>
          <t>≥300万美金</t>
        </is>
      </c>
      <c r="T10" s="496" t="inlineStr"/>
    </row>
    <row r="11">
      <c r="A11" s="496" t="inlineStr">
        <is>
          <t>存量渠道客户</t>
        </is>
      </c>
      <c r="B11" s="497" t="inlineStr">
        <is>
          <t>X</t>
        </is>
      </c>
      <c r="C11" s="497" t="inlineStr">
        <is>
          <t>X</t>
        </is>
      </c>
      <c r="E11" s="500" t="n"/>
      <c r="F11" s="496" t="inlineStr">
        <is>
          <t>历史有持仓目前没有持仓客户</t>
        </is>
      </c>
      <c r="G11" s="497" t="inlineStr">
        <is>
          <t>X</t>
        </is>
      </c>
      <c r="H11" s="497" t="inlineStr">
        <is>
          <t>%</t>
        </is>
      </c>
      <c r="I11" s="497" t="inlineStr">
        <is>
          <t>N/A</t>
        </is>
      </c>
      <c r="K11" s="500" t="n"/>
      <c r="L11" s="496" t="inlineStr">
        <is>
          <t>历史有持仓目前没有持仓客户</t>
        </is>
      </c>
      <c r="M11" s="497" t="inlineStr">
        <is>
          <t>X</t>
        </is>
      </c>
      <c r="N11" s="497" t="inlineStr">
        <is>
          <t>%</t>
        </is>
      </c>
      <c r="O11" s="497" t="inlineStr">
        <is>
          <t>N/A</t>
        </is>
      </c>
    </row>
    <row r="12" ht="27" customFormat="1" customHeight="1" s="483">
      <c r="A12" s="504" t="inlineStr">
        <is>
          <t>存量集团客户
【包含无续约客户】</t>
        </is>
      </c>
      <c r="B12" s="497" t="inlineStr">
        <is>
          <t>X</t>
        </is>
      </c>
      <c r="C12" s="497" t="inlineStr">
        <is>
          <t>X</t>
        </is>
      </c>
      <c r="E12" s="500" t="n"/>
      <c r="F12" s="496" t="inlineStr">
        <is>
          <t>历史有持仓同时持有保单客户</t>
        </is>
      </c>
      <c r="G12" s="497" t="inlineStr">
        <is>
          <t>X</t>
        </is>
      </c>
      <c r="H12" s="497" t="inlineStr">
        <is>
          <t>%</t>
        </is>
      </c>
      <c r="I12" s="497" t="inlineStr"/>
      <c r="K12" s="500" t="n"/>
      <c r="L12" s="496" t="inlineStr">
        <is>
          <t>历史有持仓同时持有保单客户</t>
        </is>
      </c>
      <c r="M12" s="497" t="inlineStr">
        <is>
          <t>X</t>
        </is>
      </c>
      <c r="N12" s="497" t="inlineStr">
        <is>
          <t>%</t>
        </is>
      </c>
      <c r="O12" s="497" t="inlineStr"/>
      <c r="Q12" s="493" t="inlineStr">
        <is>
          <t>非PI客户存量规模分层</t>
        </is>
      </c>
      <c r="R12" s="494" t="n"/>
      <c r="S12" s="494" t="n"/>
      <c r="T12" s="495" t="n"/>
      <c r="V12" s="493" t="inlineStr">
        <is>
          <t>非PI客户货币基金</t>
        </is>
      </c>
      <c r="W12" s="494" t="n"/>
      <c r="X12" s="495" t="n"/>
    </row>
    <row r="13">
      <c r="A13" s="496" t="inlineStr">
        <is>
          <t>存量保险客户数</t>
        </is>
      </c>
      <c r="B13" s="497" t="inlineStr">
        <is>
          <t>X</t>
        </is>
      </c>
      <c r="C13" s="497" t="inlineStr"/>
      <c r="E13" s="500" t="n"/>
      <c r="F13" s="496" t="inlineStr">
        <is>
          <t>历史没有持仓客户</t>
        </is>
      </c>
      <c r="G13" s="497" t="inlineStr">
        <is>
          <t>X</t>
        </is>
      </c>
      <c r="H13" s="497" t="inlineStr">
        <is>
          <t>%</t>
        </is>
      </c>
      <c r="I13" s="497" t="inlineStr">
        <is>
          <t>N/A</t>
        </is>
      </c>
      <c r="K13" s="500" t="n"/>
      <c r="L13" s="496" t="inlineStr">
        <is>
          <t>历史没有持仓客户</t>
        </is>
      </c>
      <c r="M13" s="497" t="inlineStr">
        <is>
          <t>X</t>
        </is>
      </c>
      <c r="N13" s="497" t="inlineStr">
        <is>
          <t>%</t>
        </is>
      </c>
      <c r="O13" s="497" t="inlineStr">
        <is>
          <t>N/A</t>
        </is>
      </c>
      <c r="Q13" s="497" t="inlineStr">
        <is>
          <t>序号</t>
        </is>
      </c>
      <c r="R13" s="497" t="inlineStr">
        <is>
          <t>客户等级</t>
        </is>
      </c>
      <c r="S13" s="497" t="inlineStr">
        <is>
          <t>金额区间</t>
        </is>
      </c>
      <c r="T13" s="496" t="inlineStr">
        <is>
          <t>客户数</t>
        </is>
      </c>
      <c r="V13" s="497" t="inlineStr">
        <is>
          <t>序号</t>
        </is>
      </c>
      <c r="W13" s="497" t="inlineStr">
        <is>
          <t>金额区间</t>
        </is>
      </c>
      <c r="X13" s="496" t="inlineStr">
        <is>
          <t>客户数</t>
        </is>
      </c>
    </row>
    <row r="14">
      <c r="A14" s="496" t="inlineStr">
        <is>
          <t>存量保险PI客户数</t>
        </is>
      </c>
      <c r="B14" s="497" t="inlineStr">
        <is>
          <t>X</t>
        </is>
      </c>
      <c r="C14" s="497" t="inlineStr"/>
      <c r="E14" s="500" t="n"/>
      <c r="F14" s="496" t="inlineStr">
        <is>
          <t>历史没有持仓但持有保单客户</t>
        </is>
      </c>
      <c r="G14" s="497" t="inlineStr">
        <is>
          <t>X</t>
        </is>
      </c>
      <c r="H14" s="497" t="inlineStr">
        <is>
          <t>%</t>
        </is>
      </c>
      <c r="I14" s="497" t="inlineStr"/>
      <c r="K14" s="500" t="n"/>
      <c r="L14" s="496" t="inlineStr">
        <is>
          <t>历史没有持仓但持有保单客户</t>
        </is>
      </c>
      <c r="M14" s="497" t="inlineStr">
        <is>
          <t>X</t>
        </is>
      </c>
      <c r="N14" s="497" t="inlineStr">
        <is>
          <t>%</t>
        </is>
      </c>
      <c r="O14" s="497" t="inlineStr"/>
      <c r="Q14" s="497" t="n">
        <v>1</v>
      </c>
      <c r="R14" s="497" t="inlineStr">
        <is>
          <t>普通客户</t>
        </is>
      </c>
      <c r="S14" s="497" t="inlineStr">
        <is>
          <t>0美金</t>
        </is>
      </c>
      <c r="T14" s="496" t="inlineStr"/>
      <c r="V14" s="497" t="n">
        <v>1</v>
      </c>
      <c r="W14" s="497" t="inlineStr">
        <is>
          <t>0&lt;X&lt;5万美金</t>
        </is>
      </c>
      <c r="X14" s="496" t="inlineStr"/>
    </row>
    <row r="15">
      <c r="A15" s="496" t="inlineStr">
        <is>
          <t>存量保险非PI客户数</t>
        </is>
      </c>
      <c r="B15" s="497" t="inlineStr">
        <is>
          <t>X</t>
        </is>
      </c>
      <c r="C15" s="497" t="inlineStr">
        <is>
          <t>X</t>
        </is>
      </c>
      <c r="E15" s="501" t="n"/>
      <c r="F15" s="496" t="inlineStr">
        <is>
          <t>持有保单的PI客户总数</t>
        </is>
      </c>
      <c r="G15" s="497" t="inlineStr">
        <is>
          <t>X</t>
        </is>
      </c>
      <c r="H15" s="497" t="inlineStr"/>
      <c r="I15" s="497" t="inlineStr"/>
      <c r="K15" s="501" t="n"/>
      <c r="L15" s="496" t="inlineStr">
        <is>
          <t>持有保单的非PI客户总数</t>
        </is>
      </c>
      <c r="M15" s="497" t="inlineStr">
        <is>
          <t>X</t>
        </is>
      </c>
      <c r="N15" s="497" t="inlineStr"/>
      <c r="O15" s="497" t="inlineStr"/>
      <c r="Q15" s="497" t="n">
        <v>2</v>
      </c>
      <c r="R15" s="497" t="inlineStr">
        <is>
          <t>普通客户</t>
        </is>
      </c>
      <c r="S15" s="497" t="inlineStr">
        <is>
          <t>0&lt;X&lt;5万美金</t>
        </is>
      </c>
      <c r="T15" s="496" t="inlineStr"/>
      <c r="V15" s="497" t="n">
        <v>2</v>
      </c>
      <c r="W15" s="497" t="inlineStr">
        <is>
          <t>5W≤X&lt;20万美金</t>
        </is>
      </c>
      <c r="X15" s="496" t="inlineStr"/>
    </row>
    <row r="16">
      <c r="A16" s="496" t="inlineStr">
        <is>
          <t>存量保险PI客户数</t>
        </is>
      </c>
      <c r="B16" s="497" t="inlineStr">
        <is>
          <t>X</t>
        </is>
      </c>
      <c r="C16" s="497" t="inlineStr"/>
      <c r="E16" s="498" t="inlineStr">
        <is>
          <t>持仓PI客户</t>
        </is>
      </c>
      <c r="F16" s="496" t="inlineStr">
        <is>
          <t>超过1年以上没有成交</t>
        </is>
      </c>
      <c r="G16" s="497" t="inlineStr">
        <is>
          <t>X</t>
        </is>
      </c>
      <c r="H16" s="497" t="inlineStr"/>
      <c r="I16" s="497" t="inlineStr"/>
      <c r="K16" s="498" t="inlineStr">
        <is>
          <t>持仓非PI客户</t>
        </is>
      </c>
      <c r="L16" s="496" t="inlineStr">
        <is>
          <t>超过1年以上没有成交</t>
        </is>
      </c>
      <c r="M16" s="497" t="inlineStr">
        <is>
          <t>X</t>
        </is>
      </c>
      <c r="N16" s="497" t="inlineStr"/>
      <c r="O16" s="497" t="inlineStr"/>
      <c r="Q16" s="497" t="n">
        <v>3</v>
      </c>
      <c r="R16" s="497" t="inlineStr">
        <is>
          <t>普通客户</t>
        </is>
      </c>
      <c r="S16" s="497" t="inlineStr">
        <is>
          <t>5W≤X&lt;20万美金</t>
        </is>
      </c>
      <c r="T16" s="496" t="inlineStr"/>
      <c r="V16" s="497" t="n">
        <v>3</v>
      </c>
      <c r="W16" s="497" t="inlineStr">
        <is>
          <t>20≤X&lt;50万美金</t>
        </is>
      </c>
      <c r="X16" s="496" t="inlineStr"/>
    </row>
    <row r="17">
      <c r="E17" s="500" t="n"/>
      <c r="F17" s="496" t="inlineStr">
        <is>
          <t>超过2年或以上没有成交</t>
        </is>
      </c>
      <c r="G17" s="497" t="inlineStr">
        <is>
          <t>X</t>
        </is>
      </c>
      <c r="H17" s="497" t="inlineStr"/>
      <c r="I17" s="497" t="inlineStr"/>
      <c r="K17" s="500" t="n"/>
      <c r="L17" s="496" t="inlineStr">
        <is>
          <t>超过2年或以上没有成交</t>
        </is>
      </c>
      <c r="M17" s="497" t="inlineStr">
        <is>
          <t>X</t>
        </is>
      </c>
      <c r="N17" s="497" t="inlineStr"/>
      <c r="O17" s="497" t="inlineStr"/>
      <c r="Q17" s="497" t="n">
        <v>4</v>
      </c>
      <c r="R17" s="497" t="inlineStr">
        <is>
          <t>悦享客户</t>
        </is>
      </c>
      <c r="S17" s="497" t="inlineStr">
        <is>
          <t>20≤X&lt;50万美金</t>
        </is>
      </c>
      <c r="T17" s="496" t="inlineStr"/>
      <c r="V17" s="497" t="n">
        <v>4</v>
      </c>
      <c r="W17" s="497" t="inlineStr">
        <is>
          <t>50≤X&lt;100万美金</t>
        </is>
      </c>
      <c r="X17" s="496" t="inlineStr"/>
    </row>
    <row r="18">
      <c r="E18" s="501" t="n"/>
      <c r="F18" s="496" t="inlineStr">
        <is>
          <t>超过3年或以上没有成交</t>
        </is>
      </c>
      <c r="G18" s="497" t="inlineStr">
        <is>
          <t>X</t>
        </is>
      </c>
      <c r="H18" s="497" t="inlineStr"/>
      <c r="I18" s="497" t="inlineStr"/>
      <c r="K18" s="501" t="n"/>
      <c r="L18" s="496" t="inlineStr">
        <is>
          <t>超过3年或以上没有成交</t>
        </is>
      </c>
      <c r="M18" s="497" t="inlineStr">
        <is>
          <t>X</t>
        </is>
      </c>
      <c r="N18" s="497" t="inlineStr"/>
      <c r="O18" s="497" t="inlineStr"/>
      <c r="Q18" s="497" t="n">
        <v>5</v>
      </c>
      <c r="R18" s="497" t="inlineStr">
        <is>
          <t>欣享客户</t>
        </is>
      </c>
      <c r="S18" s="497" t="inlineStr">
        <is>
          <t>50≤X&lt;100万美金</t>
        </is>
      </c>
      <c r="T18" s="496" t="inlineStr"/>
      <c r="V18" s="497" t="n">
        <v>5</v>
      </c>
      <c r="W18" s="497" t="inlineStr">
        <is>
          <t>100≤X&lt;300万美金</t>
        </is>
      </c>
      <c r="X18" s="496" t="inlineStr"/>
    </row>
    <row r="19" ht="18" customFormat="1" customHeight="1" s="483">
      <c r="E19" s="499" t="inlineStr">
        <is>
          <t>历史有持仓目前没有持仓客户</t>
        </is>
      </c>
      <c r="F19" s="496" t="inlineStr">
        <is>
          <t>超过1年以上没有成交</t>
        </is>
      </c>
      <c r="G19" s="497" t="inlineStr">
        <is>
          <t>X</t>
        </is>
      </c>
      <c r="H19" s="497" t="inlineStr"/>
      <c r="I19" s="497" t="inlineStr">
        <is>
          <t>N/A</t>
        </is>
      </c>
      <c r="K19" s="499" t="inlineStr">
        <is>
          <t>历史有持仓目前没有持仓客户</t>
        </is>
      </c>
      <c r="L19" s="496" t="inlineStr">
        <is>
          <t>超过1年以上没有成交</t>
        </is>
      </c>
      <c r="M19" s="497" t="inlineStr">
        <is>
          <t>X</t>
        </is>
      </c>
      <c r="N19" s="497" t="inlineStr"/>
      <c r="O19" s="497" t="inlineStr">
        <is>
          <t>N/A</t>
        </is>
      </c>
      <c r="Q19" s="497" t="n">
        <v>6</v>
      </c>
      <c r="R19" s="497" t="inlineStr">
        <is>
          <t>睿享客户</t>
        </is>
      </c>
      <c r="S19" s="497" t="inlineStr">
        <is>
          <t>100≤X&lt;300万美金</t>
        </is>
      </c>
      <c r="T19" s="496" t="inlineStr"/>
      <c r="V19" s="497" t="n">
        <v>6</v>
      </c>
      <c r="W19" s="497" t="inlineStr">
        <is>
          <t>≥300万美金</t>
        </is>
      </c>
      <c r="X19" s="496" t="inlineStr"/>
    </row>
    <row r="20">
      <c r="E20" s="500" t="n"/>
      <c r="F20" s="496" t="inlineStr">
        <is>
          <t>超过2年或以上没有成交</t>
        </is>
      </c>
      <c r="G20" s="497" t="inlineStr">
        <is>
          <t>X</t>
        </is>
      </c>
      <c r="H20" s="497" t="inlineStr"/>
      <c r="I20" s="497" t="inlineStr">
        <is>
          <t>N/A</t>
        </is>
      </c>
      <c r="K20" s="500" t="n"/>
      <c r="L20" s="496" t="inlineStr">
        <is>
          <t>超过2年或以上没有成交</t>
        </is>
      </c>
      <c r="M20" s="497" t="inlineStr">
        <is>
          <t>X</t>
        </is>
      </c>
      <c r="N20" s="497" t="inlineStr"/>
      <c r="O20" s="497" t="inlineStr">
        <is>
          <t>N/A</t>
        </is>
      </c>
      <c r="Q20" s="497" t="n">
        <v>7</v>
      </c>
      <c r="R20" s="497" t="inlineStr">
        <is>
          <t>臻享客户</t>
        </is>
      </c>
      <c r="S20" s="497" t="inlineStr">
        <is>
          <t>≥300万美金</t>
        </is>
      </c>
      <c r="T20" s="496" t="inlineStr"/>
    </row>
    <row r="21">
      <c r="E21" s="501" t="n"/>
      <c r="F21" s="496" t="inlineStr">
        <is>
          <t>超过3年或以上没有成交</t>
        </is>
      </c>
      <c r="G21" s="497" t="inlineStr">
        <is>
          <t>X</t>
        </is>
      </c>
      <c r="H21" s="497" t="inlineStr"/>
      <c r="I21" s="497" t="inlineStr">
        <is>
          <t>N/A</t>
        </is>
      </c>
      <c r="K21" s="501" t="n"/>
      <c r="L21" s="496" t="inlineStr">
        <is>
          <t>超过3年或以上没有成交</t>
        </is>
      </c>
      <c r="M21" s="497" t="inlineStr">
        <is>
          <t>X</t>
        </is>
      </c>
      <c r="N21" s="497" t="inlineStr"/>
      <c r="O21" s="497" t="inlineStr">
        <is>
          <t>N/A</t>
        </is>
      </c>
    </row>
  </sheetData>
  <mergeCells count="16">
    <mergeCell ref="E9:E15"/>
    <mergeCell ref="A1:C1"/>
    <mergeCell ref="E16:E18"/>
    <mergeCell ref="K2:O2"/>
    <mergeCell ref="E1:I1"/>
    <mergeCell ref="K19:K21"/>
    <mergeCell ref="E19:E21"/>
    <mergeCell ref="V12:X12"/>
    <mergeCell ref="E4:E8"/>
    <mergeCell ref="Q12:T12"/>
    <mergeCell ref="K16:K18"/>
    <mergeCell ref="Q2:T2"/>
    <mergeCell ref="V2:X2"/>
    <mergeCell ref="K4:K8"/>
    <mergeCell ref="E2:H2"/>
    <mergeCell ref="K9:K15"/>
  </mergeCells>
  <pageMargins left="0.7" right="0.7" top="0.75" bottom="0.75" header="0.3" footer="0.3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showGridLines="1" zoomScale="85" zoomScaleNormal="85" workbookViewId="0">
      <pane xSplit="5" topLeftCell="F1" activePane="topRight" state="frozen"/>
      <selection activeCell="A1" sqref="A1"/>
    </sheetView>
  </sheetViews>
  <sheetFormatPr baseColWidth="8" defaultColWidth="9" defaultRowHeight="16.8"/>
  <cols>
    <col width="11.375" customWidth="1" style="483" min="5" max="5"/>
    <col width="9.5" customWidth="1" style="483" min="6" max="6"/>
    <col width="9.625" customWidth="1" style="483" min="7" max="7"/>
    <col width="13.125" customWidth="1" style="483" min="8" max="8"/>
    <col width="11" customWidth="1" style="483" min="9" max="9"/>
    <col width="10.125" customWidth="1" style="483" min="10" max="10"/>
    <col width="10.5" customWidth="1" style="483" min="11" max="11"/>
    <col width="10.125" customWidth="1" style="483" min="12" max="12"/>
    <col width="11.875" customWidth="1" style="483" min="13" max="13"/>
    <col width="9.75" customWidth="1" style="483" min="14" max="14"/>
    <col width="14.25" customWidth="1" style="483" min="15" max="15"/>
    <col width="11.625" customWidth="1" style="483" min="16" max="16"/>
    <col width="9.75" customWidth="1" style="483" min="17" max="17"/>
    <col width="11.875" customWidth="1" style="483" min="18" max="18"/>
    <col width="12.125" customWidth="1" style="483" min="19" max="19"/>
    <col width="14.5" customWidth="1" style="483" min="21" max="21"/>
    <col width="16" customWidth="1" style="483" min="22" max="22"/>
    <col width="17.875" customWidth="1" style="483" min="23" max="23"/>
    <col width="17.375" customWidth="1" style="483" min="24" max="24"/>
    <col width="18.5" customWidth="1" style="483" min="25" max="25"/>
    <col width="14.5" customWidth="1" style="483" min="26" max="26"/>
    <col width="13.625" customWidth="1" style="483" min="27" max="27"/>
    <col width="17.625" customWidth="1" style="483" min="28" max="28"/>
    <col width="18.25" customWidth="1" style="483" min="29" max="29"/>
    <col width="18.5" customWidth="1" style="483" min="30" max="30"/>
    <col width="18.125" customWidth="1" style="483" min="31" max="31"/>
    <col width="13.5" customWidth="1" style="483" min="32" max="32"/>
    <col width="9.875" customWidth="1" style="483" min="33" max="33"/>
    <col width="11.625" customWidth="1" style="483" min="34" max="34"/>
    <col width="10.625" customWidth="1" style="483" min="35" max="35"/>
    <col width="8.375" customWidth="1" style="483" min="36" max="36"/>
  </cols>
  <sheetData>
    <row r="1" ht="24.95" customFormat="1" customHeight="1" s="483">
      <c r="A1" s="505" t="inlineStr">
        <is>
          <t>2025年12月31日存量客户数据看板       负责：销管+销售助理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486" t="n"/>
      <c r="Q1" s="486" t="n"/>
      <c r="R1" s="486" t="n"/>
    </row>
    <row r="2" ht="24.95" customFormat="1" customHeight="1" s="483">
      <c r="A2" s="506" t="inlineStr">
        <is>
          <t>序号</t>
        </is>
      </c>
      <c r="B2" s="506" t="inlineStr">
        <is>
          <t>财总</t>
        </is>
      </c>
      <c r="C2" s="506" t="inlineStr">
        <is>
          <t>人数</t>
        </is>
      </c>
      <c r="D2" s="506" t="inlineStr">
        <is>
          <t>职位</t>
        </is>
      </c>
      <c r="E2" s="506" t="inlineStr">
        <is>
          <t>团队成员</t>
        </is>
      </c>
      <c r="F2" s="506" t="inlineStr">
        <is>
          <t>存量AUM
【港币/百万】</t>
        </is>
      </c>
      <c r="G2" s="506" t="inlineStr">
        <is>
          <t>存量AUM
【自有客户】</t>
        </is>
      </c>
      <c r="H2" s="506" t="inlineStr">
        <is>
          <t>存量客户数</t>
        </is>
      </c>
      <c r="I2" s="506" t="inlineStr">
        <is>
          <t>自有客户</t>
        </is>
      </c>
      <c r="J2" s="506" t="inlineStr">
        <is>
          <t>指定客户</t>
        </is>
      </c>
      <c r="K2" s="506" t="inlineStr">
        <is>
          <t>承继客户</t>
        </is>
      </c>
      <c r="L2" s="506" t="inlineStr">
        <is>
          <t>渠道客户</t>
        </is>
      </c>
      <c r="M2" s="506" t="inlineStr">
        <is>
          <t>存量PI客户</t>
        </is>
      </c>
      <c r="N2" s="506" t="inlineStr">
        <is>
          <t>非PI客户</t>
        </is>
      </c>
      <c r="O2" s="506" t="inlineStr">
        <is>
          <t>目前持有产
品PI客户数</t>
        </is>
      </c>
      <c r="P2" s="506" t="inlineStr">
        <is>
          <t>历史持有产
品PI客户数</t>
        </is>
      </c>
      <c r="Q2" s="506" t="inlineStr">
        <is>
          <t>未曾持有产品PI客户</t>
        </is>
      </c>
      <c r="R2" s="506" t="inlineStr">
        <is>
          <t xml:space="preserve">PI客户同时持有保单
</t>
        </is>
      </c>
      <c r="S2" s="506" t="inlineStr">
        <is>
          <t xml:space="preserve">非PI客户同时持有保单
</t>
        </is>
      </c>
      <c r="T2" s="507" t="inlineStr">
        <is>
          <t>PI客户存量规模分层</t>
        </is>
      </c>
      <c r="U2" s="494" t="n"/>
      <c r="V2" s="494" t="n"/>
      <c r="W2" s="494" t="n"/>
      <c r="X2" s="494" t="n"/>
      <c r="Y2" s="494" t="n"/>
      <c r="Z2" s="495" t="n"/>
      <c r="AA2" s="492" t="inlineStr">
        <is>
          <t>PI客户货币基金</t>
        </is>
      </c>
      <c r="AB2" s="486" t="n"/>
      <c r="AC2" s="486" t="n"/>
      <c r="AD2" s="486" t="n"/>
      <c r="AE2" s="486" t="n"/>
      <c r="AF2" s="486" t="n"/>
      <c r="AG2" s="508" t="inlineStr">
        <is>
          <t>对接财富服务代表</t>
        </is>
      </c>
      <c r="AH2" s="508" t="inlineStr">
        <is>
          <t>服务代表没有签署新协议-1.14版本</t>
        </is>
      </c>
      <c r="AI2" s="508" t="inlineStr">
        <is>
          <t>无签署服务代表</t>
        </is>
      </c>
      <c r="AJ2" s="508" t="inlineStr">
        <is>
          <t>无协议客户数</t>
        </is>
      </c>
    </row>
    <row r="3" ht="22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9" t="inlineStr">
        <is>
          <t>0美金</t>
        </is>
      </c>
      <c r="U3" s="509" t="inlineStr">
        <is>
          <t>0&lt;X&lt;5万美金</t>
        </is>
      </c>
      <c r="V3" s="509" t="inlineStr">
        <is>
          <t>5W≤X&lt;20万美金</t>
        </is>
      </c>
      <c r="W3" s="509" t="inlineStr">
        <is>
          <t>20≤X&lt;50万美金</t>
        </is>
      </c>
      <c r="X3" s="509" t="inlineStr">
        <is>
          <t>50≤X&lt;100万美金</t>
        </is>
      </c>
      <c r="Y3" s="509" t="inlineStr">
        <is>
          <t>100≤X&lt;300万美金</t>
        </is>
      </c>
      <c r="Z3" s="509" t="inlineStr">
        <is>
          <t>≥300万美金</t>
        </is>
      </c>
      <c r="AA3" s="493" t="inlineStr">
        <is>
          <t>0&lt;X&lt;5万美金</t>
        </is>
      </c>
      <c r="AB3" s="493" t="inlineStr">
        <is>
          <t>5W≤X&lt;20万美金</t>
        </is>
      </c>
      <c r="AC3" s="493" t="inlineStr">
        <is>
          <t>20≤X&lt;50万美金</t>
        </is>
      </c>
      <c r="AD3" s="493" t="inlineStr">
        <is>
          <t>50≤X&lt;100万美金</t>
        </is>
      </c>
      <c r="AE3" s="493" t="inlineStr">
        <is>
          <t>100≤X&lt;300万美金</t>
        </is>
      </c>
      <c r="AF3" s="510" t="inlineStr">
        <is>
          <t>≥300万美金</t>
        </is>
      </c>
      <c r="AG3" s="501" t="n"/>
      <c r="AH3" s="501" t="n"/>
      <c r="AI3" s="501" t="n"/>
      <c r="AJ3" s="501" t="n"/>
    </row>
    <row r="4" ht="14.1" customFormat="1" customHeight="1" s="483">
      <c r="A4" s="511" t="n">
        <v>1</v>
      </c>
      <c r="B4" s="512" t="inlineStr">
        <is>
          <t xml:space="preserve">理财师018
</t>
        </is>
      </c>
      <c r="C4" s="511" t="n">
        <v>6</v>
      </c>
      <c r="D4" s="498" t="inlineStr">
        <is>
          <t>PWA</t>
        </is>
      </c>
      <c r="E4" s="498" t="inlineStr">
        <is>
          <t>理财师018</t>
        </is>
      </c>
      <c r="F4" s="498" t="n">
        <v>51399.0785</v>
      </c>
      <c r="G4" s="498" t="n">
        <v>20294.5435</v>
      </c>
      <c r="H4" s="498" t="n">
        <v>146</v>
      </c>
      <c r="I4" s="498" t="n">
        <v>23</v>
      </c>
      <c r="J4" s="498" t="n">
        <v>112</v>
      </c>
      <c r="K4" s="498" t="n">
        <v>13</v>
      </c>
      <c r="L4" s="498" t="n">
        <v>0</v>
      </c>
      <c r="M4" s="498" t="n">
        <v>112</v>
      </c>
      <c r="N4" s="498" t="n">
        <v>34</v>
      </c>
      <c r="O4" s="498" t="n">
        <v>47</v>
      </c>
      <c r="P4" s="498" t="n">
        <v>36</v>
      </c>
      <c r="Q4" s="498" t="n">
        <v>29</v>
      </c>
      <c r="R4" s="497" t="inlineStr">
        <is>
          <t>x</t>
        </is>
      </c>
      <c r="S4" s="497" t="inlineStr">
        <is>
          <t>x</t>
        </is>
      </c>
      <c r="T4" s="497" t="inlineStr">
        <is>
          <t>x</t>
        </is>
      </c>
      <c r="U4" s="497" t="inlineStr">
        <is>
          <t>x</t>
        </is>
      </c>
      <c r="V4" s="497" t="inlineStr">
        <is>
          <t>x</t>
        </is>
      </c>
      <c r="W4" s="497" t="inlineStr">
        <is>
          <t>x</t>
        </is>
      </c>
      <c r="X4" s="497" t="inlineStr">
        <is>
          <t>x</t>
        </is>
      </c>
      <c r="Y4" s="497" t="inlineStr">
        <is>
          <t>x</t>
        </is>
      </c>
      <c r="Z4" s="497" t="inlineStr">
        <is>
          <t>x</t>
        </is>
      </c>
      <c r="AA4" s="497" t="inlineStr">
        <is>
          <t>x</t>
        </is>
      </c>
      <c r="AB4" s="497" t="inlineStr">
        <is>
          <t>x</t>
        </is>
      </c>
      <c r="AC4" s="497" t="inlineStr">
        <is>
          <t>x</t>
        </is>
      </c>
      <c r="AD4" s="497" t="inlineStr">
        <is>
          <t>x</t>
        </is>
      </c>
      <c r="AE4" s="497" t="inlineStr">
        <is>
          <t>x</t>
        </is>
      </c>
      <c r="AF4" s="497" t="inlineStr">
        <is>
          <t>x</t>
        </is>
      </c>
      <c r="AG4" s="496" t="inlineStr"/>
      <c r="AH4" s="496" t="inlineStr"/>
      <c r="AI4" s="496" t="inlineStr"/>
      <c r="AJ4" s="496" t="inlineStr"/>
    </row>
    <row r="5">
      <c r="A5" s="500" t="n"/>
      <c r="B5" s="500" t="n"/>
      <c r="C5" s="500" t="n"/>
      <c r="D5" s="498" t="inlineStr">
        <is>
          <t>PWA</t>
        </is>
      </c>
      <c r="E5" s="498" t="inlineStr">
        <is>
          <t>理财师021</t>
        </is>
      </c>
      <c r="F5" s="498" t="n">
        <v>38367</v>
      </c>
      <c r="G5" s="498" t="n">
        <v>740</v>
      </c>
      <c r="H5" s="498" t="n">
        <v>103</v>
      </c>
      <c r="I5" s="498" t="n">
        <v>10</v>
      </c>
      <c r="J5" s="498" t="n">
        <v>93</v>
      </c>
      <c r="K5" s="498" t="n">
        <v>0</v>
      </c>
      <c r="L5" s="498" t="n">
        <v>0</v>
      </c>
      <c r="M5" s="498" t="n">
        <v>80</v>
      </c>
      <c r="N5" s="498" t="n">
        <v>23</v>
      </c>
      <c r="O5" s="498" t="n">
        <v>32</v>
      </c>
      <c r="P5" s="498" t="n">
        <v>22</v>
      </c>
      <c r="Q5" s="498" t="n">
        <v>24</v>
      </c>
      <c r="R5" s="497" t="inlineStr">
        <is>
          <t>x</t>
        </is>
      </c>
      <c r="S5" s="497" t="inlineStr">
        <is>
          <t>x</t>
        </is>
      </c>
      <c r="T5" s="497" t="inlineStr">
        <is>
          <t>x</t>
        </is>
      </c>
      <c r="U5" s="497" t="inlineStr">
        <is>
          <t>x</t>
        </is>
      </c>
      <c r="V5" s="497" t="inlineStr">
        <is>
          <t>x</t>
        </is>
      </c>
      <c r="W5" s="497" t="inlineStr">
        <is>
          <t>x</t>
        </is>
      </c>
      <c r="X5" s="497" t="inlineStr">
        <is>
          <t>x</t>
        </is>
      </c>
      <c r="Y5" s="497" t="inlineStr">
        <is>
          <t>x</t>
        </is>
      </c>
      <c r="Z5" s="497" t="inlineStr">
        <is>
          <t>x</t>
        </is>
      </c>
      <c r="AA5" s="497" t="inlineStr">
        <is>
          <t>x</t>
        </is>
      </c>
      <c r="AB5" s="497" t="inlineStr">
        <is>
          <t>x</t>
        </is>
      </c>
      <c r="AC5" s="497" t="inlineStr">
        <is>
          <t>x</t>
        </is>
      </c>
      <c r="AD5" s="497" t="inlineStr">
        <is>
          <t>x</t>
        </is>
      </c>
      <c r="AE5" s="497" t="inlineStr">
        <is>
          <t>x</t>
        </is>
      </c>
      <c r="AF5" s="497" t="inlineStr">
        <is>
          <t>x</t>
        </is>
      </c>
      <c r="AG5" s="496" t="inlineStr"/>
      <c r="AH5" s="496" t="inlineStr"/>
      <c r="AI5" s="496" t="inlineStr"/>
      <c r="AJ5" s="496" t="inlineStr"/>
    </row>
    <row r="6">
      <c r="A6" s="500" t="n"/>
      <c r="B6" s="500" t="n"/>
      <c r="C6" s="500" t="n"/>
      <c r="D6" s="498" t="inlineStr">
        <is>
          <t>PWA</t>
        </is>
      </c>
      <c r="E6" s="498" t="inlineStr">
        <is>
          <t>理财师017</t>
        </is>
      </c>
      <c r="F6" s="498" t="n">
        <v>8770</v>
      </c>
      <c r="G6" s="498" t="n">
        <v>1561</v>
      </c>
      <c r="H6" s="498" t="n">
        <v>70</v>
      </c>
      <c r="I6" s="498" t="n">
        <v>27</v>
      </c>
      <c r="J6" s="498" t="n">
        <v>43</v>
      </c>
      <c r="K6" s="498" t="n">
        <v>0</v>
      </c>
      <c r="L6" s="498" t="n">
        <v>0</v>
      </c>
      <c r="M6" s="498" t="n">
        <v>46</v>
      </c>
      <c r="N6" s="498" t="n">
        <v>24</v>
      </c>
      <c r="O6" s="498" t="n">
        <v>17</v>
      </c>
      <c r="P6" s="498" t="n">
        <v>15</v>
      </c>
      <c r="Q6" s="498" t="n">
        <v>14</v>
      </c>
      <c r="R6" s="497" t="inlineStr">
        <is>
          <t>x</t>
        </is>
      </c>
      <c r="S6" s="497" t="inlineStr">
        <is>
          <t>x</t>
        </is>
      </c>
      <c r="T6" s="497" t="inlineStr">
        <is>
          <t>x</t>
        </is>
      </c>
      <c r="U6" s="497" t="inlineStr">
        <is>
          <t>x</t>
        </is>
      </c>
      <c r="V6" s="497" t="inlineStr">
        <is>
          <t>x</t>
        </is>
      </c>
      <c r="W6" s="497" t="inlineStr">
        <is>
          <t>x</t>
        </is>
      </c>
      <c r="X6" s="497" t="inlineStr">
        <is>
          <t>x</t>
        </is>
      </c>
      <c r="Y6" s="497" t="inlineStr">
        <is>
          <t>x</t>
        </is>
      </c>
      <c r="Z6" s="497" t="inlineStr">
        <is>
          <t>x</t>
        </is>
      </c>
      <c r="AA6" s="497" t="inlineStr">
        <is>
          <t>x</t>
        </is>
      </c>
      <c r="AB6" s="497" t="inlineStr">
        <is>
          <t>x</t>
        </is>
      </c>
      <c r="AC6" s="497" t="inlineStr">
        <is>
          <t>x</t>
        </is>
      </c>
      <c r="AD6" s="497" t="inlineStr">
        <is>
          <t>x</t>
        </is>
      </c>
      <c r="AE6" s="497" t="inlineStr">
        <is>
          <t>x</t>
        </is>
      </c>
      <c r="AF6" s="497" t="inlineStr">
        <is>
          <t>x</t>
        </is>
      </c>
      <c r="AG6" s="496" t="inlineStr"/>
      <c r="AH6" s="496" t="inlineStr"/>
      <c r="AI6" s="496" t="inlineStr"/>
      <c r="AJ6" s="496" t="inlineStr"/>
    </row>
    <row r="7">
      <c r="A7" s="500" t="n"/>
      <c r="B7" s="500" t="n"/>
      <c r="C7" s="500" t="n"/>
      <c r="D7" s="498" t="inlineStr">
        <is>
          <t>PWA</t>
        </is>
      </c>
      <c r="E7" s="498" t="inlineStr">
        <is>
          <t>理财师019</t>
        </is>
      </c>
      <c r="F7" s="498" t="n">
        <v>11623</v>
      </c>
      <c r="G7" s="498" t="n">
        <v>1209</v>
      </c>
      <c r="H7" s="498" t="n">
        <v>45</v>
      </c>
      <c r="I7" s="498" t="n">
        <v>23</v>
      </c>
      <c r="J7" s="498" t="n">
        <v>22</v>
      </c>
      <c r="K7" s="498" t="n">
        <v>0</v>
      </c>
      <c r="L7" s="498" t="n">
        <v>0</v>
      </c>
      <c r="M7" s="498" t="n">
        <v>36</v>
      </c>
      <c r="N7" s="498" t="n">
        <v>9</v>
      </c>
      <c r="O7" s="498" t="n">
        <v>13</v>
      </c>
      <c r="P7" s="498" t="n">
        <v>11</v>
      </c>
      <c r="Q7" s="498" t="n">
        <v>12</v>
      </c>
      <c r="R7" s="497" t="inlineStr">
        <is>
          <t>x</t>
        </is>
      </c>
      <c r="S7" s="497" t="inlineStr">
        <is>
          <t>x</t>
        </is>
      </c>
      <c r="T7" s="497" t="inlineStr">
        <is>
          <t>x</t>
        </is>
      </c>
      <c r="U7" s="497" t="inlineStr">
        <is>
          <t>x</t>
        </is>
      </c>
      <c r="V7" s="497" t="inlineStr">
        <is>
          <t>x</t>
        </is>
      </c>
      <c r="W7" s="497" t="inlineStr">
        <is>
          <t>x</t>
        </is>
      </c>
      <c r="X7" s="497" t="inlineStr">
        <is>
          <t>x</t>
        </is>
      </c>
      <c r="Y7" s="497" t="inlineStr">
        <is>
          <t>x</t>
        </is>
      </c>
      <c r="Z7" s="497" t="inlineStr">
        <is>
          <t>x</t>
        </is>
      </c>
      <c r="AA7" s="497" t="inlineStr">
        <is>
          <t>x</t>
        </is>
      </c>
      <c r="AB7" s="497" t="inlineStr">
        <is>
          <t>x</t>
        </is>
      </c>
      <c r="AC7" s="497" t="inlineStr">
        <is>
          <t>x</t>
        </is>
      </c>
      <c r="AD7" s="497" t="inlineStr">
        <is>
          <t>x</t>
        </is>
      </c>
      <c r="AE7" s="497" t="inlineStr">
        <is>
          <t>x</t>
        </is>
      </c>
      <c r="AF7" s="497" t="inlineStr">
        <is>
          <t>x</t>
        </is>
      </c>
      <c r="AG7" s="496" t="inlineStr"/>
      <c r="AH7" s="496" t="inlineStr"/>
      <c r="AI7" s="496" t="inlineStr"/>
      <c r="AJ7" s="496" t="inlineStr"/>
    </row>
    <row r="8">
      <c r="A8" s="500" t="n"/>
      <c r="B8" s="500" t="n"/>
      <c r="C8" s="500" t="n"/>
      <c r="D8" s="498" t="inlineStr">
        <is>
          <t>CDO</t>
        </is>
      </c>
      <c r="E8" s="498" t="inlineStr">
        <is>
          <t>理财师277</t>
        </is>
      </c>
      <c r="F8" s="498" t="n">
        <v>0</v>
      </c>
      <c r="G8" s="498" t="n">
        <v>0</v>
      </c>
      <c r="H8" s="498" t="n">
        <v>1</v>
      </c>
      <c r="I8" s="498" t="n">
        <v>1</v>
      </c>
      <c r="J8" s="498" t="n">
        <v>0</v>
      </c>
      <c r="K8" s="498" t="n">
        <v>0</v>
      </c>
      <c r="L8" s="498" t="n">
        <v>0</v>
      </c>
      <c r="M8" s="498" t="n">
        <v>0</v>
      </c>
      <c r="N8" s="498" t="n">
        <v>1</v>
      </c>
      <c r="O8" s="498" t="n">
        <v>0</v>
      </c>
      <c r="P8" s="498" t="n">
        <v>0</v>
      </c>
      <c r="Q8" s="498" t="n">
        <v>0</v>
      </c>
      <c r="R8" s="497" t="inlineStr">
        <is>
          <t>x</t>
        </is>
      </c>
      <c r="S8" s="497" t="inlineStr">
        <is>
          <t>x</t>
        </is>
      </c>
      <c r="T8" s="497" t="inlineStr">
        <is>
          <t>x</t>
        </is>
      </c>
      <c r="U8" s="497" t="inlineStr">
        <is>
          <t>x</t>
        </is>
      </c>
      <c r="V8" s="497" t="inlineStr">
        <is>
          <t>x</t>
        </is>
      </c>
      <c r="W8" s="497" t="inlineStr">
        <is>
          <t>x</t>
        </is>
      </c>
      <c r="X8" s="497" t="inlineStr">
        <is>
          <t>x</t>
        </is>
      </c>
      <c r="Y8" s="497" t="inlineStr">
        <is>
          <t>x</t>
        </is>
      </c>
      <c r="Z8" s="497" t="inlineStr">
        <is>
          <t>x</t>
        </is>
      </c>
      <c r="AA8" s="497" t="inlineStr">
        <is>
          <t>x</t>
        </is>
      </c>
      <c r="AB8" s="497" t="inlineStr">
        <is>
          <t>x</t>
        </is>
      </c>
      <c r="AC8" s="497" t="inlineStr">
        <is>
          <t>x</t>
        </is>
      </c>
      <c r="AD8" s="497" t="inlineStr">
        <is>
          <t>x</t>
        </is>
      </c>
      <c r="AE8" s="497" t="inlineStr">
        <is>
          <t>x</t>
        </is>
      </c>
      <c r="AF8" s="497" t="inlineStr">
        <is>
          <t>x</t>
        </is>
      </c>
      <c r="AG8" s="496" t="inlineStr"/>
      <c r="AH8" s="496" t="inlineStr"/>
      <c r="AI8" s="496" t="inlineStr"/>
      <c r="AJ8" s="496" t="inlineStr"/>
    </row>
    <row r="9" ht="14.25" customFormat="1" customHeight="1" s="483">
      <c r="A9" s="513" t="n"/>
      <c r="B9" s="513" t="n"/>
      <c r="C9" s="513" t="n"/>
      <c r="D9" s="514" t="inlineStr">
        <is>
          <t>PWA</t>
        </is>
      </c>
      <c r="E9" s="514" t="inlineStr">
        <is>
          <t>理财师025</t>
        </is>
      </c>
      <c r="F9" s="514" t="n">
        <v>0.8</v>
      </c>
      <c r="G9" s="514" t="n">
        <v>0.8</v>
      </c>
      <c r="H9" s="514" t="n">
        <v>16</v>
      </c>
      <c r="I9" s="514" t="n">
        <v>4</v>
      </c>
      <c r="J9" s="514" t="n">
        <v>0</v>
      </c>
      <c r="K9" s="514" t="n">
        <v>0</v>
      </c>
      <c r="L9" s="514" t="n">
        <v>12</v>
      </c>
      <c r="M9" s="514" t="n">
        <v>4</v>
      </c>
      <c r="N9" s="514" t="n">
        <v>12</v>
      </c>
      <c r="O9" s="514" t="n">
        <v>2</v>
      </c>
      <c r="P9" s="514" t="n">
        <v>0</v>
      </c>
      <c r="Q9" s="514" t="n">
        <v>0</v>
      </c>
      <c r="R9" s="515" t="inlineStr">
        <is>
          <t>x</t>
        </is>
      </c>
      <c r="S9" s="515" t="inlineStr">
        <is>
          <t>x</t>
        </is>
      </c>
      <c r="T9" s="515" t="inlineStr">
        <is>
          <t>x</t>
        </is>
      </c>
      <c r="U9" s="515" t="inlineStr">
        <is>
          <t>x</t>
        </is>
      </c>
      <c r="V9" s="515" t="inlineStr">
        <is>
          <t>x</t>
        </is>
      </c>
      <c r="W9" s="515" t="inlineStr">
        <is>
          <t>x</t>
        </is>
      </c>
      <c r="X9" s="515" t="inlineStr">
        <is>
          <t>x</t>
        </is>
      </c>
      <c r="Y9" s="515" t="inlineStr">
        <is>
          <t>x</t>
        </is>
      </c>
      <c r="Z9" s="515" t="inlineStr">
        <is>
          <t>x</t>
        </is>
      </c>
      <c r="AA9" s="515" t="inlineStr">
        <is>
          <t>x</t>
        </is>
      </c>
      <c r="AB9" s="515" t="inlineStr">
        <is>
          <t>x</t>
        </is>
      </c>
      <c r="AC9" s="515" t="inlineStr">
        <is>
          <t>x</t>
        </is>
      </c>
      <c r="AD9" s="515" t="inlineStr">
        <is>
          <t>x</t>
        </is>
      </c>
      <c r="AE9" s="515" t="inlineStr">
        <is>
          <t>x</t>
        </is>
      </c>
      <c r="AF9" s="515" t="inlineStr">
        <is>
          <t>x</t>
        </is>
      </c>
      <c r="AG9" s="516" t="inlineStr"/>
      <c r="AH9" s="516" t="inlineStr"/>
      <c r="AI9" s="516" t="inlineStr"/>
      <c r="AJ9" s="516" t="inlineStr"/>
    </row>
    <row r="10" ht="14.25" customFormat="1" customHeight="1" s="483">
      <c r="A10" s="517" t="inlineStr">
        <is>
          <t>汇总</t>
        </is>
      </c>
      <c r="B10" s="518" t="n"/>
      <c r="C10" s="518" t="n"/>
      <c r="D10" s="518" t="n"/>
      <c r="E10" s="519" t="n"/>
      <c r="F10" s="520">
        <f>SUM(F4:F9)</f>
        <v/>
      </c>
      <c r="G10" s="521">
        <f>SUM(G4:G9)</f>
        <v/>
      </c>
      <c r="H10" s="521">
        <f>SUM(H4:H9)</f>
        <v/>
      </c>
      <c r="I10" s="521">
        <f>SUM(I4:I9)</f>
        <v/>
      </c>
      <c r="J10" s="521">
        <f>SUM(J4:J9)</f>
        <v/>
      </c>
      <c r="K10" s="521">
        <f>SUM(K4:K9)</f>
        <v/>
      </c>
      <c r="L10" s="521">
        <f>SUM(L4:L9)</f>
        <v/>
      </c>
      <c r="M10" s="521">
        <f>SUM(M4:M9)</f>
        <v/>
      </c>
      <c r="N10" s="521">
        <f>SUM(N4:N9)</f>
        <v/>
      </c>
      <c r="O10" s="521">
        <f>SUM(O4:O9)</f>
        <v/>
      </c>
      <c r="P10" s="521">
        <f>SUM(P4:P9)</f>
        <v/>
      </c>
      <c r="Q10" s="521">
        <f>SUM(Q4:Q9)</f>
        <v/>
      </c>
      <c r="R10" s="521" t="inlineStr">
        <is>
          <t>x</t>
        </is>
      </c>
      <c r="S10" s="521" t="inlineStr">
        <is>
          <t>x</t>
        </is>
      </c>
      <c r="T10" s="521" t="inlineStr">
        <is>
          <t>x</t>
        </is>
      </c>
      <c r="U10" s="521" t="inlineStr">
        <is>
          <t>x</t>
        </is>
      </c>
      <c r="V10" s="521" t="inlineStr">
        <is>
          <t>x</t>
        </is>
      </c>
      <c r="W10" s="521" t="inlineStr">
        <is>
          <t>x</t>
        </is>
      </c>
      <c r="X10" s="521" t="inlineStr">
        <is>
          <t>x</t>
        </is>
      </c>
      <c r="Y10" s="521" t="inlineStr">
        <is>
          <t>x</t>
        </is>
      </c>
      <c r="Z10" s="521" t="inlineStr">
        <is>
          <t>x</t>
        </is>
      </c>
      <c r="AA10" s="521" t="inlineStr">
        <is>
          <t>x</t>
        </is>
      </c>
      <c r="AB10" s="521" t="inlineStr">
        <is>
          <t>x</t>
        </is>
      </c>
      <c r="AC10" s="521" t="inlineStr">
        <is>
          <t>x</t>
        </is>
      </c>
      <c r="AD10" s="521" t="inlineStr">
        <is>
          <t>x</t>
        </is>
      </c>
      <c r="AE10" s="521" t="inlineStr">
        <is>
          <t>x</t>
        </is>
      </c>
      <c r="AF10" s="521" t="inlineStr">
        <is>
          <t>x</t>
        </is>
      </c>
      <c r="AG10" s="522" t="inlineStr"/>
      <c r="AH10" s="522" t="inlineStr"/>
      <c r="AI10" s="522" t="inlineStr"/>
      <c r="AJ10" s="523" t="inlineStr"/>
    </row>
    <row r="11" ht="14.1" customFormat="1" customHeight="1" s="483">
      <c r="A11" s="524" t="n">
        <v>2</v>
      </c>
      <c r="B11" s="525" t="inlineStr">
        <is>
          <t xml:space="preserve">理财师014
</t>
        </is>
      </c>
      <c r="C11" s="524" t="n">
        <v>4</v>
      </c>
      <c r="D11" s="526" t="inlineStr">
        <is>
          <t>PWA</t>
        </is>
      </c>
      <c r="E11" s="526" t="inlineStr">
        <is>
          <t>理财师014</t>
        </is>
      </c>
      <c r="F11" s="526" t="inlineStr"/>
      <c r="G11" s="527" t="inlineStr"/>
      <c r="H11" s="527" t="inlineStr"/>
      <c r="I11" s="527" t="inlineStr"/>
      <c r="J11" s="527" t="inlineStr"/>
      <c r="K11" s="527" t="inlineStr"/>
      <c r="L11" s="527" t="inlineStr"/>
      <c r="M11" s="527" t="inlineStr"/>
      <c r="N11" s="527" t="inlineStr"/>
      <c r="O11" s="527" t="inlineStr"/>
      <c r="P11" s="527" t="inlineStr"/>
      <c r="Q11" s="527" t="inlineStr"/>
      <c r="R11" s="527" t="inlineStr"/>
      <c r="S11" s="527" t="inlineStr"/>
      <c r="T11" s="527" t="inlineStr"/>
      <c r="U11" s="527" t="inlineStr"/>
      <c r="V11" s="527" t="inlineStr"/>
      <c r="W11" s="527" t="inlineStr"/>
      <c r="X11" s="527" t="inlineStr"/>
      <c r="Y11" s="527" t="inlineStr"/>
      <c r="Z11" s="527" t="inlineStr"/>
      <c r="AA11" s="527" t="inlineStr"/>
      <c r="AB11" s="527" t="inlineStr"/>
      <c r="AC11" s="527" t="inlineStr"/>
      <c r="AD11" s="527" t="inlineStr"/>
      <c r="AE11" s="527" t="inlineStr"/>
      <c r="AF11" s="528" t="inlineStr"/>
      <c r="AG11" s="527" t="inlineStr"/>
      <c r="AH11" s="527" t="inlineStr"/>
      <c r="AI11" s="527" t="inlineStr"/>
      <c r="AJ11" s="527" t="inlineStr"/>
    </row>
    <row r="12">
      <c r="A12" s="500" t="n"/>
      <c r="B12" s="500" t="n"/>
      <c r="C12" s="500" t="n"/>
      <c r="D12" s="498" t="inlineStr">
        <is>
          <t>PWA</t>
        </is>
      </c>
      <c r="E12" s="498" t="inlineStr">
        <is>
          <t>理财师017</t>
        </is>
      </c>
      <c r="F12" s="498" t="inlineStr"/>
      <c r="G12" s="496" t="inlineStr"/>
      <c r="H12" s="496" t="inlineStr"/>
      <c r="I12" s="496" t="inlineStr"/>
      <c r="J12" s="496" t="inlineStr"/>
      <c r="K12" s="496" t="inlineStr"/>
      <c r="L12" s="496" t="inlineStr"/>
      <c r="M12" s="496" t="inlineStr"/>
      <c r="N12" s="496" t="inlineStr"/>
      <c r="O12" s="496" t="inlineStr"/>
      <c r="P12" s="496" t="inlineStr"/>
      <c r="Q12" s="496" t="inlineStr"/>
      <c r="R12" s="496" t="inlineStr"/>
      <c r="S12" s="496" t="inlineStr"/>
      <c r="T12" s="496" t="inlineStr"/>
      <c r="U12" s="496" t="inlineStr"/>
      <c r="V12" s="496" t="inlineStr"/>
      <c r="W12" s="496" t="inlineStr"/>
      <c r="X12" s="496" t="inlineStr"/>
      <c r="Y12" s="496" t="inlineStr"/>
      <c r="Z12" s="496" t="inlineStr"/>
      <c r="AA12" s="496" t="inlineStr"/>
      <c r="AB12" s="496" t="inlineStr"/>
      <c r="AC12" s="496" t="inlineStr"/>
      <c r="AD12" s="496" t="inlineStr"/>
      <c r="AE12" s="496" t="inlineStr"/>
      <c r="AF12" s="529" t="inlineStr"/>
      <c r="AG12" s="496" t="inlineStr"/>
      <c r="AH12" s="496" t="inlineStr"/>
      <c r="AI12" s="496" t="inlineStr"/>
      <c r="AJ12" s="496" t="inlineStr"/>
    </row>
    <row r="13">
      <c r="A13" s="500" t="n"/>
      <c r="B13" s="500" t="n"/>
      <c r="C13" s="500" t="n"/>
      <c r="D13" s="498" t="inlineStr">
        <is>
          <t>PWA</t>
        </is>
      </c>
      <c r="E13" s="498" t="inlineStr">
        <is>
          <t>理财师019</t>
        </is>
      </c>
      <c r="F13" s="498" t="inlineStr"/>
      <c r="G13" s="496" t="inlineStr"/>
      <c r="H13" s="496" t="inlineStr"/>
      <c r="I13" s="496" t="inlineStr"/>
      <c r="J13" s="496" t="inlineStr"/>
      <c r="K13" s="496" t="inlineStr"/>
      <c r="L13" s="496" t="inlineStr"/>
      <c r="M13" s="496" t="inlineStr"/>
      <c r="N13" s="496" t="inlineStr"/>
      <c r="O13" s="496" t="inlineStr"/>
      <c r="P13" s="496" t="inlineStr"/>
      <c r="Q13" s="496" t="inlineStr"/>
      <c r="R13" s="496" t="inlineStr"/>
      <c r="S13" s="496" t="inlineStr"/>
      <c r="T13" s="496" t="inlineStr"/>
      <c r="U13" s="496" t="inlineStr"/>
      <c r="V13" s="496" t="inlineStr"/>
      <c r="W13" s="496" t="inlineStr"/>
      <c r="X13" s="496" t="inlineStr"/>
      <c r="Y13" s="496" t="inlineStr"/>
      <c r="Z13" s="496" t="inlineStr"/>
      <c r="AA13" s="496" t="inlineStr"/>
      <c r="AB13" s="496" t="inlineStr"/>
      <c r="AC13" s="496" t="inlineStr"/>
      <c r="AD13" s="496" t="inlineStr"/>
      <c r="AE13" s="496" t="inlineStr"/>
      <c r="AF13" s="529" t="inlineStr"/>
      <c r="AG13" s="496" t="inlineStr"/>
      <c r="AH13" s="496" t="inlineStr"/>
      <c r="AI13" s="496" t="inlineStr"/>
      <c r="AJ13" s="496" t="inlineStr"/>
    </row>
    <row r="14" ht="14.25" customFormat="1" customHeight="1" s="483">
      <c r="A14" s="513" t="n"/>
      <c r="B14" s="513" t="n"/>
      <c r="C14" s="513" t="n"/>
      <c r="D14" s="498" t="inlineStr">
        <is>
          <t>PWA</t>
        </is>
      </c>
      <c r="E14" s="498" t="inlineStr">
        <is>
          <t>理财师024</t>
        </is>
      </c>
      <c r="F14" s="498" t="inlineStr"/>
      <c r="G14" s="496" t="inlineStr"/>
      <c r="H14" s="496" t="inlineStr"/>
      <c r="I14" s="496" t="inlineStr"/>
      <c r="J14" s="496" t="inlineStr"/>
      <c r="K14" s="496" t="inlineStr"/>
      <c r="L14" s="496" t="inlineStr"/>
      <c r="M14" s="496" t="inlineStr"/>
      <c r="N14" s="496" t="inlineStr"/>
      <c r="O14" s="496" t="inlineStr"/>
      <c r="P14" s="496" t="inlineStr"/>
      <c r="Q14" s="496" t="inlineStr"/>
      <c r="R14" s="496" t="inlineStr"/>
      <c r="S14" s="496" t="inlineStr"/>
      <c r="T14" s="496" t="inlineStr"/>
      <c r="U14" s="496" t="inlineStr"/>
      <c r="V14" s="496" t="inlineStr"/>
      <c r="W14" s="496" t="inlineStr"/>
      <c r="X14" s="496" t="inlineStr"/>
      <c r="Y14" s="496" t="inlineStr"/>
      <c r="Z14" s="496" t="inlineStr"/>
      <c r="AA14" s="496" t="inlineStr"/>
      <c r="AB14" s="496" t="inlineStr"/>
      <c r="AC14" s="496" t="inlineStr"/>
      <c r="AD14" s="496" t="inlineStr"/>
      <c r="AE14" s="496" t="inlineStr"/>
      <c r="AF14" s="529" t="inlineStr"/>
      <c r="AG14" s="496" t="inlineStr"/>
      <c r="AH14" s="496" t="inlineStr"/>
      <c r="AI14" s="496" t="inlineStr"/>
      <c r="AJ14" s="496" t="inlineStr"/>
    </row>
    <row r="15" ht="14.25" customFormat="1" customHeight="1" s="483">
      <c r="A15" s="517" t="inlineStr">
        <is>
          <t>汇总</t>
        </is>
      </c>
      <c r="B15" s="518" t="n"/>
      <c r="C15" s="518" t="n"/>
      <c r="D15" s="518" t="n"/>
      <c r="E15" s="519" t="n"/>
      <c r="F15" s="520">
        <f>SUM(F9:F14)</f>
        <v/>
      </c>
      <c r="G15" s="521">
        <f>SUM(G9:G14)</f>
        <v/>
      </c>
      <c r="H15" s="521">
        <f>SUM(H9:H14)</f>
        <v/>
      </c>
      <c r="I15" s="521">
        <f>SUM(I9:I14)</f>
        <v/>
      </c>
      <c r="J15" s="521">
        <f>SUM(J9:J14)</f>
        <v/>
      </c>
      <c r="K15" s="521">
        <f>SUM(K9:K14)</f>
        <v/>
      </c>
      <c r="L15" s="521">
        <f>SUM(L9:L14)</f>
        <v/>
      </c>
      <c r="M15" s="521">
        <f>SUM(M9:M14)</f>
        <v/>
      </c>
      <c r="N15" s="521">
        <f>SUM(N9:N14)</f>
        <v/>
      </c>
      <c r="O15" s="521">
        <f>SUM(O9:O14)</f>
        <v/>
      </c>
      <c r="P15" s="521">
        <f>SUM(P9:P14)</f>
        <v/>
      </c>
      <c r="Q15" s="521">
        <f>SUM(Q9:Q14)</f>
        <v/>
      </c>
      <c r="R15" s="521" t="inlineStr">
        <is>
          <t>x</t>
        </is>
      </c>
      <c r="S15" s="521" t="inlineStr">
        <is>
          <t>x</t>
        </is>
      </c>
      <c r="T15" s="521" t="inlineStr">
        <is>
          <t>x</t>
        </is>
      </c>
      <c r="U15" s="521" t="inlineStr">
        <is>
          <t>x</t>
        </is>
      </c>
      <c r="V15" s="521" t="inlineStr">
        <is>
          <t>x</t>
        </is>
      </c>
      <c r="W15" s="521" t="inlineStr">
        <is>
          <t>x</t>
        </is>
      </c>
      <c r="X15" s="521" t="inlineStr">
        <is>
          <t>x</t>
        </is>
      </c>
      <c r="Y15" s="521" t="inlineStr">
        <is>
          <t>x</t>
        </is>
      </c>
      <c r="Z15" s="521" t="inlineStr">
        <is>
          <t>x</t>
        </is>
      </c>
      <c r="AA15" s="521" t="inlineStr">
        <is>
          <t>x</t>
        </is>
      </c>
      <c r="AB15" s="521" t="inlineStr">
        <is>
          <t>x</t>
        </is>
      </c>
      <c r="AC15" s="521" t="inlineStr">
        <is>
          <t>x</t>
        </is>
      </c>
      <c r="AD15" s="521" t="inlineStr">
        <is>
          <t>x</t>
        </is>
      </c>
      <c r="AE15" s="521" t="inlineStr">
        <is>
          <t>x</t>
        </is>
      </c>
      <c r="AF15" s="521" t="inlineStr">
        <is>
          <t>x</t>
        </is>
      </c>
      <c r="AG15" s="522" t="inlineStr"/>
      <c r="AH15" s="522" t="inlineStr"/>
      <c r="AI15" s="522" t="inlineStr"/>
      <c r="AJ15" s="523" t="inlineStr"/>
    </row>
    <row r="16" ht="14.1" customFormat="1" customHeight="1" s="483">
      <c r="A16" s="524" t="n">
        <v>3</v>
      </c>
      <c r="B16" s="525" t="inlineStr">
        <is>
          <t xml:space="preserve">理财师007
</t>
        </is>
      </c>
      <c r="C16" s="524" t="n">
        <v>5</v>
      </c>
      <c r="D16" s="498" t="inlineStr">
        <is>
          <t>PWA</t>
        </is>
      </c>
      <c r="E16" s="498" t="inlineStr">
        <is>
          <t>理财师007</t>
        </is>
      </c>
      <c r="F16" s="498" t="inlineStr"/>
      <c r="G16" s="498" t="inlineStr"/>
      <c r="H16" s="498" t="inlineStr"/>
      <c r="I16" s="498" t="inlineStr"/>
      <c r="J16" s="498" t="inlineStr"/>
      <c r="K16" s="498" t="inlineStr"/>
      <c r="L16" s="498" t="inlineStr"/>
      <c r="M16" s="498" t="inlineStr"/>
      <c r="N16" s="498" t="inlineStr"/>
      <c r="O16" s="498" t="inlineStr"/>
      <c r="P16" s="498" t="inlineStr"/>
      <c r="Q16" s="498" t="inlineStr"/>
      <c r="R16" s="498" t="inlineStr"/>
      <c r="S16" s="496" t="inlineStr"/>
      <c r="T16" s="496" t="inlineStr"/>
      <c r="U16" s="496" t="inlineStr"/>
      <c r="V16" s="496" t="inlineStr"/>
      <c r="W16" s="496" t="inlineStr"/>
      <c r="X16" s="496" t="inlineStr"/>
      <c r="Y16" s="496" t="inlineStr"/>
      <c r="Z16" s="496" t="inlineStr"/>
      <c r="AA16" s="496" t="inlineStr"/>
      <c r="AB16" s="496" t="inlineStr"/>
      <c r="AC16" s="496" t="inlineStr"/>
      <c r="AD16" s="496" t="inlineStr"/>
      <c r="AE16" s="496" t="inlineStr"/>
      <c r="AF16" s="496" t="inlineStr"/>
      <c r="AG16" s="496" t="inlineStr"/>
      <c r="AH16" s="496" t="inlineStr"/>
      <c r="AI16" s="496" t="inlineStr"/>
      <c r="AJ16" s="496" t="inlineStr"/>
    </row>
    <row r="17">
      <c r="A17" s="500" t="n"/>
      <c r="B17" s="500" t="n"/>
      <c r="C17" s="500" t="n"/>
      <c r="D17" s="498" t="inlineStr">
        <is>
          <t>PWA</t>
        </is>
      </c>
      <c r="E17" s="498" t="inlineStr">
        <is>
          <t>劳一佳</t>
        </is>
      </c>
      <c r="F17" s="498" t="inlineStr"/>
      <c r="G17" s="498" t="inlineStr"/>
      <c r="H17" s="498" t="inlineStr"/>
      <c r="I17" s="498" t="inlineStr"/>
      <c r="J17" s="498" t="inlineStr"/>
      <c r="K17" s="498" t="inlineStr"/>
      <c r="L17" s="498" t="inlineStr"/>
      <c r="M17" s="498" t="inlineStr"/>
      <c r="N17" s="498" t="inlineStr"/>
      <c r="O17" s="498" t="inlineStr"/>
      <c r="P17" s="498" t="inlineStr"/>
      <c r="Q17" s="498" t="inlineStr"/>
      <c r="R17" s="498" t="inlineStr"/>
      <c r="S17" s="496" t="inlineStr"/>
      <c r="T17" s="496" t="inlineStr"/>
      <c r="U17" s="496" t="inlineStr"/>
      <c r="V17" s="496" t="inlineStr"/>
      <c r="W17" s="496" t="inlineStr"/>
      <c r="X17" s="496" t="inlineStr"/>
      <c r="Y17" s="496" t="inlineStr"/>
      <c r="Z17" s="496" t="inlineStr"/>
      <c r="AA17" s="496" t="inlineStr"/>
      <c r="AB17" s="496" t="inlineStr"/>
      <c r="AC17" s="496" t="inlineStr"/>
      <c r="AD17" s="496" t="inlineStr"/>
      <c r="AE17" s="496" t="inlineStr"/>
      <c r="AF17" s="496" t="inlineStr"/>
      <c r="AG17" s="496" t="inlineStr"/>
      <c r="AH17" s="496" t="inlineStr"/>
      <c r="AI17" s="496" t="inlineStr"/>
      <c r="AJ17" s="496" t="inlineStr"/>
    </row>
    <row r="18">
      <c r="A18" s="500" t="n"/>
      <c r="B18" s="500" t="n"/>
      <c r="C18" s="500" t="n"/>
      <c r="D18" s="498" t="inlineStr">
        <is>
          <t>CDO</t>
        </is>
      </c>
      <c r="E18" s="498" t="inlineStr">
        <is>
          <t>理财师091</t>
        </is>
      </c>
      <c r="F18" s="498" t="inlineStr"/>
      <c r="G18" s="498" t="inlineStr"/>
      <c r="H18" s="498" t="inlineStr"/>
      <c r="I18" s="498" t="inlineStr"/>
      <c r="J18" s="498" t="inlineStr"/>
      <c r="K18" s="498" t="inlineStr"/>
      <c r="L18" s="498" t="inlineStr"/>
      <c r="M18" s="498" t="inlineStr"/>
      <c r="N18" s="498" t="inlineStr"/>
      <c r="O18" s="498" t="inlineStr"/>
      <c r="P18" s="498" t="inlineStr"/>
      <c r="Q18" s="498" t="inlineStr"/>
      <c r="R18" s="498" t="inlineStr"/>
      <c r="S18" s="496" t="inlineStr"/>
      <c r="T18" s="496" t="inlineStr"/>
      <c r="U18" s="496" t="inlineStr"/>
      <c r="V18" s="496" t="inlineStr"/>
      <c r="W18" s="496" t="inlineStr"/>
      <c r="X18" s="496" t="inlineStr"/>
      <c r="Y18" s="496" t="inlineStr"/>
      <c r="Z18" s="496" t="inlineStr"/>
      <c r="AA18" s="496" t="inlineStr"/>
      <c r="AB18" s="496" t="inlineStr"/>
      <c r="AC18" s="496" t="inlineStr"/>
      <c r="AD18" s="496" t="inlineStr"/>
      <c r="AE18" s="496" t="inlineStr"/>
      <c r="AF18" s="496" t="inlineStr"/>
      <c r="AG18" s="496" t="inlineStr"/>
      <c r="AH18" s="496" t="inlineStr"/>
      <c r="AI18" s="496" t="inlineStr"/>
      <c r="AJ18" s="496" t="inlineStr"/>
    </row>
    <row r="19">
      <c r="A19" s="500" t="n"/>
      <c r="B19" s="500" t="n"/>
      <c r="C19" s="500" t="n"/>
      <c r="D19" s="498" t="inlineStr">
        <is>
          <t>CDO</t>
        </is>
      </c>
      <c r="E19" s="498" t="inlineStr">
        <is>
          <t>理财师278</t>
        </is>
      </c>
      <c r="F19" s="498" t="inlineStr"/>
      <c r="G19" s="498" t="inlineStr"/>
      <c r="H19" s="498" t="inlineStr"/>
      <c r="I19" s="498" t="inlineStr"/>
      <c r="J19" s="498" t="inlineStr"/>
      <c r="K19" s="498" t="inlineStr"/>
      <c r="L19" s="498" t="inlineStr"/>
      <c r="M19" s="498" t="inlineStr"/>
      <c r="N19" s="498" t="inlineStr"/>
      <c r="O19" s="498" t="inlineStr"/>
      <c r="P19" s="498" t="inlineStr"/>
      <c r="Q19" s="498" t="inlineStr"/>
      <c r="R19" s="498" t="inlineStr"/>
      <c r="S19" s="496" t="inlineStr"/>
      <c r="T19" s="496" t="inlineStr"/>
      <c r="U19" s="496" t="inlineStr"/>
      <c r="V19" s="496" t="inlineStr"/>
      <c r="W19" s="496" t="inlineStr"/>
      <c r="X19" s="496" t="inlineStr"/>
      <c r="Y19" s="496" t="inlineStr"/>
      <c r="Z19" s="496" t="inlineStr"/>
      <c r="AA19" s="496" t="inlineStr"/>
      <c r="AB19" s="496" t="inlineStr"/>
      <c r="AC19" s="496" t="inlineStr"/>
      <c r="AD19" s="496" t="inlineStr"/>
      <c r="AE19" s="496" t="inlineStr"/>
      <c r="AF19" s="496" t="inlineStr"/>
      <c r="AG19" s="496" t="inlineStr"/>
      <c r="AH19" s="496" t="inlineStr"/>
      <c r="AI19" s="496" t="inlineStr"/>
      <c r="AJ19" s="496" t="inlineStr"/>
    </row>
    <row r="20" ht="14.25" customFormat="1" customHeight="1" s="483">
      <c r="A20" s="513" t="n"/>
      <c r="B20" s="513" t="n"/>
      <c r="C20" s="513" t="n"/>
      <c r="D20" s="498" t="inlineStr">
        <is>
          <t>CDO</t>
        </is>
      </c>
      <c r="E20" s="498" t="inlineStr">
        <is>
          <t>理财师231</t>
        </is>
      </c>
      <c r="F20" s="498" t="inlineStr"/>
      <c r="G20" s="498" t="inlineStr"/>
      <c r="H20" s="498" t="inlineStr"/>
      <c r="I20" s="498" t="inlineStr"/>
      <c r="J20" s="498" t="inlineStr"/>
      <c r="K20" s="498" t="inlineStr"/>
      <c r="L20" s="498" t="inlineStr"/>
      <c r="M20" s="498" t="inlineStr"/>
      <c r="N20" s="498" t="inlineStr"/>
      <c r="O20" s="498" t="inlineStr"/>
      <c r="P20" s="498" t="inlineStr"/>
      <c r="Q20" s="498" t="inlineStr"/>
      <c r="R20" s="498" t="inlineStr"/>
      <c r="S20" s="496" t="inlineStr"/>
      <c r="T20" s="496" t="inlineStr"/>
      <c r="U20" s="496" t="inlineStr"/>
      <c r="V20" s="496" t="inlineStr"/>
      <c r="W20" s="496" t="inlineStr"/>
      <c r="X20" s="496" t="inlineStr"/>
      <c r="Y20" s="496" t="inlineStr"/>
      <c r="Z20" s="496" t="inlineStr"/>
      <c r="AA20" s="496" t="inlineStr"/>
      <c r="AB20" s="496" t="inlineStr"/>
      <c r="AC20" s="496" t="inlineStr"/>
      <c r="AD20" s="496" t="inlineStr"/>
      <c r="AE20" s="496" t="inlineStr"/>
      <c r="AF20" s="496" t="inlineStr"/>
      <c r="AG20" s="496" t="inlineStr"/>
      <c r="AH20" s="496" t="inlineStr"/>
      <c r="AI20" s="496" t="inlineStr"/>
      <c r="AJ20" s="496" t="inlineStr"/>
    </row>
    <row r="21" ht="14.25" customFormat="1" customHeight="1" s="483">
      <c r="A21" s="517" t="inlineStr">
        <is>
          <t>汇总</t>
        </is>
      </c>
      <c r="B21" s="518" t="n"/>
      <c r="C21" s="518" t="n"/>
      <c r="D21" s="518" t="n"/>
      <c r="E21" s="519" t="n"/>
      <c r="F21" s="520">
        <f>SUM(F15:F20)</f>
        <v/>
      </c>
      <c r="G21" s="521">
        <f>SUM(G15:G20)</f>
        <v/>
      </c>
      <c r="H21" s="521">
        <f>SUM(H15:H20)</f>
        <v/>
      </c>
      <c r="I21" s="521">
        <f>SUM(I15:I20)</f>
        <v/>
      </c>
      <c r="J21" s="521">
        <f>SUM(J15:J20)</f>
        <v/>
      </c>
      <c r="K21" s="521">
        <f>SUM(K15:K20)</f>
        <v/>
      </c>
      <c r="L21" s="521">
        <f>SUM(L15:L20)</f>
        <v/>
      </c>
      <c r="M21" s="521">
        <f>SUM(M15:M20)</f>
        <v/>
      </c>
      <c r="N21" s="521">
        <f>SUM(N15:N20)</f>
        <v/>
      </c>
      <c r="O21" s="521">
        <f>SUM(O15:O20)</f>
        <v/>
      </c>
      <c r="P21" s="521">
        <f>SUM(P15:P20)</f>
        <v/>
      </c>
      <c r="Q21" s="521">
        <f>SUM(Q15:Q20)</f>
        <v/>
      </c>
      <c r="R21" s="521" t="inlineStr">
        <is>
          <t>x</t>
        </is>
      </c>
      <c r="S21" s="521" t="inlineStr">
        <is>
          <t>x</t>
        </is>
      </c>
      <c r="T21" s="521" t="inlineStr">
        <is>
          <t>x</t>
        </is>
      </c>
      <c r="U21" s="521" t="inlineStr">
        <is>
          <t>x</t>
        </is>
      </c>
      <c r="V21" s="521" t="inlineStr">
        <is>
          <t>x</t>
        </is>
      </c>
      <c r="W21" s="521" t="inlineStr">
        <is>
          <t>x</t>
        </is>
      </c>
      <c r="X21" s="521" t="inlineStr">
        <is>
          <t>x</t>
        </is>
      </c>
      <c r="Y21" s="521" t="inlineStr">
        <is>
          <t>x</t>
        </is>
      </c>
      <c r="Z21" s="521" t="inlineStr">
        <is>
          <t>x</t>
        </is>
      </c>
      <c r="AA21" s="521" t="inlineStr">
        <is>
          <t>x</t>
        </is>
      </c>
      <c r="AB21" s="521" t="inlineStr">
        <is>
          <t>x</t>
        </is>
      </c>
      <c r="AC21" s="521" t="inlineStr">
        <is>
          <t>x</t>
        </is>
      </c>
      <c r="AD21" s="521" t="inlineStr">
        <is>
          <t>x</t>
        </is>
      </c>
      <c r="AE21" s="521" t="inlineStr">
        <is>
          <t>x</t>
        </is>
      </c>
      <c r="AF21" s="521" t="inlineStr">
        <is>
          <t>x</t>
        </is>
      </c>
      <c r="AG21" s="522" t="inlineStr"/>
      <c r="AH21" s="522" t="inlineStr"/>
      <c r="AI21" s="522" t="inlineStr"/>
      <c r="AJ21" s="523" t="inlineStr"/>
    </row>
    <row r="22" ht="17.55" customFormat="1" customHeight="1" s="483">
      <c r="A22" s="524" t="n">
        <v>4</v>
      </c>
      <c r="B22" s="525" t="inlineStr">
        <is>
          <t>理财师020</t>
        </is>
      </c>
      <c r="C22" s="524" t="n">
        <v>2</v>
      </c>
      <c r="D22" s="498" t="inlineStr">
        <is>
          <t>PWA</t>
        </is>
      </c>
      <c r="E22" s="498" t="inlineStr">
        <is>
          <t>理财师020</t>
        </is>
      </c>
      <c r="F22" s="498" t="inlineStr"/>
      <c r="G22" s="496" t="inlineStr"/>
      <c r="H22" s="496" t="inlineStr"/>
      <c r="I22" s="496" t="inlineStr"/>
      <c r="J22" s="496" t="inlineStr"/>
      <c r="K22" s="496" t="inlineStr"/>
      <c r="L22" s="496" t="inlineStr"/>
      <c r="M22" s="496" t="inlineStr"/>
      <c r="N22" s="496" t="inlineStr"/>
      <c r="O22" s="496" t="inlineStr"/>
      <c r="P22" s="496" t="inlineStr"/>
      <c r="Q22" s="496" t="inlineStr"/>
      <c r="R22" s="496" t="inlineStr"/>
      <c r="S22" s="496" t="inlineStr"/>
      <c r="T22" s="496" t="inlineStr"/>
      <c r="U22" s="496" t="inlineStr"/>
      <c r="V22" s="496" t="inlineStr"/>
      <c r="W22" s="496" t="inlineStr"/>
      <c r="X22" s="496" t="inlineStr"/>
      <c r="Y22" s="496" t="inlineStr"/>
      <c r="Z22" s="496" t="inlineStr"/>
      <c r="AA22" s="496" t="inlineStr"/>
      <c r="AB22" s="496" t="inlineStr"/>
      <c r="AC22" s="496" t="inlineStr"/>
      <c r="AD22" s="496" t="inlineStr"/>
      <c r="AE22" s="496" t="inlineStr"/>
      <c r="AF22" s="496" t="inlineStr"/>
      <c r="AG22" s="496" t="inlineStr"/>
      <c r="AH22" s="496" t="inlineStr"/>
      <c r="AI22" s="496" t="inlineStr"/>
      <c r="AJ22" s="496" t="inlineStr"/>
    </row>
    <row r="23" ht="14.25" customFormat="1" customHeight="1" s="483">
      <c r="A23" s="513" t="n"/>
      <c r="B23" s="513" t="n"/>
      <c r="C23" s="513" t="n"/>
      <c r="D23" s="498" t="inlineStr">
        <is>
          <t>CDO</t>
        </is>
      </c>
      <c r="E23" s="498" t="inlineStr">
        <is>
          <t>理财师032</t>
        </is>
      </c>
      <c r="F23" s="498" t="inlineStr"/>
      <c r="G23" s="496" t="inlineStr"/>
      <c r="H23" s="496" t="inlineStr"/>
      <c r="I23" s="496" t="inlineStr"/>
      <c r="J23" s="496" t="inlineStr"/>
      <c r="K23" s="496" t="inlineStr"/>
      <c r="L23" s="496" t="inlineStr"/>
      <c r="M23" s="496" t="inlineStr"/>
      <c r="N23" s="496" t="inlineStr"/>
      <c r="O23" s="496" t="inlineStr"/>
      <c r="P23" s="496" t="inlineStr"/>
      <c r="Q23" s="496" t="inlineStr"/>
      <c r="R23" s="496" t="inlineStr"/>
      <c r="S23" s="496" t="inlineStr"/>
      <c r="T23" s="496" t="inlineStr"/>
      <c r="U23" s="496" t="inlineStr"/>
      <c r="V23" s="496" t="inlineStr"/>
      <c r="W23" s="496" t="inlineStr"/>
      <c r="X23" s="496" t="inlineStr"/>
      <c r="Y23" s="496" t="inlineStr"/>
      <c r="Z23" s="496" t="inlineStr"/>
      <c r="AA23" s="496" t="inlineStr"/>
      <c r="AB23" s="496" t="inlineStr"/>
      <c r="AC23" s="496" t="inlineStr"/>
      <c r="AD23" s="496" t="inlineStr"/>
      <c r="AE23" s="496" t="inlineStr"/>
      <c r="AF23" s="496" t="inlineStr"/>
      <c r="AG23" s="496" t="inlineStr"/>
      <c r="AH23" s="496" t="inlineStr"/>
      <c r="AI23" s="496" t="inlineStr"/>
      <c r="AJ23" s="496" t="inlineStr"/>
    </row>
    <row r="24" ht="14.25" customFormat="1" customHeight="1" s="483">
      <c r="A24" s="517" t="inlineStr">
        <is>
          <t>汇总</t>
        </is>
      </c>
      <c r="B24" s="518" t="n"/>
      <c r="C24" s="518" t="n"/>
      <c r="D24" s="518" t="n"/>
      <c r="E24" s="519" t="n"/>
      <c r="F24" s="520">
        <f>SUM(F18:F23)</f>
        <v/>
      </c>
      <c r="G24" s="521">
        <f>SUM(G18:G23)</f>
        <v/>
      </c>
      <c r="H24" s="521">
        <f>SUM(H18:H23)</f>
        <v/>
      </c>
      <c r="I24" s="521">
        <f>SUM(I18:I23)</f>
        <v/>
      </c>
      <c r="J24" s="521">
        <f>SUM(J18:J23)</f>
        <v/>
      </c>
      <c r="K24" s="521">
        <f>SUM(K18:K23)</f>
        <v/>
      </c>
      <c r="L24" s="521">
        <f>SUM(L18:L23)</f>
        <v/>
      </c>
      <c r="M24" s="521">
        <f>SUM(M18:M23)</f>
        <v/>
      </c>
      <c r="N24" s="521">
        <f>SUM(N18:N23)</f>
        <v/>
      </c>
      <c r="O24" s="521">
        <f>SUM(O18:O23)</f>
        <v/>
      </c>
      <c r="P24" s="521">
        <f>SUM(P18:P23)</f>
        <v/>
      </c>
      <c r="Q24" s="521">
        <f>SUM(Q18:Q23)</f>
        <v/>
      </c>
      <c r="R24" s="521" t="inlineStr">
        <is>
          <t>x</t>
        </is>
      </c>
      <c r="S24" s="521" t="inlineStr">
        <is>
          <t>x</t>
        </is>
      </c>
      <c r="T24" s="521" t="inlineStr">
        <is>
          <t>x</t>
        </is>
      </c>
      <c r="U24" s="521" t="inlineStr">
        <is>
          <t>x</t>
        </is>
      </c>
      <c r="V24" s="521" t="inlineStr">
        <is>
          <t>x</t>
        </is>
      </c>
      <c r="W24" s="521" t="inlineStr">
        <is>
          <t>x</t>
        </is>
      </c>
      <c r="X24" s="521" t="inlineStr">
        <is>
          <t>x</t>
        </is>
      </c>
      <c r="Y24" s="521" t="inlineStr">
        <is>
          <t>x</t>
        </is>
      </c>
      <c r="Z24" s="521" t="inlineStr">
        <is>
          <t>x</t>
        </is>
      </c>
      <c r="AA24" s="521" t="inlineStr">
        <is>
          <t>x</t>
        </is>
      </c>
      <c r="AB24" s="521" t="inlineStr">
        <is>
          <t>x</t>
        </is>
      </c>
      <c r="AC24" s="521" t="inlineStr">
        <is>
          <t>x</t>
        </is>
      </c>
      <c r="AD24" s="521" t="inlineStr">
        <is>
          <t>x</t>
        </is>
      </c>
      <c r="AE24" s="521" t="inlineStr">
        <is>
          <t>x</t>
        </is>
      </c>
      <c r="AF24" s="521" t="inlineStr">
        <is>
          <t>x</t>
        </is>
      </c>
      <c r="AG24" s="522" t="inlineStr"/>
      <c r="AH24" s="522" t="inlineStr"/>
      <c r="AI24" s="522" t="inlineStr"/>
      <c r="AJ24" s="523" t="inlineStr"/>
    </row>
    <row r="25" ht="14.1" customFormat="1" customHeight="1" s="483">
      <c r="A25" s="524" t="n">
        <v>5</v>
      </c>
      <c r="B25" s="525" t="inlineStr">
        <is>
          <t xml:space="preserve">理财师005
 </t>
        </is>
      </c>
      <c r="C25" s="525" t="n">
        <v>2</v>
      </c>
      <c r="D25" s="498" t="inlineStr">
        <is>
          <t>PWA</t>
        </is>
      </c>
      <c r="E25" s="498" t="inlineStr">
        <is>
          <t xml:space="preserve">理财师005 </t>
        </is>
      </c>
      <c r="F25" s="498" t="inlineStr"/>
      <c r="G25" s="496" t="inlineStr"/>
      <c r="H25" s="496" t="inlineStr"/>
      <c r="I25" s="496" t="inlineStr"/>
      <c r="J25" s="496" t="inlineStr"/>
      <c r="K25" s="496" t="inlineStr"/>
      <c r="L25" s="496" t="inlineStr"/>
      <c r="M25" s="496" t="inlineStr"/>
      <c r="N25" s="496" t="inlineStr"/>
      <c r="O25" s="496" t="inlineStr"/>
      <c r="P25" s="496" t="inlineStr"/>
      <c r="Q25" s="496" t="inlineStr"/>
      <c r="R25" s="496" t="inlineStr"/>
      <c r="S25" s="496" t="inlineStr"/>
      <c r="T25" s="496" t="inlineStr"/>
      <c r="U25" s="496" t="inlineStr"/>
      <c r="V25" s="496" t="inlineStr"/>
      <c r="W25" s="496" t="inlineStr"/>
      <c r="X25" s="496" t="inlineStr"/>
      <c r="Y25" s="496" t="inlineStr"/>
      <c r="Z25" s="496" t="inlineStr"/>
      <c r="AA25" s="496" t="inlineStr"/>
      <c r="AB25" s="496" t="inlineStr"/>
      <c r="AC25" s="496" t="inlineStr"/>
      <c r="AD25" s="496" t="inlineStr"/>
      <c r="AE25" s="496" t="inlineStr"/>
      <c r="AF25" s="496" t="inlineStr"/>
      <c r="AG25" s="496" t="inlineStr"/>
      <c r="AH25" s="496" t="inlineStr"/>
      <c r="AI25" s="496" t="inlineStr"/>
      <c r="AJ25" s="496" t="inlineStr"/>
    </row>
    <row r="26" ht="14.25" customFormat="1" customHeight="1" s="483">
      <c r="A26" s="513" t="n"/>
      <c r="B26" s="513" t="n"/>
      <c r="C26" s="513" t="n"/>
      <c r="D26" s="498" t="inlineStr">
        <is>
          <t>PWA</t>
        </is>
      </c>
      <c r="E26" s="498" t="inlineStr">
        <is>
          <t>理财师026</t>
        </is>
      </c>
      <c r="F26" s="498" t="inlineStr"/>
      <c r="G26" s="496" t="inlineStr"/>
      <c r="H26" s="496" t="inlineStr"/>
      <c r="I26" s="496" t="inlineStr"/>
      <c r="J26" s="496" t="inlineStr"/>
      <c r="K26" s="496" t="inlineStr"/>
      <c r="L26" s="496" t="inlineStr"/>
      <c r="M26" s="496" t="inlineStr"/>
      <c r="N26" s="496" t="inlineStr"/>
      <c r="O26" s="496" t="inlineStr"/>
      <c r="P26" s="496" t="inlineStr"/>
      <c r="Q26" s="496" t="inlineStr"/>
      <c r="R26" s="496" t="inlineStr"/>
      <c r="S26" s="496" t="inlineStr"/>
      <c r="T26" s="496" t="inlineStr"/>
      <c r="U26" s="496" t="inlineStr"/>
      <c r="V26" s="496" t="inlineStr"/>
      <c r="W26" s="496" t="inlineStr"/>
      <c r="X26" s="496" t="inlineStr"/>
      <c r="Y26" s="496" t="inlineStr"/>
      <c r="Z26" s="496" t="inlineStr"/>
      <c r="AA26" s="496" t="inlineStr"/>
      <c r="AB26" s="496" t="inlineStr"/>
      <c r="AC26" s="496" t="inlineStr"/>
      <c r="AD26" s="496" t="inlineStr"/>
      <c r="AE26" s="496" t="inlineStr"/>
      <c r="AF26" s="496" t="inlineStr"/>
      <c r="AG26" s="496" t="inlineStr"/>
      <c r="AH26" s="496" t="inlineStr"/>
      <c r="AI26" s="496" t="inlineStr"/>
      <c r="AJ26" s="496" t="inlineStr"/>
    </row>
    <row r="27" ht="14.25" customFormat="1" customHeight="1" s="483">
      <c r="A27" s="517" t="inlineStr">
        <is>
          <t>汇总</t>
        </is>
      </c>
      <c r="B27" s="518" t="n"/>
      <c r="C27" s="518" t="n"/>
      <c r="D27" s="518" t="n"/>
      <c r="E27" s="519" t="n"/>
      <c r="F27" s="520">
        <f>SUM(F21:F26)</f>
        <v/>
      </c>
      <c r="G27" s="521">
        <f>SUM(G21:G26)</f>
        <v/>
      </c>
      <c r="H27" s="521">
        <f>SUM(H21:H26)</f>
        <v/>
      </c>
      <c r="I27" s="521">
        <f>SUM(I21:I26)</f>
        <v/>
      </c>
      <c r="J27" s="521">
        <f>SUM(J21:J26)</f>
        <v/>
      </c>
      <c r="K27" s="521">
        <f>SUM(K21:K26)</f>
        <v/>
      </c>
      <c r="L27" s="521">
        <f>SUM(L21:L26)</f>
        <v/>
      </c>
      <c r="M27" s="521">
        <f>SUM(M21:M26)</f>
        <v/>
      </c>
      <c r="N27" s="521">
        <f>SUM(N21:N26)</f>
        <v/>
      </c>
      <c r="O27" s="521">
        <f>SUM(O21:O26)</f>
        <v/>
      </c>
      <c r="P27" s="521">
        <f>SUM(P21:P26)</f>
        <v/>
      </c>
      <c r="Q27" s="521">
        <f>SUM(Q21:Q26)</f>
        <v/>
      </c>
      <c r="R27" s="521" t="inlineStr">
        <is>
          <t>x</t>
        </is>
      </c>
      <c r="S27" s="521" t="inlineStr">
        <is>
          <t>x</t>
        </is>
      </c>
      <c r="T27" s="521" t="inlineStr">
        <is>
          <t>x</t>
        </is>
      </c>
      <c r="U27" s="521" t="inlineStr">
        <is>
          <t>x</t>
        </is>
      </c>
      <c r="V27" s="521" t="inlineStr">
        <is>
          <t>x</t>
        </is>
      </c>
      <c r="W27" s="521" t="inlineStr">
        <is>
          <t>x</t>
        </is>
      </c>
      <c r="X27" s="521" t="inlineStr">
        <is>
          <t>x</t>
        </is>
      </c>
      <c r="Y27" s="521" t="inlineStr">
        <is>
          <t>x</t>
        </is>
      </c>
      <c r="Z27" s="521" t="inlineStr">
        <is>
          <t>x</t>
        </is>
      </c>
      <c r="AA27" s="521" t="inlineStr">
        <is>
          <t>x</t>
        </is>
      </c>
      <c r="AB27" s="521" t="inlineStr">
        <is>
          <t>x</t>
        </is>
      </c>
      <c r="AC27" s="521" t="inlineStr">
        <is>
          <t>x</t>
        </is>
      </c>
      <c r="AD27" s="521" t="inlineStr">
        <is>
          <t>x</t>
        </is>
      </c>
      <c r="AE27" s="521" t="inlineStr">
        <is>
          <t>x</t>
        </is>
      </c>
      <c r="AF27" s="521" t="inlineStr">
        <is>
          <t>x</t>
        </is>
      </c>
      <c r="AG27" s="522" t="inlineStr"/>
      <c r="AH27" s="522" t="inlineStr"/>
      <c r="AI27" s="522" t="inlineStr"/>
      <c r="AJ27" s="523" t="inlineStr"/>
    </row>
    <row r="28" ht="14.1" customFormat="1" customHeight="1" s="483">
      <c r="A28" s="524" t="n">
        <v>6</v>
      </c>
      <c r="B28" s="525" t="inlineStr">
        <is>
          <t xml:space="preserve">理财师002
</t>
        </is>
      </c>
      <c r="C28" s="525" t="n">
        <v>3</v>
      </c>
      <c r="D28" s="498" t="inlineStr">
        <is>
          <t>PWA</t>
        </is>
      </c>
      <c r="E28" s="498" t="inlineStr">
        <is>
          <t>理财师002</t>
        </is>
      </c>
      <c r="F28" s="498" t="inlineStr"/>
      <c r="G28" s="496" t="inlineStr"/>
      <c r="H28" s="496" t="inlineStr"/>
      <c r="I28" s="496" t="inlineStr"/>
      <c r="J28" s="496" t="inlineStr"/>
      <c r="K28" s="496" t="inlineStr"/>
      <c r="L28" s="496" t="inlineStr"/>
      <c r="M28" s="496" t="inlineStr"/>
      <c r="N28" s="496" t="inlineStr"/>
      <c r="O28" s="496" t="inlineStr"/>
      <c r="P28" s="496" t="inlineStr"/>
      <c r="Q28" s="496" t="inlineStr"/>
      <c r="R28" s="496" t="inlineStr"/>
      <c r="S28" s="496" t="inlineStr"/>
      <c r="T28" s="496" t="inlineStr"/>
      <c r="U28" s="496" t="inlineStr"/>
      <c r="V28" s="496" t="inlineStr"/>
      <c r="W28" s="496" t="inlineStr"/>
      <c r="X28" s="496" t="inlineStr"/>
      <c r="Y28" s="496" t="inlineStr"/>
      <c r="Z28" s="496" t="inlineStr"/>
      <c r="AA28" s="496" t="inlineStr"/>
      <c r="AB28" s="496" t="inlineStr"/>
      <c r="AC28" s="496" t="inlineStr"/>
      <c r="AD28" s="496" t="inlineStr"/>
      <c r="AE28" s="496" t="inlineStr"/>
      <c r="AF28" s="496" t="inlineStr"/>
      <c r="AG28" s="496" t="inlineStr"/>
      <c r="AH28" s="496" t="inlineStr"/>
      <c r="AI28" s="496" t="inlineStr"/>
      <c r="AJ28" s="496" t="inlineStr"/>
    </row>
    <row r="29">
      <c r="A29" s="500" t="n"/>
      <c r="B29" s="500" t="n"/>
      <c r="C29" s="500" t="n"/>
      <c r="D29" s="498" t="inlineStr">
        <is>
          <t>PWA</t>
        </is>
      </c>
      <c r="E29" s="498" t="inlineStr">
        <is>
          <t>理财师001</t>
        </is>
      </c>
      <c r="F29" s="498" t="inlineStr"/>
      <c r="G29" s="496" t="inlineStr"/>
      <c r="H29" s="496" t="inlineStr"/>
      <c r="I29" s="496" t="inlineStr"/>
      <c r="J29" s="496" t="inlineStr"/>
      <c r="K29" s="496" t="inlineStr"/>
      <c r="L29" s="496" t="inlineStr"/>
      <c r="M29" s="496" t="inlineStr"/>
      <c r="N29" s="496" t="inlineStr"/>
      <c r="O29" s="496" t="inlineStr"/>
      <c r="P29" s="496" t="inlineStr"/>
      <c r="Q29" s="496" t="inlineStr"/>
      <c r="R29" s="496" t="inlineStr"/>
      <c r="S29" s="496" t="inlineStr"/>
      <c r="T29" s="496" t="inlineStr"/>
      <c r="U29" s="496" t="inlineStr"/>
      <c r="V29" s="496" t="inlineStr"/>
      <c r="W29" s="496" t="inlineStr"/>
      <c r="X29" s="496" t="inlineStr"/>
      <c r="Y29" s="496" t="inlineStr"/>
      <c r="Z29" s="496" t="inlineStr"/>
      <c r="AA29" s="496" t="inlineStr"/>
      <c r="AB29" s="496" t="inlineStr"/>
      <c r="AC29" s="496" t="inlineStr"/>
      <c r="AD29" s="496" t="inlineStr"/>
      <c r="AE29" s="496" t="inlineStr"/>
      <c r="AF29" s="496" t="inlineStr"/>
      <c r="AG29" s="496" t="inlineStr"/>
      <c r="AH29" s="496" t="inlineStr"/>
      <c r="AI29" s="496" t="inlineStr"/>
      <c r="AJ29" s="496" t="inlineStr"/>
    </row>
    <row r="30" ht="14.25" customFormat="1" customHeight="1" s="483">
      <c r="A30" s="513" t="n"/>
      <c r="B30" s="513" t="n"/>
      <c r="C30" s="513" t="n"/>
      <c r="D30" s="498" t="inlineStr">
        <is>
          <t>PWA</t>
        </is>
      </c>
      <c r="E30" s="498" t="inlineStr">
        <is>
          <t>理财师027</t>
        </is>
      </c>
      <c r="F30" s="496" t="inlineStr"/>
      <c r="G30" s="496" t="inlineStr"/>
      <c r="H30" s="496" t="inlineStr"/>
      <c r="I30" s="496" t="inlineStr"/>
      <c r="J30" s="496" t="inlineStr"/>
      <c r="K30" s="496" t="inlineStr"/>
      <c r="L30" s="496" t="inlineStr"/>
      <c r="M30" s="496" t="inlineStr"/>
      <c r="N30" s="496" t="inlineStr"/>
      <c r="O30" s="496" t="inlineStr"/>
      <c r="P30" s="496" t="inlineStr"/>
      <c r="Q30" s="496" t="inlineStr"/>
      <c r="R30" s="496" t="inlineStr"/>
      <c r="S30" s="496" t="inlineStr"/>
      <c r="T30" s="496" t="inlineStr"/>
      <c r="U30" s="496" t="inlineStr"/>
      <c r="V30" s="496" t="inlineStr"/>
      <c r="W30" s="496" t="inlineStr"/>
      <c r="X30" s="496" t="inlineStr"/>
      <c r="Y30" s="496" t="inlineStr"/>
      <c r="Z30" s="496" t="inlineStr"/>
      <c r="AA30" s="496" t="inlineStr"/>
      <c r="AB30" s="496" t="inlineStr"/>
      <c r="AC30" s="496" t="inlineStr"/>
      <c r="AD30" s="496" t="inlineStr"/>
      <c r="AE30" s="496" t="inlineStr"/>
      <c r="AF30" s="496" t="inlineStr"/>
      <c r="AG30" s="496" t="inlineStr"/>
      <c r="AH30" s="496" t="inlineStr"/>
      <c r="AI30" s="496" t="inlineStr"/>
      <c r="AJ30" s="496" t="inlineStr"/>
    </row>
    <row r="31" ht="14.25" customFormat="1" customHeight="1" s="483">
      <c r="A31" s="517" t="inlineStr">
        <is>
          <t>汇总</t>
        </is>
      </c>
      <c r="B31" s="518" t="n"/>
      <c r="C31" s="518" t="n"/>
      <c r="D31" s="518" t="n"/>
      <c r="E31" s="519" t="n"/>
      <c r="F31" s="520">
        <f>SUM(F25:F30)</f>
        <v/>
      </c>
      <c r="G31" s="521">
        <f>SUM(G25:G30)</f>
        <v/>
      </c>
      <c r="H31" s="521">
        <f>SUM(H25:H30)</f>
        <v/>
      </c>
      <c r="I31" s="521">
        <f>SUM(I25:I30)</f>
        <v/>
      </c>
      <c r="J31" s="521">
        <f>SUM(J25:J30)</f>
        <v/>
      </c>
      <c r="K31" s="521">
        <f>SUM(K25:K30)</f>
        <v/>
      </c>
      <c r="L31" s="521">
        <f>SUM(L25:L30)</f>
        <v/>
      </c>
      <c r="M31" s="521">
        <f>SUM(M25:M30)</f>
        <v/>
      </c>
      <c r="N31" s="521">
        <f>SUM(N25:N30)</f>
        <v/>
      </c>
      <c r="O31" s="521">
        <f>SUM(O25:O30)</f>
        <v/>
      </c>
      <c r="P31" s="521">
        <f>SUM(P25:P30)</f>
        <v/>
      </c>
      <c r="Q31" s="521">
        <f>SUM(Q25:Q30)</f>
        <v/>
      </c>
      <c r="R31" s="521" t="inlineStr">
        <is>
          <t>x</t>
        </is>
      </c>
      <c r="S31" s="521" t="inlineStr">
        <is>
          <t>x</t>
        </is>
      </c>
      <c r="T31" s="521" t="inlineStr">
        <is>
          <t>x</t>
        </is>
      </c>
      <c r="U31" s="521" t="inlineStr">
        <is>
          <t>x</t>
        </is>
      </c>
      <c r="V31" s="521" t="inlineStr">
        <is>
          <t>x</t>
        </is>
      </c>
      <c r="W31" s="521" t="inlineStr">
        <is>
          <t>x</t>
        </is>
      </c>
      <c r="X31" s="521" t="inlineStr">
        <is>
          <t>x</t>
        </is>
      </c>
      <c r="Y31" s="521" t="inlineStr">
        <is>
          <t>x</t>
        </is>
      </c>
      <c r="Z31" s="521" t="inlineStr">
        <is>
          <t>x</t>
        </is>
      </c>
      <c r="AA31" s="521" t="inlineStr">
        <is>
          <t>x</t>
        </is>
      </c>
      <c r="AB31" s="521" t="inlineStr">
        <is>
          <t>x</t>
        </is>
      </c>
      <c r="AC31" s="521" t="inlineStr">
        <is>
          <t>x</t>
        </is>
      </c>
      <c r="AD31" s="521" t="inlineStr">
        <is>
          <t>x</t>
        </is>
      </c>
      <c r="AE31" s="521" t="inlineStr">
        <is>
          <t>x</t>
        </is>
      </c>
      <c r="AF31" s="521" t="inlineStr">
        <is>
          <t>x</t>
        </is>
      </c>
      <c r="AG31" s="522" t="inlineStr"/>
      <c r="AH31" s="522" t="inlineStr"/>
      <c r="AI31" s="522" t="inlineStr"/>
      <c r="AJ31" s="523" t="inlineStr"/>
    </row>
    <row r="32" ht="14.1" customFormat="1" customHeight="1" s="483">
      <c r="A32" s="524" t="n">
        <v>7</v>
      </c>
      <c r="B32" s="525" t="inlineStr">
        <is>
          <t xml:space="preserve">理财师016
</t>
        </is>
      </c>
      <c r="C32" s="525" t="n">
        <v>4</v>
      </c>
      <c r="D32" s="498" t="inlineStr">
        <is>
          <t>PWA</t>
        </is>
      </c>
      <c r="E32" s="498" t="inlineStr">
        <is>
          <t>理财师016</t>
        </is>
      </c>
      <c r="F32" s="498" t="inlineStr"/>
      <c r="G32" s="496" t="inlineStr"/>
      <c r="H32" s="496" t="inlineStr"/>
      <c r="I32" s="496" t="inlineStr"/>
      <c r="J32" s="496" t="inlineStr"/>
      <c r="K32" s="496" t="inlineStr"/>
      <c r="L32" s="496" t="inlineStr"/>
      <c r="M32" s="496" t="inlineStr"/>
      <c r="N32" s="496" t="inlineStr"/>
      <c r="O32" s="496" t="inlineStr"/>
      <c r="P32" s="496" t="inlineStr"/>
      <c r="Q32" s="496" t="inlineStr"/>
      <c r="R32" s="496" t="inlineStr"/>
      <c r="S32" s="496" t="inlineStr"/>
      <c r="T32" s="496" t="inlineStr"/>
      <c r="U32" s="496" t="inlineStr"/>
      <c r="V32" s="496" t="inlineStr"/>
      <c r="W32" s="496" t="inlineStr"/>
      <c r="X32" s="496" t="inlineStr"/>
      <c r="Y32" s="496" t="inlineStr"/>
      <c r="Z32" s="496" t="inlineStr"/>
      <c r="AA32" s="496" t="inlineStr"/>
      <c r="AB32" s="496" t="inlineStr"/>
      <c r="AC32" s="496" t="inlineStr"/>
      <c r="AD32" s="496" t="inlineStr"/>
      <c r="AE32" s="496" t="inlineStr"/>
      <c r="AF32" s="496" t="inlineStr"/>
      <c r="AG32" s="496" t="inlineStr"/>
      <c r="AH32" s="496" t="inlineStr"/>
      <c r="AI32" s="496" t="inlineStr"/>
      <c r="AJ32" s="496" t="inlineStr"/>
    </row>
    <row r="33">
      <c r="A33" s="500" t="n"/>
      <c r="B33" s="500" t="n"/>
      <c r="C33" s="500" t="n"/>
      <c r="D33" s="498" t="inlineStr">
        <is>
          <t>PWA</t>
        </is>
      </c>
      <c r="E33" s="498" t="inlineStr">
        <is>
          <t>理财师015</t>
        </is>
      </c>
      <c r="F33" s="498" t="inlineStr"/>
      <c r="G33" s="496" t="inlineStr"/>
      <c r="H33" s="496" t="inlineStr"/>
      <c r="I33" s="496" t="inlineStr"/>
      <c r="J33" s="496" t="inlineStr"/>
      <c r="K33" s="496" t="inlineStr"/>
      <c r="L33" s="496" t="inlineStr"/>
      <c r="M33" s="496" t="inlineStr"/>
      <c r="N33" s="496" t="inlineStr"/>
      <c r="O33" s="496" t="inlineStr"/>
      <c r="P33" s="496" t="inlineStr"/>
      <c r="Q33" s="496" t="inlineStr"/>
      <c r="R33" s="496" t="inlineStr"/>
      <c r="S33" s="496" t="inlineStr"/>
      <c r="T33" s="496" t="inlineStr"/>
      <c r="U33" s="496" t="inlineStr"/>
      <c r="V33" s="496" t="inlineStr"/>
      <c r="W33" s="496" t="inlineStr"/>
      <c r="X33" s="496" t="inlineStr"/>
      <c r="Y33" s="496" t="inlineStr"/>
      <c r="Z33" s="496" t="inlineStr"/>
      <c r="AA33" s="496" t="inlineStr"/>
      <c r="AB33" s="496" t="inlineStr"/>
      <c r="AC33" s="496" t="inlineStr"/>
      <c r="AD33" s="496" t="inlineStr"/>
      <c r="AE33" s="496" t="inlineStr"/>
      <c r="AF33" s="496" t="inlineStr"/>
      <c r="AG33" s="496" t="inlineStr"/>
      <c r="AH33" s="496" t="inlineStr"/>
      <c r="AI33" s="496" t="inlineStr"/>
      <c r="AJ33" s="496" t="inlineStr"/>
    </row>
    <row r="34">
      <c r="A34" s="500" t="n"/>
      <c r="B34" s="500" t="n"/>
      <c r="C34" s="500" t="n"/>
      <c r="D34" s="498" t="inlineStr">
        <is>
          <t>PWA</t>
        </is>
      </c>
      <c r="E34" s="498" t="inlineStr">
        <is>
          <t>理财师208</t>
        </is>
      </c>
      <c r="F34" s="498" t="inlineStr"/>
      <c r="G34" s="496" t="inlineStr"/>
      <c r="H34" s="496" t="inlineStr"/>
      <c r="I34" s="496" t="inlineStr"/>
      <c r="J34" s="496" t="inlineStr"/>
      <c r="K34" s="496" t="inlineStr"/>
      <c r="L34" s="496" t="inlineStr"/>
      <c r="M34" s="496" t="inlineStr"/>
      <c r="N34" s="496" t="inlineStr"/>
      <c r="O34" s="496" t="inlineStr"/>
      <c r="P34" s="496" t="inlineStr"/>
      <c r="Q34" s="496" t="inlineStr"/>
      <c r="R34" s="496" t="inlineStr"/>
      <c r="S34" s="496" t="inlineStr"/>
      <c r="T34" s="496" t="inlineStr"/>
      <c r="U34" s="496" t="inlineStr"/>
      <c r="V34" s="496" t="inlineStr"/>
      <c r="W34" s="496" t="inlineStr"/>
      <c r="X34" s="496" t="inlineStr"/>
      <c r="Y34" s="496" t="inlineStr"/>
      <c r="Z34" s="496" t="inlineStr"/>
      <c r="AA34" s="496" t="inlineStr"/>
      <c r="AB34" s="496" t="inlineStr"/>
      <c r="AC34" s="496" t="inlineStr"/>
      <c r="AD34" s="496" t="inlineStr"/>
      <c r="AE34" s="496" t="inlineStr"/>
      <c r="AF34" s="496" t="inlineStr"/>
      <c r="AG34" s="496" t="inlineStr"/>
      <c r="AH34" s="496" t="inlineStr"/>
      <c r="AI34" s="496" t="inlineStr"/>
      <c r="AJ34" s="496" t="inlineStr"/>
    </row>
    <row r="35" ht="14.25" customFormat="1" customHeight="1" s="483">
      <c r="A35" s="513" t="n"/>
      <c r="B35" s="513" t="n"/>
      <c r="C35" s="513" t="n"/>
      <c r="D35" s="498" t="inlineStr">
        <is>
          <t>PWA</t>
        </is>
      </c>
      <c r="E35" s="498" t="inlineStr">
        <is>
          <t>理财师028</t>
        </is>
      </c>
      <c r="F35" s="498" t="inlineStr"/>
      <c r="G35" s="496" t="inlineStr"/>
      <c r="H35" s="496" t="inlineStr"/>
      <c r="I35" s="496" t="inlineStr"/>
      <c r="J35" s="496" t="inlineStr"/>
      <c r="K35" s="496" t="inlineStr"/>
      <c r="L35" s="496" t="inlineStr"/>
      <c r="M35" s="496" t="inlineStr"/>
      <c r="N35" s="496" t="inlineStr"/>
      <c r="O35" s="496" t="inlineStr"/>
      <c r="P35" s="496" t="inlineStr"/>
      <c r="Q35" s="496" t="inlineStr"/>
      <c r="R35" s="496" t="inlineStr"/>
      <c r="S35" s="496" t="inlineStr"/>
      <c r="T35" s="496" t="inlineStr"/>
      <c r="U35" s="496" t="inlineStr"/>
      <c r="V35" s="496" t="inlineStr"/>
      <c r="W35" s="496" t="inlineStr"/>
      <c r="X35" s="496" t="inlineStr"/>
      <c r="Y35" s="496" t="inlineStr"/>
      <c r="Z35" s="496" t="inlineStr"/>
      <c r="AA35" s="496" t="inlineStr"/>
      <c r="AB35" s="496" t="inlineStr"/>
      <c r="AC35" s="496" t="inlineStr"/>
      <c r="AD35" s="496" t="inlineStr"/>
      <c r="AE35" s="496" t="inlineStr"/>
      <c r="AF35" s="496" t="inlineStr"/>
      <c r="AG35" s="496" t="inlineStr"/>
      <c r="AH35" s="496" t="inlineStr"/>
      <c r="AI35" s="496" t="inlineStr"/>
      <c r="AJ35" s="496" t="inlineStr"/>
    </row>
    <row r="36" ht="14.25" customFormat="1" customHeight="1" s="483">
      <c r="A36" s="517" t="inlineStr">
        <is>
          <t>汇总</t>
        </is>
      </c>
      <c r="B36" s="518" t="n"/>
      <c r="C36" s="518" t="n"/>
      <c r="D36" s="518" t="n"/>
      <c r="E36" s="519" t="n"/>
      <c r="F36" s="520">
        <f>SUM(F30:F35)</f>
        <v/>
      </c>
      <c r="G36" s="521">
        <f>SUM(G30:G35)</f>
        <v/>
      </c>
      <c r="H36" s="521">
        <f>SUM(H30:H35)</f>
        <v/>
      </c>
      <c r="I36" s="521">
        <f>SUM(I30:I35)</f>
        <v/>
      </c>
      <c r="J36" s="521">
        <f>SUM(J30:J35)</f>
        <v/>
      </c>
      <c r="K36" s="521">
        <f>SUM(K30:K35)</f>
        <v/>
      </c>
      <c r="L36" s="521">
        <f>SUM(L30:L35)</f>
        <v/>
      </c>
      <c r="M36" s="521">
        <f>SUM(M30:M35)</f>
        <v/>
      </c>
      <c r="N36" s="521">
        <f>SUM(N30:N35)</f>
        <v/>
      </c>
      <c r="O36" s="521">
        <f>SUM(O30:O35)</f>
        <v/>
      </c>
      <c r="P36" s="521">
        <f>SUM(P30:P35)</f>
        <v/>
      </c>
      <c r="Q36" s="521">
        <f>SUM(Q30:Q35)</f>
        <v/>
      </c>
      <c r="R36" s="521" t="inlineStr">
        <is>
          <t>x</t>
        </is>
      </c>
      <c r="S36" s="521" t="inlineStr">
        <is>
          <t>x</t>
        </is>
      </c>
      <c r="T36" s="521" t="inlineStr">
        <is>
          <t>x</t>
        </is>
      </c>
      <c r="U36" s="521" t="inlineStr">
        <is>
          <t>x</t>
        </is>
      </c>
      <c r="V36" s="521" t="inlineStr">
        <is>
          <t>x</t>
        </is>
      </c>
      <c r="W36" s="521" t="inlineStr">
        <is>
          <t>x</t>
        </is>
      </c>
      <c r="X36" s="521" t="inlineStr">
        <is>
          <t>x</t>
        </is>
      </c>
      <c r="Y36" s="521" t="inlineStr">
        <is>
          <t>x</t>
        </is>
      </c>
      <c r="Z36" s="521" t="inlineStr">
        <is>
          <t>x</t>
        </is>
      </c>
      <c r="AA36" s="521" t="inlineStr">
        <is>
          <t>x</t>
        </is>
      </c>
      <c r="AB36" s="521" t="inlineStr">
        <is>
          <t>x</t>
        </is>
      </c>
      <c r="AC36" s="521" t="inlineStr">
        <is>
          <t>x</t>
        </is>
      </c>
      <c r="AD36" s="521" t="inlineStr">
        <is>
          <t>x</t>
        </is>
      </c>
      <c r="AE36" s="521" t="inlineStr">
        <is>
          <t>x</t>
        </is>
      </c>
      <c r="AF36" s="521" t="inlineStr">
        <is>
          <t>x</t>
        </is>
      </c>
      <c r="AG36" s="522" t="inlineStr"/>
      <c r="AH36" s="522" t="inlineStr"/>
      <c r="AI36" s="522" t="inlineStr"/>
      <c r="AJ36" s="523" t="inlineStr"/>
    </row>
    <row r="37" ht="14.1" customFormat="1" customHeight="1" s="483">
      <c r="A37" s="524" t="n">
        <v>8</v>
      </c>
      <c r="B37" s="525" t="inlineStr">
        <is>
          <t xml:space="preserve">理财师009
</t>
        </is>
      </c>
      <c r="C37" s="525" t="n">
        <v>3</v>
      </c>
      <c r="D37" s="498" t="inlineStr">
        <is>
          <t>PWA</t>
        </is>
      </c>
      <c r="E37" s="498" t="inlineStr">
        <is>
          <t>理财师009</t>
        </is>
      </c>
      <c r="F37" s="498" t="inlineStr"/>
      <c r="G37" s="496" t="inlineStr"/>
      <c r="H37" s="496" t="inlineStr"/>
      <c r="I37" s="496" t="inlineStr"/>
      <c r="J37" s="496" t="inlineStr"/>
      <c r="K37" s="496" t="inlineStr"/>
      <c r="L37" s="496" t="inlineStr"/>
      <c r="M37" s="496" t="inlineStr"/>
      <c r="N37" s="496" t="inlineStr"/>
      <c r="O37" s="496" t="inlineStr"/>
      <c r="P37" s="496" t="inlineStr"/>
      <c r="Q37" s="496" t="inlineStr"/>
      <c r="R37" s="496" t="inlineStr"/>
      <c r="S37" s="496" t="inlineStr"/>
      <c r="T37" s="496" t="inlineStr"/>
      <c r="U37" s="496" t="inlineStr"/>
      <c r="V37" s="496" t="inlineStr"/>
      <c r="W37" s="496" t="inlineStr"/>
      <c r="X37" s="496" t="inlineStr"/>
      <c r="Y37" s="496" t="inlineStr"/>
      <c r="Z37" s="496" t="inlineStr"/>
      <c r="AA37" s="496" t="inlineStr"/>
      <c r="AB37" s="496" t="inlineStr"/>
      <c r="AC37" s="496" t="inlineStr"/>
      <c r="AD37" s="496" t="inlineStr"/>
      <c r="AE37" s="496" t="inlineStr"/>
      <c r="AF37" s="496" t="inlineStr"/>
      <c r="AG37" s="496" t="inlineStr"/>
      <c r="AH37" s="496" t="inlineStr"/>
      <c r="AI37" s="496" t="inlineStr"/>
      <c r="AJ37" s="496" t="inlineStr"/>
    </row>
    <row r="38">
      <c r="A38" s="500" t="n"/>
      <c r="B38" s="500" t="n"/>
      <c r="C38" s="500" t="n"/>
      <c r="D38" s="498" t="inlineStr">
        <is>
          <t>PWA</t>
        </is>
      </c>
      <c r="E38" s="498" t="inlineStr">
        <is>
          <t>理财师010</t>
        </is>
      </c>
      <c r="F38" s="498" t="inlineStr"/>
      <c r="G38" s="496" t="inlineStr"/>
      <c r="H38" s="496" t="inlineStr"/>
      <c r="I38" s="496" t="inlineStr"/>
      <c r="J38" s="496" t="inlineStr"/>
      <c r="K38" s="496" t="inlineStr"/>
      <c r="L38" s="496" t="inlineStr"/>
      <c r="M38" s="496" t="inlineStr"/>
      <c r="N38" s="496" t="inlineStr"/>
      <c r="O38" s="496" t="inlineStr"/>
      <c r="P38" s="496" t="inlineStr"/>
      <c r="Q38" s="496" t="inlineStr"/>
      <c r="R38" s="496" t="inlineStr"/>
      <c r="S38" s="496" t="inlineStr"/>
      <c r="T38" s="496" t="inlineStr"/>
      <c r="U38" s="496" t="inlineStr"/>
      <c r="V38" s="496" t="inlineStr"/>
      <c r="W38" s="496" t="inlineStr"/>
      <c r="X38" s="496" t="inlineStr"/>
      <c r="Y38" s="496" t="inlineStr"/>
      <c r="Z38" s="496" t="inlineStr"/>
      <c r="AA38" s="496" t="inlineStr"/>
      <c r="AB38" s="496" t="inlineStr"/>
      <c r="AC38" s="496" t="inlineStr"/>
      <c r="AD38" s="496" t="inlineStr"/>
      <c r="AE38" s="496" t="inlineStr"/>
      <c r="AF38" s="496" t="inlineStr"/>
      <c r="AG38" s="496" t="inlineStr"/>
      <c r="AH38" s="496" t="inlineStr"/>
      <c r="AI38" s="496" t="inlineStr"/>
      <c r="AJ38" s="496" t="inlineStr"/>
    </row>
    <row r="39" ht="14.25" customFormat="1" customHeight="1" s="483">
      <c r="A39" s="513" t="n"/>
      <c r="B39" s="513" t="n"/>
      <c r="C39" s="513" t="n"/>
      <c r="D39" s="498" t="inlineStr">
        <is>
          <t>PWA</t>
        </is>
      </c>
      <c r="E39" s="498" t="inlineStr">
        <is>
          <t>理财师048</t>
        </is>
      </c>
      <c r="F39" s="498" t="inlineStr"/>
      <c r="G39" s="496" t="inlineStr"/>
      <c r="H39" s="496" t="inlineStr"/>
      <c r="I39" s="496" t="inlineStr"/>
      <c r="J39" s="496" t="inlineStr"/>
      <c r="K39" s="496" t="inlineStr"/>
      <c r="L39" s="496" t="inlineStr"/>
      <c r="M39" s="496" t="inlineStr"/>
      <c r="N39" s="496" t="inlineStr"/>
      <c r="O39" s="496" t="inlineStr"/>
      <c r="P39" s="496" t="inlineStr"/>
      <c r="Q39" s="496" t="inlineStr"/>
      <c r="R39" s="496" t="inlineStr"/>
      <c r="S39" s="496" t="inlineStr"/>
      <c r="T39" s="496" t="inlineStr"/>
      <c r="U39" s="496" t="inlineStr"/>
      <c r="V39" s="496" t="inlineStr"/>
      <c r="W39" s="496" t="inlineStr"/>
      <c r="X39" s="496" t="inlineStr"/>
      <c r="Y39" s="496" t="inlineStr"/>
      <c r="Z39" s="496" t="inlineStr"/>
      <c r="AA39" s="496" t="inlineStr"/>
      <c r="AB39" s="496" t="inlineStr"/>
      <c r="AC39" s="496" t="inlineStr"/>
      <c r="AD39" s="496" t="inlineStr"/>
      <c r="AE39" s="496" t="inlineStr"/>
      <c r="AF39" s="496" t="inlineStr"/>
      <c r="AG39" s="496" t="inlineStr"/>
      <c r="AH39" s="496" t="inlineStr"/>
      <c r="AI39" s="496" t="inlineStr"/>
      <c r="AJ39" s="496" t="inlineStr"/>
    </row>
    <row r="40" ht="14.25" customFormat="1" customHeight="1" s="483">
      <c r="A40" s="517" t="inlineStr">
        <is>
          <t>汇总</t>
        </is>
      </c>
      <c r="B40" s="518" t="n"/>
      <c r="C40" s="518" t="n"/>
      <c r="D40" s="518" t="n"/>
      <c r="E40" s="519" t="n"/>
      <c r="F40" s="520">
        <f>SUM(F34:F39)</f>
        <v/>
      </c>
      <c r="G40" s="521">
        <f>SUM(G34:G39)</f>
        <v/>
      </c>
      <c r="H40" s="521">
        <f>SUM(H34:H39)</f>
        <v/>
      </c>
      <c r="I40" s="521">
        <f>SUM(I34:I39)</f>
        <v/>
      </c>
      <c r="J40" s="521">
        <f>SUM(J34:J39)</f>
        <v/>
      </c>
      <c r="K40" s="521">
        <f>SUM(K34:K39)</f>
        <v/>
      </c>
      <c r="L40" s="521">
        <f>SUM(L34:L39)</f>
        <v/>
      </c>
      <c r="M40" s="521">
        <f>SUM(M34:M39)</f>
        <v/>
      </c>
      <c r="N40" s="521">
        <f>SUM(N34:N39)</f>
        <v/>
      </c>
      <c r="O40" s="521">
        <f>SUM(O34:O39)</f>
        <v/>
      </c>
      <c r="P40" s="521">
        <f>SUM(P34:P39)</f>
        <v/>
      </c>
      <c r="Q40" s="521">
        <f>SUM(Q34:Q39)</f>
        <v/>
      </c>
      <c r="R40" s="521" t="inlineStr">
        <is>
          <t>x</t>
        </is>
      </c>
      <c r="S40" s="521" t="inlineStr">
        <is>
          <t>x</t>
        </is>
      </c>
      <c r="T40" s="521" t="inlineStr">
        <is>
          <t>x</t>
        </is>
      </c>
      <c r="U40" s="521" t="inlineStr">
        <is>
          <t>x</t>
        </is>
      </c>
      <c r="V40" s="521" t="inlineStr">
        <is>
          <t>x</t>
        </is>
      </c>
      <c r="W40" s="521" t="inlineStr">
        <is>
          <t>x</t>
        </is>
      </c>
      <c r="X40" s="521" t="inlineStr">
        <is>
          <t>x</t>
        </is>
      </c>
      <c r="Y40" s="521" t="inlineStr">
        <is>
          <t>x</t>
        </is>
      </c>
      <c r="Z40" s="521" t="inlineStr">
        <is>
          <t>x</t>
        </is>
      </c>
      <c r="AA40" s="521" t="inlineStr">
        <is>
          <t>x</t>
        </is>
      </c>
      <c r="AB40" s="521" t="inlineStr">
        <is>
          <t>x</t>
        </is>
      </c>
      <c r="AC40" s="521" t="inlineStr">
        <is>
          <t>x</t>
        </is>
      </c>
      <c r="AD40" s="521" t="inlineStr">
        <is>
          <t>x</t>
        </is>
      </c>
      <c r="AE40" s="521" t="inlineStr">
        <is>
          <t>x</t>
        </is>
      </c>
      <c r="AF40" s="521" t="inlineStr">
        <is>
          <t>x</t>
        </is>
      </c>
      <c r="AG40" s="522" t="inlineStr"/>
      <c r="AH40" s="522" t="inlineStr"/>
      <c r="AI40" s="522" t="inlineStr"/>
      <c r="AJ40" s="523" t="inlineStr"/>
    </row>
    <row r="41" ht="14.1" customFormat="1" customHeight="1" s="483">
      <c r="A41" s="524" t="n">
        <v>9</v>
      </c>
      <c r="B41" s="525" t="inlineStr">
        <is>
          <t xml:space="preserve">理财师008
</t>
        </is>
      </c>
      <c r="C41" s="525" t="n">
        <v>2</v>
      </c>
      <c r="D41" s="498" t="inlineStr">
        <is>
          <t xml:space="preserve">PWA </t>
        </is>
      </c>
      <c r="E41" s="498" t="inlineStr">
        <is>
          <t>理财师008</t>
        </is>
      </c>
      <c r="F41" s="498" t="inlineStr"/>
      <c r="G41" s="496" t="inlineStr"/>
      <c r="H41" s="496" t="inlineStr"/>
      <c r="I41" s="496" t="inlineStr"/>
      <c r="J41" s="496" t="inlineStr"/>
      <c r="K41" s="496" t="inlineStr"/>
      <c r="L41" s="496" t="inlineStr"/>
      <c r="M41" s="496" t="inlineStr"/>
      <c r="N41" s="496" t="inlineStr"/>
      <c r="O41" s="496" t="inlineStr"/>
      <c r="P41" s="496" t="inlineStr"/>
      <c r="Q41" s="496" t="inlineStr"/>
      <c r="R41" s="496" t="inlineStr"/>
      <c r="S41" s="496" t="inlineStr"/>
      <c r="T41" s="496" t="inlineStr"/>
      <c r="U41" s="496" t="inlineStr"/>
      <c r="V41" s="496" t="inlineStr"/>
      <c r="W41" s="496" t="inlineStr"/>
      <c r="X41" s="496" t="inlineStr"/>
      <c r="Y41" s="496" t="inlineStr"/>
      <c r="Z41" s="496" t="inlineStr"/>
      <c r="AA41" s="496" t="inlineStr"/>
      <c r="AB41" s="496" t="inlineStr"/>
      <c r="AC41" s="496" t="inlineStr"/>
      <c r="AD41" s="496" t="inlineStr"/>
      <c r="AE41" s="496" t="inlineStr"/>
      <c r="AF41" s="496" t="inlineStr"/>
      <c r="AG41" s="496" t="inlineStr"/>
      <c r="AH41" s="496" t="inlineStr"/>
      <c r="AI41" s="496" t="inlineStr"/>
      <c r="AJ41" s="496" t="inlineStr"/>
    </row>
    <row r="42" ht="14.25" customFormat="1" customHeight="1" s="483">
      <c r="A42" s="513" t="n"/>
      <c r="B42" s="513" t="n"/>
      <c r="C42" s="513" t="n"/>
      <c r="D42" s="498" t="inlineStr">
        <is>
          <t xml:space="preserve">PWA </t>
        </is>
      </c>
      <c r="E42" s="498" t="inlineStr">
        <is>
          <t>理财师011</t>
        </is>
      </c>
      <c r="F42" s="498" t="inlineStr"/>
      <c r="G42" s="496" t="inlineStr"/>
      <c r="H42" s="496" t="inlineStr"/>
      <c r="I42" s="496" t="inlineStr"/>
      <c r="J42" s="496" t="inlineStr"/>
      <c r="K42" s="496" t="inlineStr"/>
      <c r="L42" s="496" t="inlineStr"/>
      <c r="M42" s="496" t="inlineStr"/>
      <c r="N42" s="496" t="inlineStr"/>
      <c r="O42" s="496" t="inlineStr"/>
      <c r="P42" s="496" t="inlineStr"/>
      <c r="Q42" s="496" t="inlineStr"/>
      <c r="R42" s="496" t="inlineStr"/>
      <c r="S42" s="496" t="inlineStr"/>
      <c r="T42" s="496" t="inlineStr"/>
      <c r="U42" s="496" t="inlineStr"/>
      <c r="V42" s="496" t="inlineStr"/>
      <c r="W42" s="496" t="inlineStr"/>
      <c r="X42" s="496" t="inlineStr"/>
      <c r="Y42" s="496" t="inlineStr"/>
      <c r="Z42" s="496" t="inlineStr"/>
      <c r="AA42" s="496" t="inlineStr"/>
      <c r="AB42" s="496" t="inlineStr"/>
      <c r="AC42" s="496" t="inlineStr"/>
      <c r="AD42" s="496" t="inlineStr"/>
      <c r="AE42" s="496" t="inlineStr"/>
      <c r="AF42" s="496" t="inlineStr"/>
      <c r="AG42" s="496" t="inlineStr"/>
      <c r="AH42" s="496" t="inlineStr"/>
      <c r="AI42" s="496" t="inlineStr"/>
      <c r="AJ42" s="496" t="inlineStr"/>
    </row>
    <row r="43" ht="14.25" customFormat="1" customHeight="1" s="483">
      <c r="A43" s="517" t="inlineStr">
        <is>
          <t>汇总</t>
        </is>
      </c>
      <c r="B43" s="518" t="n"/>
      <c r="C43" s="518" t="n"/>
      <c r="D43" s="518" t="n"/>
      <c r="E43" s="519" t="n"/>
      <c r="F43" s="520">
        <f>SUM(F37:F42)</f>
        <v/>
      </c>
      <c r="G43" s="521">
        <f>SUM(G37:G42)</f>
        <v/>
      </c>
      <c r="H43" s="521">
        <f>SUM(H37:H42)</f>
        <v/>
      </c>
      <c r="I43" s="521">
        <f>SUM(I37:I42)</f>
        <v/>
      </c>
      <c r="J43" s="521">
        <f>SUM(J37:J42)</f>
        <v/>
      </c>
      <c r="K43" s="521">
        <f>SUM(K37:K42)</f>
        <v/>
      </c>
      <c r="L43" s="521">
        <f>SUM(L37:L42)</f>
        <v/>
      </c>
      <c r="M43" s="521">
        <f>SUM(M37:M42)</f>
        <v/>
      </c>
      <c r="N43" s="521">
        <f>SUM(N37:N42)</f>
        <v/>
      </c>
      <c r="O43" s="521">
        <f>SUM(O37:O42)</f>
        <v/>
      </c>
      <c r="P43" s="521">
        <f>SUM(P37:P42)</f>
        <v/>
      </c>
      <c r="Q43" s="521">
        <f>SUM(Q37:Q42)</f>
        <v/>
      </c>
      <c r="R43" s="521" t="inlineStr">
        <is>
          <t>x</t>
        </is>
      </c>
      <c r="S43" s="521" t="inlineStr">
        <is>
          <t>x</t>
        </is>
      </c>
      <c r="T43" s="521" t="inlineStr">
        <is>
          <t>x</t>
        </is>
      </c>
      <c r="U43" s="521" t="inlineStr">
        <is>
          <t>x</t>
        </is>
      </c>
      <c r="V43" s="521" t="inlineStr">
        <is>
          <t>x</t>
        </is>
      </c>
      <c r="W43" s="521" t="inlineStr">
        <is>
          <t>x</t>
        </is>
      </c>
      <c r="X43" s="521" t="inlineStr">
        <is>
          <t>x</t>
        </is>
      </c>
      <c r="Y43" s="521" t="inlineStr">
        <is>
          <t>x</t>
        </is>
      </c>
      <c r="Z43" s="521" t="inlineStr">
        <is>
          <t>x</t>
        </is>
      </c>
      <c r="AA43" s="521" t="inlineStr">
        <is>
          <t>x</t>
        </is>
      </c>
      <c r="AB43" s="521" t="inlineStr">
        <is>
          <t>x</t>
        </is>
      </c>
      <c r="AC43" s="521" t="inlineStr">
        <is>
          <t>x</t>
        </is>
      </c>
      <c r="AD43" s="521" t="inlineStr">
        <is>
          <t>x</t>
        </is>
      </c>
      <c r="AE43" s="521" t="inlineStr">
        <is>
          <t>x</t>
        </is>
      </c>
      <c r="AF43" s="521" t="inlineStr">
        <is>
          <t>x</t>
        </is>
      </c>
      <c r="AG43" s="522" t="inlineStr"/>
      <c r="AH43" s="522" t="inlineStr"/>
      <c r="AI43" s="522" t="inlineStr"/>
      <c r="AJ43" s="523" t="inlineStr"/>
    </row>
    <row r="44" ht="17.55" customFormat="1" customHeight="1" s="483">
      <c r="A44" s="524" t="n">
        <v>10</v>
      </c>
      <c r="B44" s="524" t="inlineStr">
        <is>
          <t>Sam</t>
        </is>
      </c>
      <c r="C44" s="525" t="n">
        <v>7</v>
      </c>
      <c r="D44" s="498" t="inlineStr">
        <is>
          <t>MD</t>
        </is>
      </c>
      <c r="E44" s="498" t="inlineStr">
        <is>
          <t>理财师004</t>
        </is>
      </c>
      <c r="F44" s="498" t="inlineStr"/>
      <c r="G44" s="496" t="inlineStr"/>
      <c r="H44" s="496" t="inlineStr"/>
      <c r="I44" s="496" t="inlineStr"/>
      <c r="J44" s="496" t="inlineStr"/>
      <c r="K44" s="496" t="inlineStr"/>
      <c r="L44" s="496" t="inlineStr"/>
      <c r="M44" s="496" t="inlineStr"/>
      <c r="N44" s="496" t="inlineStr"/>
      <c r="O44" s="496" t="inlineStr"/>
      <c r="P44" s="496" t="inlineStr"/>
      <c r="Q44" s="496" t="inlineStr"/>
      <c r="R44" s="496" t="inlineStr"/>
      <c r="S44" s="496" t="inlineStr"/>
      <c r="T44" s="496" t="inlineStr"/>
      <c r="U44" s="496" t="inlineStr"/>
      <c r="V44" s="496" t="inlineStr"/>
      <c r="W44" s="496" t="inlineStr"/>
      <c r="X44" s="496" t="inlineStr"/>
      <c r="Y44" s="496" t="inlineStr"/>
      <c r="Z44" s="496" t="inlineStr"/>
      <c r="AA44" s="496" t="inlineStr"/>
      <c r="AB44" s="496" t="inlineStr"/>
      <c r="AC44" s="496" t="inlineStr"/>
      <c r="AD44" s="496" t="inlineStr"/>
      <c r="AE44" s="496" t="inlineStr"/>
      <c r="AF44" s="496" t="inlineStr"/>
      <c r="AG44" s="496" t="inlineStr"/>
      <c r="AH44" s="496" t="inlineStr"/>
      <c r="AI44" s="496" t="inlineStr"/>
      <c r="AJ44" s="496" t="inlineStr"/>
    </row>
    <row r="45">
      <c r="A45" s="500" t="n"/>
      <c r="B45" s="500" t="n"/>
      <c r="C45" s="500" t="n"/>
      <c r="D45" s="498" t="inlineStr">
        <is>
          <t xml:space="preserve">PWA </t>
        </is>
      </c>
      <c r="E45" s="498" t="inlineStr">
        <is>
          <t>理财师012</t>
        </is>
      </c>
      <c r="F45" s="498" t="inlineStr"/>
      <c r="G45" s="496" t="inlineStr"/>
      <c r="H45" s="496" t="inlineStr"/>
      <c r="I45" s="496" t="inlineStr"/>
      <c r="J45" s="496" t="inlineStr"/>
      <c r="K45" s="496" t="inlineStr"/>
      <c r="L45" s="496" t="inlineStr"/>
      <c r="M45" s="496" t="inlineStr"/>
      <c r="N45" s="496" t="inlineStr"/>
      <c r="O45" s="496" t="inlineStr"/>
      <c r="P45" s="496" t="inlineStr"/>
      <c r="Q45" s="496" t="inlineStr"/>
      <c r="R45" s="496" t="inlineStr"/>
      <c r="S45" s="496" t="inlineStr"/>
      <c r="T45" s="496" t="inlineStr"/>
      <c r="U45" s="496" t="inlineStr"/>
      <c r="V45" s="496" t="inlineStr"/>
      <c r="W45" s="496" t="inlineStr"/>
      <c r="X45" s="496" t="inlineStr"/>
      <c r="Y45" s="496" t="inlineStr"/>
      <c r="Z45" s="496" t="inlineStr"/>
      <c r="AA45" s="496" t="inlineStr"/>
      <c r="AB45" s="496" t="inlineStr"/>
      <c r="AC45" s="496" t="inlineStr"/>
      <c r="AD45" s="496" t="inlineStr"/>
      <c r="AE45" s="496" t="inlineStr"/>
      <c r="AF45" s="496" t="inlineStr"/>
      <c r="AG45" s="496" t="inlineStr"/>
      <c r="AH45" s="496" t="inlineStr"/>
      <c r="AI45" s="496" t="inlineStr"/>
      <c r="AJ45" s="496" t="inlineStr"/>
    </row>
    <row r="46">
      <c r="A46" s="500" t="n"/>
      <c r="B46" s="500" t="n"/>
      <c r="C46" s="500" t="n"/>
      <c r="D46" s="498" t="inlineStr">
        <is>
          <t xml:space="preserve">PWA </t>
        </is>
      </c>
      <c r="E46" s="498" t="inlineStr">
        <is>
          <t>理财师006</t>
        </is>
      </c>
      <c r="F46" s="498" t="inlineStr"/>
      <c r="G46" s="496" t="inlineStr"/>
      <c r="H46" s="496" t="inlineStr"/>
      <c r="I46" s="496" t="inlineStr"/>
      <c r="J46" s="496" t="inlineStr"/>
      <c r="K46" s="496" t="inlineStr"/>
      <c r="L46" s="496" t="inlineStr"/>
      <c r="M46" s="496" t="inlineStr"/>
      <c r="N46" s="496" t="inlineStr"/>
      <c r="O46" s="496" t="inlineStr"/>
      <c r="P46" s="496" t="inlineStr"/>
      <c r="Q46" s="496" t="inlineStr"/>
      <c r="R46" s="496" t="inlineStr"/>
      <c r="S46" s="496" t="inlineStr"/>
      <c r="T46" s="496" t="inlineStr"/>
      <c r="U46" s="496" t="inlineStr"/>
      <c r="V46" s="496" t="inlineStr"/>
      <c r="W46" s="496" t="inlineStr"/>
      <c r="X46" s="496" t="inlineStr"/>
      <c r="Y46" s="496" t="inlineStr"/>
      <c r="Z46" s="496" t="inlineStr"/>
      <c r="AA46" s="496" t="inlineStr"/>
      <c r="AB46" s="496" t="inlineStr"/>
      <c r="AC46" s="496" t="inlineStr"/>
      <c r="AD46" s="496" t="inlineStr"/>
      <c r="AE46" s="496" t="inlineStr"/>
      <c r="AF46" s="496" t="inlineStr"/>
      <c r="AG46" s="496" t="inlineStr"/>
      <c r="AH46" s="496" t="inlineStr"/>
      <c r="AI46" s="496" t="inlineStr"/>
      <c r="AJ46" s="496" t="inlineStr"/>
    </row>
    <row r="47">
      <c r="A47" s="500" t="n"/>
      <c r="B47" s="500" t="n"/>
      <c r="C47" s="500" t="n"/>
      <c r="D47" s="498" t="inlineStr">
        <is>
          <t xml:space="preserve">PWA </t>
        </is>
      </c>
      <c r="E47" s="498" t="inlineStr">
        <is>
          <t>理财师003</t>
        </is>
      </c>
      <c r="F47" s="498" t="inlineStr"/>
      <c r="G47" s="496" t="inlineStr"/>
      <c r="H47" s="496" t="inlineStr"/>
      <c r="I47" s="496" t="inlineStr"/>
      <c r="J47" s="496" t="inlineStr"/>
      <c r="K47" s="496" t="inlineStr"/>
      <c r="L47" s="496" t="inlineStr"/>
      <c r="M47" s="496" t="inlineStr"/>
      <c r="N47" s="496" t="inlineStr"/>
      <c r="O47" s="496" t="inlineStr"/>
      <c r="P47" s="496" t="inlineStr"/>
      <c r="Q47" s="496" t="inlineStr"/>
      <c r="R47" s="496" t="inlineStr"/>
      <c r="S47" s="496" t="inlineStr"/>
      <c r="T47" s="496" t="inlineStr"/>
      <c r="U47" s="496" t="inlineStr"/>
      <c r="V47" s="496" t="inlineStr"/>
      <c r="W47" s="496" t="inlineStr"/>
      <c r="X47" s="496" t="inlineStr"/>
      <c r="Y47" s="496" t="inlineStr"/>
      <c r="Z47" s="496" t="inlineStr"/>
      <c r="AA47" s="496" t="inlineStr"/>
      <c r="AB47" s="496" t="inlineStr"/>
      <c r="AC47" s="496" t="inlineStr"/>
      <c r="AD47" s="496" t="inlineStr"/>
      <c r="AE47" s="496" t="inlineStr"/>
      <c r="AF47" s="496" t="inlineStr"/>
      <c r="AG47" s="496" t="inlineStr"/>
      <c r="AH47" s="496" t="inlineStr"/>
      <c r="AI47" s="496" t="inlineStr"/>
      <c r="AJ47" s="496" t="inlineStr"/>
    </row>
    <row r="48">
      <c r="A48" s="500" t="n"/>
      <c r="B48" s="500" t="n"/>
      <c r="C48" s="500" t="n"/>
      <c r="D48" s="498" t="inlineStr">
        <is>
          <t>待入职</t>
        </is>
      </c>
      <c r="E48" s="498" t="inlineStr">
        <is>
          <t>理财师186</t>
        </is>
      </c>
      <c r="F48" s="498" t="inlineStr"/>
      <c r="G48" s="496" t="inlineStr"/>
      <c r="H48" s="496" t="inlineStr"/>
      <c r="I48" s="496" t="inlineStr"/>
      <c r="J48" s="496" t="inlineStr"/>
      <c r="K48" s="496" t="inlineStr"/>
      <c r="L48" s="496" t="inlineStr"/>
      <c r="M48" s="496" t="inlineStr"/>
      <c r="N48" s="496" t="inlineStr"/>
      <c r="O48" s="496" t="inlineStr"/>
      <c r="P48" s="496" t="inlineStr"/>
      <c r="Q48" s="496" t="inlineStr"/>
      <c r="R48" s="496" t="inlineStr"/>
      <c r="S48" s="496" t="inlineStr"/>
      <c r="T48" s="496" t="inlineStr"/>
      <c r="U48" s="496" t="inlineStr"/>
      <c r="V48" s="496" t="inlineStr"/>
      <c r="W48" s="496" t="inlineStr"/>
      <c r="X48" s="496" t="inlineStr"/>
      <c r="Y48" s="496" t="inlineStr"/>
      <c r="Z48" s="496" t="inlineStr"/>
      <c r="AA48" s="496" t="inlineStr"/>
      <c r="AB48" s="496" t="inlineStr"/>
      <c r="AC48" s="496" t="inlineStr"/>
      <c r="AD48" s="496" t="inlineStr"/>
      <c r="AE48" s="496" t="inlineStr"/>
      <c r="AF48" s="496" t="inlineStr"/>
      <c r="AG48" s="496" t="inlineStr"/>
      <c r="AH48" s="496" t="inlineStr"/>
      <c r="AI48" s="496" t="inlineStr"/>
      <c r="AJ48" s="496" t="inlineStr"/>
    </row>
    <row r="49">
      <c r="A49" s="500" t="n"/>
      <c r="B49" s="500" t="n"/>
      <c r="C49" s="500" t="n"/>
      <c r="D49" s="498" t="inlineStr">
        <is>
          <t>AE</t>
        </is>
      </c>
      <c r="E49" s="498" t="inlineStr">
        <is>
          <t>理财师036</t>
        </is>
      </c>
      <c r="F49" s="498" t="inlineStr"/>
      <c r="G49" s="496" t="inlineStr"/>
      <c r="H49" s="496" t="inlineStr"/>
      <c r="I49" s="496" t="inlineStr"/>
      <c r="J49" s="496" t="inlineStr"/>
      <c r="K49" s="496" t="inlineStr"/>
      <c r="L49" s="496" t="inlineStr"/>
      <c r="M49" s="496" t="inlineStr"/>
      <c r="N49" s="496" t="inlineStr"/>
      <c r="O49" s="496" t="inlineStr"/>
      <c r="P49" s="496" t="inlineStr"/>
      <c r="Q49" s="496" t="inlineStr"/>
      <c r="R49" s="496" t="inlineStr"/>
      <c r="S49" s="496" t="inlineStr"/>
      <c r="T49" s="496" t="inlineStr"/>
      <c r="U49" s="496" t="inlineStr"/>
      <c r="V49" s="496" t="inlineStr"/>
      <c r="W49" s="496" t="inlineStr"/>
      <c r="X49" s="496" t="inlineStr"/>
      <c r="Y49" s="496" t="inlineStr"/>
      <c r="Z49" s="496" t="inlineStr"/>
      <c r="AA49" s="496" t="inlineStr"/>
      <c r="AB49" s="496" t="inlineStr"/>
      <c r="AC49" s="496" t="inlineStr"/>
      <c r="AD49" s="496" t="inlineStr"/>
      <c r="AE49" s="496" t="inlineStr"/>
      <c r="AF49" s="496" t="inlineStr"/>
      <c r="AG49" s="496" t="inlineStr"/>
      <c r="AH49" s="496" t="inlineStr"/>
      <c r="AI49" s="496" t="inlineStr"/>
      <c r="AJ49" s="496" t="inlineStr"/>
    </row>
    <row r="50" ht="14.25" customFormat="1" customHeight="1" s="483">
      <c r="A50" s="513" t="n"/>
      <c r="B50" s="513" t="n"/>
      <c r="C50" s="513" t="n"/>
      <c r="D50" s="498" t="inlineStr">
        <is>
          <t>IFA</t>
        </is>
      </c>
      <c r="E50" s="498" t="inlineStr">
        <is>
          <t>理财师037</t>
        </is>
      </c>
      <c r="F50" s="498" t="inlineStr"/>
      <c r="G50" s="496" t="inlineStr"/>
      <c r="H50" s="496" t="inlineStr"/>
      <c r="I50" s="496" t="inlineStr"/>
      <c r="J50" s="496" t="inlineStr"/>
      <c r="K50" s="496" t="inlineStr"/>
      <c r="L50" s="496" t="inlineStr"/>
      <c r="M50" s="496" t="inlineStr"/>
      <c r="N50" s="496" t="inlineStr"/>
      <c r="O50" s="496" t="inlineStr"/>
      <c r="P50" s="496" t="inlineStr"/>
      <c r="Q50" s="496" t="inlineStr"/>
      <c r="R50" s="496" t="inlineStr"/>
      <c r="S50" s="496" t="inlineStr"/>
      <c r="T50" s="496" t="inlineStr"/>
      <c r="U50" s="496" t="inlineStr"/>
      <c r="V50" s="496" t="inlineStr"/>
      <c r="W50" s="496" t="inlineStr"/>
      <c r="X50" s="496" t="inlineStr"/>
      <c r="Y50" s="496" t="inlineStr"/>
      <c r="Z50" s="496" t="inlineStr"/>
      <c r="AA50" s="496" t="inlineStr"/>
      <c r="AB50" s="496" t="inlineStr"/>
      <c r="AC50" s="496" t="inlineStr"/>
      <c r="AD50" s="496" t="inlineStr"/>
      <c r="AE50" s="496" t="inlineStr"/>
      <c r="AF50" s="496" t="inlineStr"/>
      <c r="AG50" s="496" t="inlineStr"/>
      <c r="AH50" s="496" t="inlineStr"/>
      <c r="AI50" s="496" t="inlineStr"/>
      <c r="AJ50" s="496" t="inlineStr"/>
    </row>
    <row r="51" ht="14.25" customFormat="1" customHeight="1" s="483">
      <c r="A51" s="517" t="inlineStr">
        <is>
          <t>汇总</t>
        </is>
      </c>
      <c r="B51" s="518" t="n"/>
      <c r="C51" s="518" t="n"/>
      <c r="D51" s="518" t="n"/>
      <c r="E51" s="519" t="n"/>
      <c r="F51" s="520">
        <f>SUM(F45:F50)</f>
        <v/>
      </c>
      <c r="G51" s="521">
        <f>SUM(G45:G50)</f>
        <v/>
      </c>
      <c r="H51" s="521">
        <f>SUM(H45:H50)</f>
        <v/>
      </c>
      <c r="I51" s="521">
        <f>SUM(I45:I50)</f>
        <v/>
      </c>
      <c r="J51" s="521">
        <f>SUM(J45:J50)</f>
        <v/>
      </c>
      <c r="K51" s="521">
        <f>SUM(K45:K50)</f>
        <v/>
      </c>
      <c r="L51" s="521">
        <f>SUM(L45:L50)</f>
        <v/>
      </c>
      <c r="M51" s="521">
        <f>SUM(M45:M50)</f>
        <v/>
      </c>
      <c r="N51" s="521">
        <f>SUM(N45:N50)</f>
        <v/>
      </c>
      <c r="O51" s="521">
        <f>SUM(O45:O50)</f>
        <v/>
      </c>
      <c r="P51" s="521">
        <f>SUM(P45:P50)</f>
        <v/>
      </c>
      <c r="Q51" s="521">
        <f>SUM(Q45:Q50)</f>
        <v/>
      </c>
      <c r="R51" s="521" t="inlineStr">
        <is>
          <t>x</t>
        </is>
      </c>
      <c r="S51" s="521" t="inlineStr">
        <is>
          <t>x</t>
        </is>
      </c>
      <c r="T51" s="521" t="inlineStr">
        <is>
          <t>x</t>
        </is>
      </c>
      <c r="U51" s="521" t="inlineStr">
        <is>
          <t>x</t>
        </is>
      </c>
      <c r="V51" s="521" t="inlineStr">
        <is>
          <t>x</t>
        </is>
      </c>
      <c r="W51" s="521" t="inlineStr">
        <is>
          <t>x</t>
        </is>
      </c>
      <c r="X51" s="521" t="inlineStr">
        <is>
          <t>x</t>
        </is>
      </c>
      <c r="Y51" s="521" t="inlineStr">
        <is>
          <t>x</t>
        </is>
      </c>
      <c r="Z51" s="521" t="inlineStr">
        <is>
          <t>x</t>
        </is>
      </c>
      <c r="AA51" s="521" t="inlineStr">
        <is>
          <t>x</t>
        </is>
      </c>
      <c r="AB51" s="521" t="inlineStr">
        <is>
          <t>x</t>
        </is>
      </c>
      <c r="AC51" s="521" t="inlineStr">
        <is>
          <t>x</t>
        </is>
      </c>
      <c r="AD51" s="521" t="inlineStr">
        <is>
          <t>x</t>
        </is>
      </c>
      <c r="AE51" s="521" t="inlineStr">
        <is>
          <t>x</t>
        </is>
      </c>
      <c r="AF51" s="521" t="inlineStr">
        <is>
          <t>x</t>
        </is>
      </c>
      <c r="AG51" s="522" t="inlineStr"/>
      <c r="AH51" s="522" t="inlineStr"/>
      <c r="AI51" s="522" t="inlineStr"/>
      <c r="AJ51" s="523" t="inlineStr"/>
    </row>
    <row r="52">
      <c r="A52" s="526" t="inlineStr">
        <is>
          <t>待分配客户</t>
        </is>
      </c>
      <c r="C52" s="530" t="n"/>
      <c r="D52" s="498" t="inlineStr">
        <is>
          <t>中后台</t>
        </is>
      </c>
      <c r="E52" s="498" t="inlineStr">
        <is>
          <t>中后台同事及推荐客户</t>
        </is>
      </c>
      <c r="F52" s="495" t="n"/>
      <c r="G52" s="496" t="inlineStr"/>
      <c r="H52" s="496" t="inlineStr"/>
      <c r="I52" s="496" t="inlineStr"/>
      <c r="J52" s="496" t="inlineStr"/>
      <c r="K52" s="496" t="inlineStr"/>
      <c r="L52" s="496" t="inlineStr"/>
      <c r="M52" s="496" t="inlineStr"/>
      <c r="N52" s="496" t="inlineStr"/>
      <c r="O52" s="496" t="inlineStr"/>
      <c r="P52" s="496" t="inlineStr"/>
      <c r="Q52" s="496" t="inlineStr"/>
      <c r="R52" s="496" t="inlineStr"/>
      <c r="S52" s="496" t="inlineStr"/>
      <c r="T52" s="496" t="inlineStr"/>
      <c r="U52" s="496" t="inlineStr"/>
      <c r="V52" s="496" t="inlineStr"/>
      <c r="W52" s="496" t="inlineStr"/>
      <c r="X52" s="496" t="inlineStr"/>
      <c r="Y52" s="496" t="inlineStr"/>
      <c r="Z52" s="496" t="inlineStr"/>
      <c r="AA52" s="496" t="inlineStr"/>
      <c r="AB52" s="496" t="inlineStr"/>
      <c r="AC52" s="496" t="inlineStr"/>
      <c r="AD52" s="496" t="inlineStr"/>
      <c r="AE52" s="496" t="inlineStr"/>
      <c r="AF52" s="496" t="inlineStr"/>
      <c r="AG52" s="496" t="inlineStr"/>
      <c r="AH52" s="496" t="inlineStr"/>
      <c r="AI52" s="496" t="inlineStr"/>
      <c r="AJ52" s="496" t="inlineStr"/>
    </row>
    <row r="53" ht="14.25" customFormat="1" customHeight="1" s="483">
      <c r="A53" s="531" t="n"/>
      <c r="B53" s="486" t="n"/>
      <c r="C53" s="532" t="n"/>
      <c r="D53" s="498" t="inlineStr">
        <is>
          <t>理财师051</t>
        </is>
      </c>
      <c r="E53" s="498" t="inlineStr">
        <is>
          <t>包含公司自有资金</t>
        </is>
      </c>
      <c r="F53" s="495" t="n"/>
      <c r="G53" s="496" t="inlineStr"/>
      <c r="H53" s="496" t="inlineStr"/>
      <c r="I53" s="496" t="inlineStr"/>
      <c r="J53" s="496" t="inlineStr"/>
      <c r="K53" s="496" t="inlineStr"/>
      <c r="L53" s="496" t="inlineStr"/>
      <c r="M53" s="496" t="inlineStr"/>
      <c r="N53" s="496" t="inlineStr"/>
      <c r="O53" s="496" t="inlineStr"/>
      <c r="P53" s="496" t="inlineStr"/>
      <c r="Q53" s="496" t="inlineStr"/>
      <c r="R53" s="496" t="inlineStr"/>
      <c r="S53" s="496" t="inlineStr"/>
      <c r="T53" s="496" t="inlineStr"/>
      <c r="U53" s="496" t="inlineStr"/>
      <c r="V53" s="496" t="inlineStr"/>
      <c r="W53" s="496" t="inlineStr"/>
      <c r="X53" s="496" t="inlineStr"/>
      <c r="Y53" s="496" t="inlineStr"/>
      <c r="Z53" s="496" t="inlineStr"/>
      <c r="AA53" s="496" t="inlineStr"/>
      <c r="AB53" s="496" t="inlineStr"/>
      <c r="AC53" s="496" t="inlineStr"/>
      <c r="AD53" s="496" t="inlineStr"/>
      <c r="AE53" s="496" t="inlineStr"/>
      <c r="AF53" s="496" t="inlineStr"/>
      <c r="AG53" s="496" t="inlineStr"/>
      <c r="AH53" s="496" t="inlineStr"/>
      <c r="AI53" s="496" t="inlineStr"/>
      <c r="AJ53" s="496" t="inlineStr"/>
    </row>
    <row r="54" ht="14.25" customFormat="1" customHeight="1" s="483">
      <c r="A54" s="517" t="inlineStr">
        <is>
          <t>汇总</t>
        </is>
      </c>
      <c r="B54" s="518" t="n"/>
      <c r="C54" s="518" t="n"/>
      <c r="D54" s="518" t="n"/>
      <c r="E54" s="519" t="n"/>
      <c r="F54" s="520">
        <f>SUM(F48:F53)</f>
        <v/>
      </c>
      <c r="G54" s="521">
        <f>SUM(G48:G53)</f>
        <v/>
      </c>
      <c r="H54" s="521">
        <f>SUM(H48:H53)</f>
        <v/>
      </c>
      <c r="I54" s="521">
        <f>SUM(I48:I53)</f>
        <v/>
      </c>
      <c r="J54" s="521">
        <f>SUM(J48:J53)</f>
        <v/>
      </c>
      <c r="K54" s="521">
        <f>SUM(K48:K53)</f>
        <v/>
      </c>
      <c r="L54" s="521">
        <f>SUM(L48:L53)</f>
        <v/>
      </c>
      <c r="M54" s="521">
        <f>SUM(M48:M53)</f>
        <v/>
      </c>
      <c r="N54" s="521">
        <f>SUM(N48:N53)</f>
        <v/>
      </c>
      <c r="O54" s="521">
        <f>SUM(O48:O53)</f>
        <v/>
      </c>
      <c r="P54" s="521">
        <f>SUM(P48:P53)</f>
        <v/>
      </c>
      <c r="Q54" s="521">
        <f>SUM(Q48:Q53)</f>
        <v/>
      </c>
      <c r="R54" s="521" t="inlineStr">
        <is>
          <t>x</t>
        </is>
      </c>
      <c r="S54" s="521" t="inlineStr">
        <is>
          <t>x</t>
        </is>
      </c>
      <c r="T54" s="521" t="inlineStr">
        <is>
          <t>x</t>
        </is>
      </c>
      <c r="U54" s="521" t="inlineStr">
        <is>
          <t>x</t>
        </is>
      </c>
      <c r="V54" s="521" t="inlineStr">
        <is>
          <t>x</t>
        </is>
      </c>
      <c r="W54" s="521" t="inlineStr">
        <is>
          <t>x</t>
        </is>
      </c>
      <c r="X54" s="521" t="inlineStr">
        <is>
          <t>x</t>
        </is>
      </c>
      <c r="Y54" s="521" t="inlineStr">
        <is>
          <t>x</t>
        </is>
      </c>
      <c r="Z54" s="521" t="inlineStr">
        <is>
          <t>x</t>
        </is>
      </c>
      <c r="AA54" s="521" t="inlineStr">
        <is>
          <t>x</t>
        </is>
      </c>
      <c r="AB54" s="521" t="inlineStr">
        <is>
          <t>x</t>
        </is>
      </c>
      <c r="AC54" s="521" t="inlineStr">
        <is>
          <t>x</t>
        </is>
      </c>
      <c r="AD54" s="521" t="inlineStr">
        <is>
          <t>x</t>
        </is>
      </c>
      <c r="AE54" s="521" t="inlineStr">
        <is>
          <t>x</t>
        </is>
      </c>
      <c r="AF54" s="521" t="inlineStr">
        <is>
          <t>x</t>
        </is>
      </c>
      <c r="AG54" s="522" t="inlineStr"/>
      <c r="AH54" s="522" t="inlineStr"/>
      <c r="AI54" s="522" t="inlineStr"/>
      <c r="AJ54" s="523" t="inlineStr"/>
    </row>
  </sheetData>
  <mergeCells count="70">
    <mergeCell ref="B4:B9"/>
    <mergeCell ref="A24:E24"/>
    <mergeCell ref="A15:E15"/>
    <mergeCell ref="B44:B50"/>
    <mergeCell ref="A51:E51"/>
    <mergeCell ref="A41:A42"/>
    <mergeCell ref="A11:A14"/>
    <mergeCell ref="E52:F52"/>
    <mergeCell ref="A36:E36"/>
    <mergeCell ref="B11:B14"/>
    <mergeCell ref="N2:N3"/>
    <mergeCell ref="D2:D3"/>
    <mergeCell ref="AG2:AG3"/>
    <mergeCell ref="B2:B3"/>
    <mergeCell ref="F2:F3"/>
    <mergeCell ref="M2:M3"/>
    <mergeCell ref="P2:P3"/>
    <mergeCell ref="H2:H3"/>
    <mergeCell ref="C22:C23"/>
    <mergeCell ref="C4:C9"/>
    <mergeCell ref="A54:E54"/>
    <mergeCell ref="A25:A26"/>
    <mergeCell ref="A28:A30"/>
    <mergeCell ref="C25:C26"/>
    <mergeCell ref="C41:C42"/>
    <mergeCell ref="C28:C30"/>
    <mergeCell ref="C37:C39"/>
    <mergeCell ref="A2:A3"/>
    <mergeCell ref="C2:C3"/>
    <mergeCell ref="A52:C53"/>
    <mergeCell ref="E2:E3"/>
    <mergeCell ref="K2:K3"/>
    <mergeCell ref="A27:E27"/>
    <mergeCell ref="A44:A50"/>
    <mergeCell ref="B16:B20"/>
    <mergeCell ref="A21:E21"/>
    <mergeCell ref="AA2:AF2"/>
    <mergeCell ref="A32:A35"/>
    <mergeCell ref="AH2:AH3"/>
    <mergeCell ref="AJ2:AJ3"/>
    <mergeCell ref="A22:A23"/>
    <mergeCell ref="C44:C50"/>
    <mergeCell ref="C11:C14"/>
    <mergeCell ref="O2:O3"/>
    <mergeCell ref="Q2:Q3"/>
    <mergeCell ref="R2:R3"/>
    <mergeCell ref="AI2:AI3"/>
    <mergeCell ref="C32:C35"/>
    <mergeCell ref="J2:J3"/>
    <mergeCell ref="L2:L3"/>
    <mergeCell ref="B32:B35"/>
    <mergeCell ref="A43:E43"/>
    <mergeCell ref="A4:A9"/>
    <mergeCell ref="B22:B23"/>
    <mergeCell ref="A10:E10"/>
    <mergeCell ref="A16:A20"/>
    <mergeCell ref="A40:E40"/>
    <mergeCell ref="C16:C20"/>
    <mergeCell ref="B25:B26"/>
    <mergeCell ref="B41:B42"/>
    <mergeCell ref="E53:F53"/>
    <mergeCell ref="A1:R1"/>
    <mergeCell ref="T2:Z2"/>
    <mergeCell ref="A31:E31"/>
    <mergeCell ref="A37:A39"/>
    <mergeCell ref="G2:G3"/>
    <mergeCell ref="B28:B30"/>
    <mergeCell ref="S2:S3"/>
    <mergeCell ref="I2:I3"/>
    <mergeCell ref="B37:B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0"/>
  <sheetViews>
    <sheetView showGridLines="1" zoomScale="85" zoomScaleNormal="85" workbookViewId="0">
      <selection activeCell="A1" sqref="A1"/>
    </sheetView>
  </sheetViews>
  <sheetFormatPr baseColWidth="8" defaultColWidth="9" defaultRowHeight="16.8"/>
  <cols>
    <col width="9" customWidth="1" style="533" min="1" max="4"/>
    <col width="11.375" customWidth="1" style="533" min="5" max="5"/>
    <col width="16.375" customWidth="1" style="533" min="6" max="6"/>
    <col width="14.125" customWidth="1" style="533" min="7" max="7"/>
    <col width="13.125" customWidth="1" style="533" min="8" max="8"/>
    <col width="11" customWidth="1" style="533" min="9" max="9"/>
    <col width="10.125" customWidth="1" style="533" min="10" max="10"/>
    <col width="10.5" customWidth="1" style="533" min="11" max="11"/>
    <col width="10.125" customWidth="1" style="533" min="12" max="12"/>
    <col width="11.875" customWidth="1" style="533" min="13" max="13"/>
    <col width="9.75" customWidth="1" style="533" min="14" max="14"/>
    <col width="14.25" customWidth="1" style="533" min="15" max="15"/>
    <col width="11.625" customWidth="1" style="533" min="16" max="16"/>
    <col width="9.75" customWidth="1" style="533" min="17" max="17"/>
    <col width="11.875" customWidth="1" style="533" min="18" max="18"/>
    <col width="12.125" customWidth="1" style="533" min="19" max="19"/>
    <col width="9" customWidth="1" style="533" min="20" max="20"/>
    <col width="14.5" customWidth="1" style="533" min="21" max="21"/>
    <col width="16" customWidth="1" style="533" min="22" max="22"/>
    <col width="17.875" customWidth="1" style="533" min="23" max="23"/>
    <col width="17.375" customWidth="1" style="533" min="24" max="24"/>
    <col width="18.5" customWidth="1" style="533" min="25" max="25"/>
    <col width="14.5" customWidth="1" style="533" min="26" max="26"/>
    <col width="13.625" customWidth="1" style="533" min="27" max="27"/>
    <col width="17.625" customWidth="1" style="533" min="28" max="28"/>
    <col width="18.25" customWidth="1" style="533" min="29" max="29"/>
    <col width="18.5" customWidth="1" style="533" min="30" max="30"/>
    <col width="18.125" customWidth="1" style="533" min="31" max="31"/>
    <col width="13.5" customWidth="1" style="533" min="32" max="32"/>
    <col width="9" customWidth="1" style="533" min="33" max="37"/>
  </cols>
  <sheetData>
    <row r="1" ht="24" customFormat="1" customHeight="1" s="483">
      <c r="A1" s="485" t="inlineStr">
        <is>
          <t>2025年12月31日存量客户数据看板     负责人：销售助理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486" t="n"/>
      <c r="Q1" s="486" t="n"/>
    </row>
    <row r="2" ht="14.1" customFormat="1" customHeight="1" s="483">
      <c r="A2" s="506" t="inlineStr">
        <is>
          <t>序号</t>
        </is>
      </c>
      <c r="B2" s="506" t="inlineStr">
        <is>
          <t>财总</t>
        </is>
      </c>
      <c r="C2" s="506" t="inlineStr">
        <is>
          <t>人数</t>
        </is>
      </c>
      <c r="D2" s="506" t="inlineStr">
        <is>
          <t>职位</t>
        </is>
      </c>
      <c r="E2" s="506" t="inlineStr">
        <is>
          <t>团队成员</t>
        </is>
      </c>
      <c r="F2" s="506" t="inlineStr">
        <is>
          <t>存量AUM
【港币/百万】</t>
        </is>
      </c>
      <c r="G2" s="506" t="inlineStr">
        <is>
          <t>存量AUM
【自有客户】</t>
        </is>
      </c>
      <c r="H2" s="506" t="inlineStr">
        <is>
          <t>存量客户数</t>
        </is>
      </c>
      <c r="I2" s="506" t="inlineStr">
        <is>
          <t>自有客户</t>
        </is>
      </c>
      <c r="J2" s="506" t="inlineStr">
        <is>
          <t>指定客户</t>
        </is>
      </c>
      <c r="K2" s="506" t="inlineStr">
        <is>
          <t>承继客户</t>
        </is>
      </c>
      <c r="L2" s="506" t="inlineStr">
        <is>
          <t>渠道客户</t>
        </is>
      </c>
      <c r="M2" s="506" t="inlineStr">
        <is>
          <t>存量PI客户</t>
        </is>
      </c>
      <c r="N2" s="506" t="inlineStr">
        <is>
          <t>非PI客户</t>
        </is>
      </c>
      <c r="O2" s="506" t="inlineStr">
        <is>
          <t>目前持有产
品PI客户数</t>
        </is>
      </c>
      <c r="P2" s="506" t="inlineStr">
        <is>
          <t>历史持有产
品PI客户数</t>
        </is>
      </c>
      <c r="Q2" s="506" t="inlineStr">
        <is>
          <t>未曾持有产品PI客户</t>
        </is>
      </c>
      <c r="S2" s="506" t="inlineStr">
        <is>
          <t xml:space="preserve">PI客户同时持有保单
</t>
        </is>
      </c>
      <c r="T2" s="506" t="inlineStr">
        <is>
          <t xml:space="preserve">非PI客户同时持有保单
</t>
        </is>
      </c>
      <c r="U2" s="507" t="inlineStr">
        <is>
          <t>PI客户存量规模分层</t>
        </is>
      </c>
      <c r="V2" s="494" t="n"/>
      <c r="W2" s="494" t="n"/>
      <c r="X2" s="494" t="n"/>
      <c r="Y2" s="494" t="n"/>
      <c r="Z2" s="494" t="n"/>
      <c r="AA2" s="495" t="n"/>
      <c r="AB2" s="534" t="inlineStr">
        <is>
          <t>PI客户货币基金</t>
        </is>
      </c>
      <c r="AC2" s="486" t="n"/>
      <c r="AD2" s="486" t="n"/>
      <c r="AE2" s="486" t="n"/>
      <c r="AF2" s="486" t="n"/>
      <c r="AG2" s="532" t="n"/>
      <c r="AH2" s="508" t="inlineStr">
        <is>
          <t>对接财富服务代表</t>
        </is>
      </c>
      <c r="AI2" s="508" t="inlineStr">
        <is>
          <t>服务代表没有签署新协议-1.14版本</t>
        </is>
      </c>
      <c r="AJ2" s="508" t="inlineStr">
        <is>
          <t>无签署服务代表</t>
        </is>
      </c>
      <c r="AK2" s="508" t="inlineStr">
        <is>
          <t>无协议客户数</t>
        </is>
      </c>
    </row>
    <row r="3" ht="30.9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S3" s="501" t="n"/>
      <c r="T3" s="501" t="n"/>
      <c r="U3" s="507" t="inlineStr">
        <is>
          <t>0美金</t>
        </is>
      </c>
      <c r="V3" s="507" t="inlineStr">
        <is>
          <t>0&lt;X&lt;5万美金</t>
        </is>
      </c>
      <c r="W3" s="507" t="inlineStr">
        <is>
          <t>5W≤X&lt;20万美金</t>
        </is>
      </c>
      <c r="X3" s="507" t="inlineStr">
        <is>
          <t>20≤X&lt;50万美金</t>
        </is>
      </c>
      <c r="Y3" s="507" t="inlineStr">
        <is>
          <t>50≤X&lt;100万美金</t>
        </is>
      </c>
      <c r="Z3" s="507" t="inlineStr">
        <is>
          <t>100≤X&lt;300万美金</t>
        </is>
      </c>
      <c r="AA3" s="507" t="inlineStr">
        <is>
          <t>≥300万美金</t>
        </is>
      </c>
      <c r="AB3" s="535" t="inlineStr">
        <is>
          <t>0&lt;X&lt;5万美金</t>
        </is>
      </c>
      <c r="AC3" s="535" t="inlineStr">
        <is>
          <t>5W≤X&lt;20万美金</t>
        </is>
      </c>
      <c r="AD3" s="535" t="inlineStr">
        <is>
          <t>20≤X&lt;50万美金</t>
        </is>
      </c>
      <c r="AE3" s="535" t="inlineStr">
        <is>
          <t>50≤X&lt;100万美金</t>
        </is>
      </c>
      <c r="AF3" s="535" t="inlineStr">
        <is>
          <t>100≤X&lt;300万美金</t>
        </is>
      </c>
      <c r="AG3" s="536" t="inlineStr">
        <is>
          <t>≥300万美金</t>
        </is>
      </c>
      <c r="AH3" s="501" t="n"/>
      <c r="AI3" s="501" t="n"/>
      <c r="AJ3" s="501" t="n"/>
      <c r="AK3" s="501" t="n"/>
    </row>
    <row r="4" ht="14.1" customFormat="1" customHeight="1" s="483">
      <c r="A4" s="511" t="n">
        <v>1</v>
      </c>
      <c r="B4" s="512" t="inlineStr">
        <is>
          <t xml:space="preserve">理财师018
</t>
        </is>
      </c>
      <c r="C4" s="511" t="n">
        <v>6</v>
      </c>
      <c r="D4" s="498" t="inlineStr">
        <is>
          <t>PWA</t>
        </is>
      </c>
      <c r="E4" s="498" t="inlineStr">
        <is>
          <t>理财师018</t>
        </is>
      </c>
      <c r="F4" s="498" t="n">
        <v>513996852.116055</v>
      </c>
      <c r="G4" s="498" t="n">
        <v>202949200.726811</v>
      </c>
      <c r="H4" s="498" t="n">
        <v>148</v>
      </c>
      <c r="I4" s="498" t="n">
        <v>24</v>
      </c>
      <c r="J4" s="498" t="n">
        <v>112</v>
      </c>
      <c r="K4" s="498" t="n">
        <v>13</v>
      </c>
      <c r="L4" s="498" t="n">
        <v>0</v>
      </c>
      <c r="M4" s="498" t="n">
        <v>113</v>
      </c>
      <c r="N4" s="498" t="n">
        <v>35</v>
      </c>
      <c r="O4" s="498" t="n">
        <v>47</v>
      </c>
      <c r="P4" s="498" t="n">
        <v>36</v>
      </c>
      <c r="Q4" s="498" t="n">
        <v>30</v>
      </c>
      <c r="S4" s="498" t="inlineStr">
        <is>
          <t>x</t>
        </is>
      </c>
      <c r="T4" s="498" t="inlineStr">
        <is>
          <t>x</t>
        </is>
      </c>
      <c r="U4" s="498" t="inlineStr">
        <is>
          <t>x</t>
        </is>
      </c>
      <c r="V4" s="498" t="inlineStr">
        <is>
          <t>x</t>
        </is>
      </c>
      <c r="W4" s="498" t="inlineStr">
        <is>
          <t>x</t>
        </is>
      </c>
      <c r="X4" s="498" t="inlineStr">
        <is>
          <t>x</t>
        </is>
      </c>
      <c r="Y4" s="498" t="inlineStr">
        <is>
          <t>x</t>
        </is>
      </c>
      <c r="Z4" s="498" t="inlineStr">
        <is>
          <t>x</t>
        </is>
      </c>
      <c r="AA4" s="498" t="inlineStr">
        <is>
          <t>x</t>
        </is>
      </c>
      <c r="AB4" s="498" t="inlineStr">
        <is>
          <t>x</t>
        </is>
      </c>
      <c r="AC4" s="498" t="inlineStr">
        <is>
          <t>x</t>
        </is>
      </c>
      <c r="AD4" s="498" t="inlineStr">
        <is>
          <t>x</t>
        </is>
      </c>
      <c r="AE4" s="498" t="inlineStr">
        <is>
          <t>x</t>
        </is>
      </c>
      <c r="AF4" s="498" t="inlineStr">
        <is>
          <t>x</t>
        </is>
      </c>
      <c r="AG4" s="498" t="inlineStr">
        <is>
          <t>x</t>
        </is>
      </c>
      <c r="AH4" s="498" t="inlineStr"/>
      <c r="AI4" s="498" t="inlineStr"/>
      <c r="AJ4" s="498" t="inlineStr"/>
      <c r="AK4" s="498" t="inlineStr"/>
    </row>
    <row r="5">
      <c r="A5" s="500" t="n"/>
      <c r="B5" s="500" t="n"/>
      <c r="C5" s="500" t="n"/>
      <c r="D5" s="498" t="inlineStr">
        <is>
          <t>PWA</t>
        </is>
      </c>
      <c r="E5" s="498" t="inlineStr">
        <is>
          <t>理财师021</t>
        </is>
      </c>
      <c r="F5" s="498" t="n">
        <v>383673184.54</v>
      </c>
      <c r="G5" s="498" t="n">
        <v>7405189.1</v>
      </c>
      <c r="H5" s="498" t="n">
        <v>104</v>
      </c>
      <c r="I5" s="498" t="n">
        <v>10</v>
      </c>
      <c r="J5" s="498" t="n">
        <v>94</v>
      </c>
      <c r="K5" s="498" t="n">
        <v>0</v>
      </c>
      <c r="L5" s="498" t="n">
        <v>0</v>
      </c>
      <c r="M5" s="498" t="n">
        <v>81</v>
      </c>
      <c r="N5" s="498" t="n">
        <v>23</v>
      </c>
      <c r="O5" s="498" t="n">
        <v>34</v>
      </c>
      <c r="P5" s="498" t="n">
        <v>23</v>
      </c>
      <c r="Q5" s="498" t="n">
        <v>24</v>
      </c>
      <c r="S5" s="498" t="inlineStr">
        <is>
          <t>x</t>
        </is>
      </c>
      <c r="T5" s="498" t="inlineStr">
        <is>
          <t>x</t>
        </is>
      </c>
      <c r="U5" s="498" t="inlineStr">
        <is>
          <t>x</t>
        </is>
      </c>
      <c r="V5" s="498" t="inlineStr">
        <is>
          <t>x</t>
        </is>
      </c>
      <c r="W5" s="498" t="inlineStr">
        <is>
          <t>x</t>
        </is>
      </c>
      <c r="X5" s="498" t="inlineStr">
        <is>
          <t>x</t>
        </is>
      </c>
      <c r="Y5" s="498" t="inlineStr">
        <is>
          <t>x</t>
        </is>
      </c>
      <c r="Z5" s="498" t="inlineStr">
        <is>
          <t>x</t>
        </is>
      </c>
      <c r="AA5" s="498" t="inlineStr">
        <is>
          <t>x</t>
        </is>
      </c>
      <c r="AB5" s="498" t="inlineStr">
        <is>
          <t>x</t>
        </is>
      </c>
      <c r="AC5" s="498" t="inlineStr">
        <is>
          <t>x</t>
        </is>
      </c>
      <c r="AD5" s="498" t="inlineStr">
        <is>
          <t>x</t>
        </is>
      </c>
      <c r="AE5" s="498" t="inlineStr">
        <is>
          <t>x</t>
        </is>
      </c>
      <c r="AF5" s="498" t="inlineStr">
        <is>
          <t>x</t>
        </is>
      </c>
      <c r="AG5" s="498" t="inlineStr">
        <is>
          <t>x</t>
        </is>
      </c>
      <c r="AH5" s="498" t="inlineStr"/>
      <c r="AI5" s="498" t="inlineStr"/>
      <c r="AJ5" s="498" t="inlineStr"/>
      <c r="AK5" s="498" t="inlineStr"/>
    </row>
    <row r="6">
      <c r="A6" s="500" t="n"/>
      <c r="B6" s="500" t="n"/>
      <c r="C6" s="500" t="n"/>
      <c r="D6" s="498" t="inlineStr">
        <is>
          <t>PWA</t>
        </is>
      </c>
      <c r="E6" s="498" t="inlineStr">
        <is>
          <t>理财师017</t>
        </is>
      </c>
      <c r="F6" s="498" t="n">
        <v>87706734.28</v>
      </c>
      <c r="G6" s="498" t="n">
        <v>15614572.96</v>
      </c>
      <c r="H6" s="498" t="n">
        <v>71</v>
      </c>
      <c r="I6" s="498" t="n">
        <v>28</v>
      </c>
      <c r="J6" s="498" t="n">
        <v>43</v>
      </c>
      <c r="K6" s="498" t="n">
        <v>0</v>
      </c>
      <c r="L6" s="498" t="n">
        <v>0</v>
      </c>
      <c r="M6" s="498" t="n">
        <v>46</v>
      </c>
      <c r="N6" s="498" t="n">
        <v>25</v>
      </c>
      <c r="O6" s="498" t="n">
        <v>17</v>
      </c>
      <c r="P6" s="498" t="n">
        <v>15</v>
      </c>
      <c r="Q6" s="498" t="n">
        <v>14</v>
      </c>
      <c r="S6" s="498" t="inlineStr">
        <is>
          <t>x</t>
        </is>
      </c>
      <c r="T6" s="498" t="inlineStr">
        <is>
          <t>x</t>
        </is>
      </c>
      <c r="U6" s="498" t="inlineStr">
        <is>
          <t>x</t>
        </is>
      </c>
      <c r="V6" s="498" t="inlineStr">
        <is>
          <t>x</t>
        </is>
      </c>
      <c r="W6" s="498" t="inlineStr">
        <is>
          <t>x</t>
        </is>
      </c>
      <c r="X6" s="498" t="inlineStr">
        <is>
          <t>x</t>
        </is>
      </c>
      <c r="Y6" s="498" t="inlineStr">
        <is>
          <t>x</t>
        </is>
      </c>
      <c r="Z6" s="498" t="inlineStr">
        <is>
          <t>x</t>
        </is>
      </c>
      <c r="AA6" s="498" t="inlineStr">
        <is>
          <t>x</t>
        </is>
      </c>
      <c r="AB6" s="498" t="inlineStr">
        <is>
          <t>x</t>
        </is>
      </c>
      <c r="AC6" s="498" t="inlineStr">
        <is>
          <t>x</t>
        </is>
      </c>
      <c r="AD6" s="498" t="inlineStr">
        <is>
          <t>x</t>
        </is>
      </c>
      <c r="AE6" s="498" t="inlineStr">
        <is>
          <t>x</t>
        </is>
      </c>
      <c r="AF6" s="498" t="inlineStr">
        <is>
          <t>x</t>
        </is>
      </c>
      <c r="AG6" s="498" t="inlineStr">
        <is>
          <t>x</t>
        </is>
      </c>
      <c r="AH6" s="498" t="inlineStr"/>
      <c r="AI6" s="498" t="inlineStr"/>
      <c r="AJ6" s="498" t="inlineStr"/>
      <c r="AK6" s="498" t="inlineStr"/>
    </row>
    <row r="7">
      <c r="A7" s="500" t="n"/>
      <c r="B7" s="500" t="n"/>
      <c r="C7" s="500" t="n"/>
      <c r="D7" s="498" t="inlineStr">
        <is>
          <t>PWA</t>
        </is>
      </c>
      <c r="E7" s="498" t="inlineStr">
        <is>
          <t>理财师019</t>
        </is>
      </c>
      <c r="F7" s="498" t="n">
        <v>116232234.24</v>
      </c>
      <c r="G7" s="498" t="n">
        <v>12099628.41</v>
      </c>
      <c r="H7" s="498" t="n">
        <v>46</v>
      </c>
      <c r="I7" s="498" t="n">
        <v>24</v>
      </c>
      <c r="J7" s="498" t="n">
        <v>22</v>
      </c>
      <c r="K7" s="498" t="n">
        <v>0</v>
      </c>
      <c r="L7" s="498" t="n">
        <v>0</v>
      </c>
      <c r="M7" s="498" t="n">
        <v>36</v>
      </c>
      <c r="N7" s="498" t="n">
        <v>10</v>
      </c>
      <c r="O7" s="498" t="n">
        <v>13</v>
      </c>
      <c r="P7" s="498" t="n">
        <v>11</v>
      </c>
      <c r="Q7" s="498" t="n">
        <v>12</v>
      </c>
      <c r="S7" s="498" t="inlineStr">
        <is>
          <t>x</t>
        </is>
      </c>
      <c r="T7" s="498" t="inlineStr">
        <is>
          <t>x</t>
        </is>
      </c>
      <c r="U7" s="498" t="inlineStr">
        <is>
          <t>x</t>
        </is>
      </c>
      <c r="V7" s="498" t="inlineStr">
        <is>
          <t>x</t>
        </is>
      </c>
      <c r="W7" s="498" t="inlineStr">
        <is>
          <t>x</t>
        </is>
      </c>
      <c r="X7" s="498" t="inlineStr">
        <is>
          <t>x</t>
        </is>
      </c>
      <c r="Y7" s="498" t="inlineStr">
        <is>
          <t>x</t>
        </is>
      </c>
      <c r="Z7" s="498" t="inlineStr">
        <is>
          <t>x</t>
        </is>
      </c>
      <c r="AA7" s="498" t="inlineStr">
        <is>
          <t>x</t>
        </is>
      </c>
      <c r="AB7" s="498" t="inlineStr">
        <is>
          <t>x</t>
        </is>
      </c>
      <c r="AC7" s="498" t="inlineStr">
        <is>
          <t>x</t>
        </is>
      </c>
      <c r="AD7" s="498" t="inlineStr">
        <is>
          <t>x</t>
        </is>
      </c>
      <c r="AE7" s="498" t="inlineStr">
        <is>
          <t>x</t>
        </is>
      </c>
      <c r="AF7" s="498" t="inlineStr">
        <is>
          <t>x</t>
        </is>
      </c>
      <c r="AG7" s="498" t="inlineStr">
        <is>
          <t>x</t>
        </is>
      </c>
      <c r="AH7" s="498" t="inlineStr"/>
      <c r="AI7" s="498" t="inlineStr"/>
      <c r="AJ7" s="498" t="inlineStr"/>
      <c r="AK7" s="498" t="inlineStr"/>
    </row>
    <row r="8">
      <c r="A8" s="500" t="n"/>
      <c r="B8" s="500" t="n"/>
      <c r="C8" s="500" t="n"/>
      <c r="D8" s="498" t="inlineStr">
        <is>
          <t>CDO</t>
        </is>
      </c>
      <c r="E8" s="498" t="inlineStr">
        <is>
          <t>理财师277</t>
        </is>
      </c>
      <c r="F8" s="498" t="n">
        <v>804763.1</v>
      </c>
      <c r="G8" s="498" t="n">
        <v>795955.5600000001</v>
      </c>
      <c r="H8" s="498" t="n">
        <v>18</v>
      </c>
      <c r="I8" s="498" t="n">
        <v>4</v>
      </c>
      <c r="J8" s="498" t="n">
        <v>0</v>
      </c>
      <c r="K8" s="498" t="n">
        <v>0</v>
      </c>
      <c r="L8" s="498" t="n">
        <v>14</v>
      </c>
      <c r="M8" s="498" t="n">
        <v>4</v>
      </c>
      <c r="N8" s="498" t="n">
        <v>14</v>
      </c>
      <c r="O8" s="498" t="n">
        <v>2</v>
      </c>
      <c r="P8" s="498" t="n">
        <v>0</v>
      </c>
      <c r="Q8" s="498" t="n">
        <v>2</v>
      </c>
      <c r="S8" s="498" t="inlineStr">
        <is>
          <t>x</t>
        </is>
      </c>
      <c r="T8" s="498" t="inlineStr">
        <is>
          <t>x</t>
        </is>
      </c>
      <c r="U8" s="498" t="inlineStr">
        <is>
          <t>x</t>
        </is>
      </c>
      <c r="V8" s="498" t="inlineStr">
        <is>
          <t>x</t>
        </is>
      </c>
      <c r="W8" s="498" t="inlineStr">
        <is>
          <t>x</t>
        </is>
      </c>
      <c r="X8" s="498" t="inlineStr">
        <is>
          <t>x</t>
        </is>
      </c>
      <c r="Y8" s="498" t="inlineStr">
        <is>
          <t>x</t>
        </is>
      </c>
      <c r="Z8" s="498" t="inlineStr">
        <is>
          <t>x</t>
        </is>
      </c>
      <c r="AA8" s="498" t="inlineStr">
        <is>
          <t>x</t>
        </is>
      </c>
      <c r="AB8" s="498" t="inlineStr">
        <is>
          <t>x</t>
        </is>
      </c>
      <c r="AC8" s="498" t="inlineStr">
        <is>
          <t>x</t>
        </is>
      </c>
      <c r="AD8" s="498" t="inlineStr">
        <is>
          <t>x</t>
        </is>
      </c>
      <c r="AE8" s="498" t="inlineStr">
        <is>
          <t>x</t>
        </is>
      </c>
      <c r="AF8" s="498" t="inlineStr">
        <is>
          <t>x</t>
        </is>
      </c>
      <c r="AG8" s="498" t="inlineStr">
        <is>
          <t>x</t>
        </is>
      </c>
      <c r="AH8" s="498" t="inlineStr"/>
      <c r="AI8" s="498" t="inlineStr"/>
      <c r="AJ8" s="498" t="inlineStr"/>
      <c r="AK8" s="498" t="inlineStr"/>
    </row>
    <row r="9" ht="14.25" customFormat="1" customHeight="1" s="483">
      <c r="A9" s="513" t="n"/>
      <c r="B9" s="513" t="n"/>
      <c r="C9" s="513" t="n"/>
      <c r="D9" s="514" t="inlineStr">
        <is>
          <t>PWA</t>
        </is>
      </c>
      <c r="E9" s="514" t="inlineStr">
        <is>
          <t>理财师025</t>
        </is>
      </c>
      <c r="F9" s="514" t="n">
        <v>0</v>
      </c>
      <c r="G9" s="514" t="n">
        <v>0</v>
      </c>
      <c r="H9" s="514" t="n">
        <v>1</v>
      </c>
      <c r="I9" s="514" t="n">
        <v>1</v>
      </c>
      <c r="J9" s="514" t="n">
        <v>0</v>
      </c>
      <c r="K9" s="514" t="n">
        <v>0</v>
      </c>
      <c r="L9" s="514" t="n">
        <v>0</v>
      </c>
      <c r="M9" s="514" t="n">
        <v>0</v>
      </c>
      <c r="N9" s="514" t="n">
        <v>1</v>
      </c>
      <c r="O9" s="514" t="n">
        <v>0</v>
      </c>
      <c r="P9" s="514" t="n">
        <v>0</v>
      </c>
      <c r="Q9" s="514" t="n">
        <v>0</v>
      </c>
      <c r="S9" s="514" t="inlineStr">
        <is>
          <t>x</t>
        </is>
      </c>
      <c r="T9" s="514" t="inlineStr">
        <is>
          <t>x</t>
        </is>
      </c>
      <c r="U9" s="514" t="inlineStr">
        <is>
          <t>x</t>
        </is>
      </c>
      <c r="V9" s="514" t="inlineStr">
        <is>
          <t>x</t>
        </is>
      </c>
      <c r="W9" s="514" t="inlineStr">
        <is>
          <t>x</t>
        </is>
      </c>
      <c r="X9" s="514" t="inlineStr">
        <is>
          <t>x</t>
        </is>
      </c>
      <c r="Y9" s="514" t="inlineStr">
        <is>
          <t>x</t>
        </is>
      </c>
      <c r="Z9" s="514" t="inlineStr">
        <is>
          <t>x</t>
        </is>
      </c>
      <c r="AA9" s="514" t="inlineStr">
        <is>
          <t>x</t>
        </is>
      </c>
      <c r="AB9" s="514" t="inlineStr">
        <is>
          <t>x</t>
        </is>
      </c>
      <c r="AC9" s="514" t="inlineStr">
        <is>
          <t>x</t>
        </is>
      </c>
      <c r="AD9" s="514" t="inlineStr">
        <is>
          <t>x</t>
        </is>
      </c>
      <c r="AE9" s="514" t="inlineStr">
        <is>
          <t>x</t>
        </is>
      </c>
      <c r="AF9" s="514" t="inlineStr">
        <is>
          <t>x</t>
        </is>
      </c>
      <c r="AG9" s="514" t="inlineStr">
        <is>
          <t>x</t>
        </is>
      </c>
      <c r="AH9" s="514" t="inlineStr"/>
      <c r="AI9" s="514" t="inlineStr"/>
      <c r="AJ9" s="514" t="inlineStr"/>
      <c r="AK9" s="514" t="inlineStr"/>
    </row>
    <row r="10" ht="15.75" customFormat="1" customHeight="1" s="483">
      <c r="A10" s="537" t="inlineStr">
        <is>
          <t>汇总</t>
        </is>
      </c>
      <c r="B10" s="518" t="n"/>
      <c r="C10" s="518" t="n"/>
      <c r="D10" s="518" t="n"/>
      <c r="E10" s="519" t="n"/>
      <c r="F10" s="538" t="n">
        <v>974271470.71</v>
      </c>
      <c r="G10" s="539" t="n">
        <v>188268172.94</v>
      </c>
      <c r="H10" s="539" t="n">
        <v>388</v>
      </c>
      <c r="I10" s="539" t="n">
        <v>91</v>
      </c>
      <c r="J10" s="539" t="n">
        <v>271</v>
      </c>
      <c r="K10" s="539" t="n">
        <v>13</v>
      </c>
      <c r="L10" s="539" t="n">
        <v>14</v>
      </c>
      <c r="M10" s="539" t="n">
        <v>280</v>
      </c>
      <c r="N10" s="539" t="n">
        <v>108</v>
      </c>
      <c r="O10" s="539" t="n">
        <v>113</v>
      </c>
      <c r="P10" s="539" t="n">
        <v>85</v>
      </c>
      <c r="Q10" s="540" t="n">
        <v>82</v>
      </c>
      <c r="S10" s="539" t="inlineStr">
        <is>
          <t>x</t>
        </is>
      </c>
      <c r="T10" s="539" t="inlineStr">
        <is>
          <t>x</t>
        </is>
      </c>
      <c r="U10" s="539" t="inlineStr">
        <is>
          <t>x</t>
        </is>
      </c>
      <c r="V10" s="539" t="inlineStr">
        <is>
          <t>x</t>
        </is>
      </c>
      <c r="W10" s="539" t="inlineStr">
        <is>
          <t>x</t>
        </is>
      </c>
      <c r="X10" s="539" t="inlineStr">
        <is>
          <t>x</t>
        </is>
      </c>
      <c r="Y10" s="539" t="inlineStr">
        <is>
          <t>x</t>
        </is>
      </c>
      <c r="Z10" s="539" t="inlineStr">
        <is>
          <t>x</t>
        </is>
      </c>
      <c r="AA10" s="539" t="inlineStr">
        <is>
          <t>x</t>
        </is>
      </c>
      <c r="AB10" s="539" t="inlineStr">
        <is>
          <t>x</t>
        </is>
      </c>
      <c r="AC10" s="539" t="inlineStr">
        <is>
          <t>x</t>
        </is>
      </c>
      <c r="AD10" s="539" t="inlineStr">
        <is>
          <t>x</t>
        </is>
      </c>
      <c r="AE10" s="539" t="inlineStr">
        <is>
          <t>x</t>
        </is>
      </c>
      <c r="AF10" s="539" t="inlineStr">
        <is>
          <t>x</t>
        </is>
      </c>
      <c r="AG10" s="539" t="inlineStr">
        <is>
          <t>x</t>
        </is>
      </c>
      <c r="AH10" s="539" t="inlineStr"/>
      <c r="AI10" s="539" t="inlineStr"/>
      <c r="AJ10" s="539" t="inlineStr"/>
      <c r="AK10" s="540" t="inlineStr"/>
    </row>
    <row r="11" ht="17.25" customFormat="1" customHeight="1" s="483">
      <c r="A11" s="541" t="inlineStr"/>
      <c r="B11" s="541" t="inlineStr"/>
      <c r="C11" s="541" t="inlineStr"/>
      <c r="D11" s="541" t="inlineStr"/>
      <c r="E11" s="541" t="inlineStr"/>
      <c r="F11" s="541" t="inlineStr"/>
      <c r="G11" s="541" t="inlineStr"/>
      <c r="H11" s="541" t="inlineStr"/>
      <c r="I11" s="541" t="inlineStr"/>
      <c r="J11" s="541" t="inlineStr"/>
      <c r="K11" s="541" t="inlineStr"/>
      <c r="L11" s="541" t="inlineStr"/>
      <c r="M11" s="541" t="inlineStr"/>
      <c r="N11" s="541" t="inlineStr"/>
      <c r="O11" s="541" t="inlineStr"/>
      <c r="P11" s="541" t="inlineStr"/>
      <c r="Q11" s="542" t="inlineStr"/>
      <c r="S11" s="543" t="inlineStr"/>
      <c r="T11" s="543" t="inlineStr"/>
      <c r="U11" s="543" t="inlineStr"/>
      <c r="V11" s="543" t="inlineStr"/>
      <c r="W11" s="543" t="inlineStr"/>
    </row>
    <row r="12" ht="44.25" customFormat="1" customHeight="1" s="483">
      <c r="A12" s="526" t="n">
        <v>2</v>
      </c>
      <c r="B12" s="544" t="inlineStr">
        <is>
          <t xml:space="preserve">理财师014
</t>
        </is>
      </c>
      <c r="C12" s="526" t="n">
        <v>4</v>
      </c>
      <c r="D12" s="526" t="inlineStr">
        <is>
          <t>PWA</t>
        </is>
      </c>
      <c r="E12" s="526" t="inlineStr">
        <is>
          <t>理财师014</t>
        </is>
      </c>
      <c r="F12" s="526" t="inlineStr"/>
      <c r="G12" s="526" t="inlineStr"/>
      <c r="H12" s="526" t="inlineStr"/>
      <c r="I12" s="526" t="inlineStr"/>
      <c r="J12" s="526" t="inlineStr"/>
      <c r="K12" s="526" t="inlineStr"/>
      <c r="L12" s="526" t="inlineStr"/>
      <c r="M12" s="526" t="inlineStr"/>
      <c r="N12" s="526" t="inlineStr"/>
      <c r="O12" s="526" t="inlineStr"/>
      <c r="P12" s="526" t="inlineStr"/>
      <c r="Q12" s="498" t="inlineStr"/>
    </row>
    <row r="13">
      <c r="A13" s="500" t="n"/>
      <c r="B13" s="500" t="n"/>
      <c r="C13" s="500" t="n"/>
      <c r="D13" s="498" t="inlineStr">
        <is>
          <t>PWA</t>
        </is>
      </c>
      <c r="E13" s="498" t="inlineStr">
        <is>
          <t>理财师013</t>
        </is>
      </c>
      <c r="F13" s="498" t="inlineStr"/>
      <c r="G13" s="498" t="inlineStr"/>
      <c r="H13" s="498" t="inlineStr"/>
      <c r="I13" s="498" t="inlineStr"/>
      <c r="J13" s="498" t="inlineStr"/>
      <c r="K13" s="498" t="inlineStr"/>
      <c r="L13" s="498" t="inlineStr"/>
      <c r="M13" s="498" t="inlineStr"/>
      <c r="N13" s="498" t="inlineStr"/>
      <c r="O13" s="498" t="inlineStr"/>
      <c r="P13" s="498" t="inlineStr"/>
      <c r="Q13" s="498" t="inlineStr"/>
    </row>
    <row r="14">
      <c r="A14" s="500" t="n"/>
      <c r="B14" s="500" t="n"/>
      <c r="C14" s="500" t="n"/>
      <c r="D14" s="498" t="inlineStr">
        <is>
          <t>PWA</t>
        </is>
      </c>
      <c r="E14" s="498" t="inlineStr">
        <is>
          <t>理财师022</t>
        </is>
      </c>
      <c r="F14" s="498" t="inlineStr"/>
      <c r="G14" s="498" t="inlineStr"/>
      <c r="H14" s="498" t="inlineStr"/>
      <c r="I14" s="498" t="inlineStr"/>
      <c r="J14" s="498" t="inlineStr"/>
      <c r="K14" s="498" t="inlineStr"/>
      <c r="L14" s="498" t="inlineStr"/>
      <c r="M14" s="498" t="inlineStr"/>
      <c r="N14" s="498" t="inlineStr"/>
      <c r="O14" s="498" t="inlineStr"/>
      <c r="P14" s="498" t="n">
        <v>0</v>
      </c>
      <c r="Q14" s="498" t="n">
        <v>0</v>
      </c>
    </row>
    <row r="15" ht="14.25" customFormat="1" customHeight="1" s="483">
      <c r="A15" s="501" t="n"/>
      <c r="B15" s="501" t="n"/>
      <c r="C15" s="501" t="n"/>
      <c r="D15" s="498" t="inlineStr">
        <is>
          <t>PWA</t>
        </is>
      </c>
      <c r="E15" s="498" t="inlineStr">
        <is>
          <t>理财师024</t>
        </is>
      </c>
      <c r="F15" s="498" t="inlineStr"/>
      <c r="G15" s="498" t="inlineStr"/>
      <c r="H15" s="498" t="inlineStr"/>
      <c r="I15" s="498" t="inlineStr"/>
      <c r="J15" s="498" t="inlineStr"/>
      <c r="K15" s="498" t="inlineStr"/>
      <c r="L15" s="498" t="inlineStr"/>
      <c r="M15" s="498" t="inlineStr"/>
      <c r="N15" s="498" t="inlineStr"/>
      <c r="O15" s="498" t="inlineStr"/>
      <c r="P15" s="498" t="inlineStr"/>
      <c r="Q15" s="498" t="inlineStr"/>
    </row>
    <row r="16" ht="15.75" customFormat="1" customHeight="1" s="483">
      <c r="A16" s="537" t="inlineStr">
        <is>
          <t>汇总</t>
        </is>
      </c>
      <c r="B16" s="518" t="n"/>
      <c r="C16" s="518" t="n"/>
      <c r="D16" s="518" t="n"/>
      <c r="E16" s="519" t="n"/>
      <c r="F16" s="538" t="n">
        <v>404956599.11</v>
      </c>
      <c r="G16" s="538" t="n">
        <v>16810891.09</v>
      </c>
      <c r="H16" s="538" t="n">
        <v>253</v>
      </c>
      <c r="I16" s="538" t="n">
        <v>24</v>
      </c>
      <c r="J16" s="538" t="n">
        <v>156</v>
      </c>
      <c r="K16" s="538" t="n">
        <v>69</v>
      </c>
      <c r="L16" s="538" t="n">
        <v>4</v>
      </c>
      <c r="M16" s="538" t="n">
        <v>195</v>
      </c>
      <c r="N16" s="538" t="n">
        <v>58</v>
      </c>
      <c r="O16" s="538" t="n">
        <v>86</v>
      </c>
      <c r="P16" s="538" t="n">
        <v>62</v>
      </c>
      <c r="Q16" s="538" t="n">
        <v>47</v>
      </c>
    </row>
    <row r="17" ht="14.25" customFormat="1" customHeight="1" s="483">
      <c r="A17" s="543" t="inlineStr"/>
      <c r="B17" s="543" t="inlineStr"/>
      <c r="C17" s="543" t="inlineStr"/>
      <c r="D17" s="543" t="inlineStr"/>
      <c r="E17" s="543" t="inlineStr"/>
      <c r="F17" s="543" t="inlineStr"/>
      <c r="G17" s="543" t="inlineStr"/>
      <c r="H17" s="543" t="inlineStr"/>
      <c r="I17" s="543" t="inlineStr"/>
      <c r="J17" s="543" t="inlineStr"/>
      <c r="K17" s="543" t="inlineStr"/>
      <c r="L17" s="543" t="inlineStr"/>
      <c r="M17" s="543" t="inlineStr"/>
      <c r="N17" s="543" t="inlineStr"/>
      <c r="O17" s="543" t="inlineStr"/>
      <c r="P17" s="543" t="inlineStr"/>
      <c r="Q17" s="543" t="inlineStr"/>
    </row>
    <row r="18">
      <c r="A18" s="498" t="n">
        <v>3</v>
      </c>
      <c r="B18" s="545" t="inlineStr">
        <is>
          <t xml:space="preserve">理财师007
</t>
        </is>
      </c>
      <c r="C18" s="498" t="n">
        <v>5</v>
      </c>
      <c r="D18" s="498" t="inlineStr">
        <is>
          <t>PWA</t>
        </is>
      </c>
      <c r="E18" s="498" t="inlineStr">
        <is>
          <t>理财师007</t>
        </is>
      </c>
      <c r="F18" s="498" t="inlineStr"/>
      <c r="G18" s="498" t="inlineStr"/>
      <c r="H18" s="498" t="inlineStr"/>
      <c r="I18" s="498" t="inlineStr"/>
      <c r="J18" s="498" t="inlineStr"/>
      <c r="K18" s="498" t="inlineStr"/>
      <c r="L18" s="498" t="inlineStr"/>
      <c r="M18" s="498" t="inlineStr"/>
      <c r="N18" s="498" t="inlineStr"/>
      <c r="O18" s="498" t="inlineStr"/>
      <c r="P18" s="498" t="inlineStr"/>
      <c r="Q18" s="498" t="inlineStr"/>
    </row>
    <row r="19" ht="14.45" customFormat="1" customHeight="1" s="483">
      <c r="A19" s="500" t="n"/>
      <c r="B19" s="500" t="n"/>
      <c r="C19" s="500" t="n"/>
      <c r="D19" s="498" t="inlineStr">
        <is>
          <t>PWA</t>
        </is>
      </c>
      <c r="E19" s="498" t="inlineStr">
        <is>
          <t>理财师023</t>
        </is>
      </c>
      <c r="F19" s="498" t="inlineStr"/>
      <c r="G19" s="498" t="inlineStr"/>
      <c r="H19" s="498" t="inlineStr"/>
      <c r="I19" s="498" t="inlineStr"/>
      <c r="J19" s="498" t="inlineStr"/>
      <c r="K19" s="498" t="inlineStr"/>
      <c r="L19" s="498" t="inlineStr"/>
      <c r="M19" s="498" t="inlineStr"/>
      <c r="N19" s="498" t="inlineStr"/>
      <c r="O19" s="498" t="inlineStr"/>
      <c r="P19" s="498" t="n">
        <v>0</v>
      </c>
      <c r="Q19" s="498" t="inlineStr"/>
    </row>
    <row r="20">
      <c r="A20" s="500" t="n"/>
      <c r="B20" s="500" t="n"/>
      <c r="C20" s="500" t="n"/>
      <c r="D20" s="498" t="inlineStr">
        <is>
          <t>CDO</t>
        </is>
      </c>
      <c r="E20" s="498" t="inlineStr">
        <is>
          <t>理财师091</t>
        </is>
      </c>
      <c r="F20" s="498" t="inlineStr"/>
      <c r="G20" s="498" t="n">
        <v>0</v>
      </c>
      <c r="H20" s="498" t="inlineStr"/>
      <c r="I20" s="498" t="inlineStr"/>
      <c r="J20" s="498" t="inlineStr"/>
      <c r="K20" s="498" t="inlineStr"/>
      <c r="L20" s="498" t="inlineStr"/>
      <c r="M20" s="498" t="inlineStr"/>
      <c r="N20" s="498" t="inlineStr"/>
      <c r="O20" s="498" t="inlineStr"/>
      <c r="P20" s="498" t="n">
        <v>0</v>
      </c>
      <c r="Q20" s="498" t="inlineStr"/>
    </row>
    <row r="21">
      <c r="A21" s="500" t="n"/>
      <c r="B21" s="500" t="n"/>
      <c r="C21" s="500" t="n"/>
      <c r="D21" s="498" t="inlineStr">
        <is>
          <t>CDO</t>
        </is>
      </c>
      <c r="E21" s="498" t="inlineStr">
        <is>
          <t>理财师278</t>
        </is>
      </c>
      <c r="F21" s="498" t="n">
        <v>0</v>
      </c>
      <c r="G21" s="498" t="n">
        <v>0</v>
      </c>
      <c r="H21" s="498" t="n">
        <v>0</v>
      </c>
      <c r="I21" s="498" t="n">
        <v>0</v>
      </c>
      <c r="J21" s="498" t="n">
        <v>0</v>
      </c>
      <c r="K21" s="498" t="n">
        <v>0</v>
      </c>
      <c r="L21" s="498" t="n">
        <v>0</v>
      </c>
      <c r="M21" s="498" t="n">
        <v>0</v>
      </c>
      <c r="N21" s="498" t="n">
        <v>0</v>
      </c>
      <c r="O21" s="498" t="n">
        <v>0</v>
      </c>
      <c r="P21" s="498" t="n">
        <v>0</v>
      </c>
      <c r="Q21" s="498" t="n">
        <v>0</v>
      </c>
    </row>
    <row r="22" ht="14.25" customFormat="1" customHeight="1" s="483">
      <c r="A22" s="501" t="n"/>
      <c r="B22" s="501" t="n"/>
      <c r="C22" s="501" t="n"/>
      <c r="D22" s="498" t="inlineStr">
        <is>
          <t>CDO</t>
        </is>
      </c>
      <c r="E22" s="498" t="inlineStr">
        <is>
          <t>理财师231</t>
        </is>
      </c>
      <c r="F22" s="498" t="inlineStr"/>
      <c r="G22" s="498" t="n">
        <v>0</v>
      </c>
      <c r="H22" s="498" t="inlineStr"/>
      <c r="I22" s="498" t="inlineStr"/>
      <c r="J22" s="498" t="inlineStr"/>
      <c r="K22" s="498" t="inlineStr"/>
      <c r="L22" s="498" t="inlineStr"/>
      <c r="M22" s="498" t="inlineStr"/>
      <c r="N22" s="498" t="inlineStr"/>
      <c r="O22" s="498" t="inlineStr"/>
      <c r="P22" s="498" t="n">
        <v>0</v>
      </c>
      <c r="Q22" s="498" t="n">
        <v>0</v>
      </c>
    </row>
    <row r="23" ht="15.75" customFormat="1" customHeight="1" s="483">
      <c r="A23" s="537" t="inlineStr">
        <is>
          <t>汇总</t>
        </is>
      </c>
      <c r="B23" s="518" t="n"/>
      <c r="C23" s="518" t="n"/>
      <c r="D23" s="518" t="n"/>
      <c r="E23" s="519" t="n"/>
      <c r="F23" s="538">
        <f>SUM(F18:F22)</f>
        <v/>
      </c>
      <c r="G23" s="538">
        <f>SUM(G18:G22)</f>
        <v/>
      </c>
      <c r="H23" s="538">
        <f>SUM(H18:H22)</f>
        <v/>
      </c>
      <c r="I23" s="538">
        <f>SUM(I18:I22)</f>
        <v/>
      </c>
      <c r="J23" s="538">
        <f>SUM(J18:J22)</f>
        <v/>
      </c>
      <c r="K23" s="538">
        <f>SUM(K18:K22)</f>
        <v/>
      </c>
      <c r="L23" s="538">
        <f>SUM(L18:L22)</f>
        <v/>
      </c>
      <c r="M23" s="538">
        <f>SUM(M18:M22)</f>
        <v/>
      </c>
      <c r="N23" s="538">
        <f>SUM(N18:N22)</f>
        <v/>
      </c>
      <c r="O23" s="538">
        <f>SUM(O18:O22)</f>
        <v/>
      </c>
      <c r="P23" s="538">
        <f>SUM(P18:P22)</f>
        <v/>
      </c>
      <c r="Q23" s="538">
        <f>SUM(Q18:Q22)</f>
        <v/>
      </c>
    </row>
    <row r="24" ht="14.25" customFormat="1" customHeight="1" s="483">
      <c r="A24" s="543" t="inlineStr"/>
      <c r="B24" s="543" t="inlineStr"/>
      <c r="C24" s="543" t="inlineStr"/>
      <c r="D24" s="543" t="inlineStr"/>
      <c r="E24" s="543" t="inlineStr"/>
      <c r="F24" s="543" t="inlineStr"/>
      <c r="G24" s="543" t="inlineStr"/>
      <c r="H24" s="543" t="inlineStr"/>
      <c r="I24" s="543" t="inlineStr"/>
      <c r="J24" s="543" t="inlineStr"/>
      <c r="K24" s="543" t="inlineStr"/>
      <c r="L24" s="543" t="inlineStr"/>
      <c r="M24" s="543" t="inlineStr"/>
      <c r="N24" s="543" t="inlineStr"/>
      <c r="O24" s="543" t="inlineStr"/>
      <c r="P24" s="543" t="inlineStr"/>
      <c r="Q24" s="543" t="inlineStr"/>
    </row>
    <row r="25" ht="33.75" customFormat="1" customHeight="1" s="483">
      <c r="A25" s="498" t="n">
        <v>4</v>
      </c>
      <c r="B25" s="545" t="inlineStr">
        <is>
          <t>理财师020</t>
        </is>
      </c>
      <c r="C25" s="498" t="n">
        <v>2</v>
      </c>
      <c r="D25" s="498" t="inlineStr">
        <is>
          <t>PWA</t>
        </is>
      </c>
      <c r="E25" s="498" t="inlineStr">
        <is>
          <t>理财师020</t>
        </is>
      </c>
      <c r="F25" s="498" t="inlineStr"/>
      <c r="G25" s="498" t="inlineStr"/>
      <c r="H25" s="498" t="inlineStr"/>
      <c r="I25" s="498" t="inlineStr"/>
      <c r="J25" s="498" t="inlineStr"/>
      <c r="K25" s="498" t="inlineStr"/>
      <c r="L25" s="498" t="inlineStr"/>
      <c r="M25" s="498" t="inlineStr"/>
      <c r="N25" s="498" t="inlineStr"/>
      <c r="O25" s="498" t="inlineStr"/>
      <c r="P25" s="498" t="inlineStr"/>
      <c r="Q25" s="498" t="inlineStr"/>
    </row>
    <row r="26" ht="31.5" customFormat="1" customHeight="1" s="483">
      <c r="A26" s="501" t="n"/>
      <c r="B26" s="501" t="n"/>
      <c r="C26" s="501" t="n"/>
      <c r="D26" s="498" t="inlineStr">
        <is>
          <t>CDO</t>
        </is>
      </c>
      <c r="E26" s="498" t="inlineStr">
        <is>
          <t>理财师032</t>
        </is>
      </c>
      <c r="F26" s="498" t="inlineStr"/>
      <c r="G26" s="498" t="inlineStr"/>
      <c r="H26" s="498" t="inlineStr"/>
      <c r="I26" s="498" t="inlineStr"/>
      <c r="J26" s="498" t="inlineStr"/>
      <c r="K26" s="498" t="inlineStr"/>
      <c r="L26" s="498" t="inlineStr"/>
      <c r="M26" s="498" t="inlineStr"/>
      <c r="N26" s="498" t="inlineStr"/>
      <c r="O26" s="498" t="inlineStr"/>
      <c r="P26" s="498" t="n">
        <v>0</v>
      </c>
      <c r="Q26" s="498" t="n">
        <v>0</v>
      </c>
    </row>
    <row r="27" ht="39.75" customFormat="1" customHeight="1" s="483">
      <c r="A27" s="537" t="inlineStr">
        <is>
          <t>汇总</t>
        </is>
      </c>
      <c r="B27" s="518" t="n"/>
      <c r="C27" s="518" t="n"/>
      <c r="D27" s="518" t="n"/>
      <c r="E27" s="519" t="n"/>
      <c r="F27" s="538">
        <f>SUM(F25:F26)</f>
        <v/>
      </c>
      <c r="G27" s="538">
        <f>SUM(G25:G26)</f>
        <v/>
      </c>
      <c r="H27" s="538">
        <f>SUM(H25:H26)</f>
        <v/>
      </c>
      <c r="I27" s="538">
        <f>SUM(I25:I26)</f>
        <v/>
      </c>
      <c r="J27" s="538">
        <f>SUM(J25:J26)</f>
        <v/>
      </c>
      <c r="K27" s="538">
        <f>SUM(K25:K26)</f>
        <v/>
      </c>
      <c r="L27" s="538">
        <f>SUM(L25:L26)</f>
        <v/>
      </c>
      <c r="M27" s="538">
        <f>SUM(M25:M26)</f>
        <v/>
      </c>
      <c r="N27" s="538">
        <f>SUM(N25:N26)</f>
        <v/>
      </c>
      <c r="O27" s="538">
        <f>SUM(O25:O26)</f>
        <v/>
      </c>
      <c r="P27" s="538">
        <f>SUM(P25:P26)</f>
        <v/>
      </c>
      <c r="Q27" s="538">
        <f>SUM(Q25:Q26)</f>
        <v/>
      </c>
    </row>
    <row r="28" ht="14.25" customFormat="1" customHeight="1" s="483">
      <c r="A28" s="543" t="inlineStr"/>
      <c r="B28" s="543" t="inlineStr"/>
      <c r="C28" s="543" t="inlineStr"/>
      <c r="D28" s="543" t="inlineStr"/>
      <c r="E28" s="543" t="inlineStr"/>
      <c r="F28" s="543" t="inlineStr"/>
      <c r="G28" s="543" t="inlineStr"/>
      <c r="H28" s="543" t="inlineStr"/>
      <c r="I28" s="543" t="inlineStr"/>
      <c r="J28" s="543" t="inlineStr"/>
      <c r="K28" s="543" t="inlineStr"/>
      <c r="L28" s="543" t="inlineStr"/>
      <c r="M28" s="543" t="inlineStr"/>
      <c r="N28" s="543" t="inlineStr"/>
      <c r="O28" s="543" t="inlineStr"/>
      <c r="P28" s="543" t="inlineStr"/>
      <c r="Q28" s="543" t="inlineStr"/>
    </row>
    <row r="29">
      <c r="A29" s="498" t="n">
        <v>5</v>
      </c>
      <c r="B29" s="545" t="inlineStr">
        <is>
          <t>理财师005</t>
        </is>
      </c>
      <c r="C29" s="545" t="n">
        <v>3</v>
      </c>
      <c r="D29" s="498" t="inlineStr">
        <is>
          <t>PWA</t>
        </is>
      </c>
      <c r="E29" s="533" t="inlineStr">
        <is>
          <t>理财师005</t>
        </is>
      </c>
      <c r="F29" s="498" t="inlineStr"/>
      <c r="G29" s="498" t="inlineStr"/>
      <c r="H29" s="498" t="inlineStr"/>
      <c r="I29" s="498" t="inlineStr"/>
      <c r="J29" s="498" t="inlineStr"/>
      <c r="K29" s="498" t="inlineStr"/>
      <c r="L29" s="498" t="inlineStr"/>
      <c r="M29" s="498" t="inlineStr"/>
      <c r="N29" s="498" t="inlineStr"/>
      <c r="O29" s="498" t="inlineStr"/>
      <c r="P29" s="498" t="inlineStr"/>
      <c r="Q29" s="498" t="inlineStr"/>
    </row>
    <row r="30" ht="14.25" customFormat="1" customHeight="1" s="483">
      <c r="A30" s="501" t="n"/>
      <c r="B30" s="501" t="n"/>
      <c r="C30" s="501" t="n"/>
      <c r="D30" s="498" t="inlineStr">
        <is>
          <t>PWA</t>
        </is>
      </c>
      <c r="E30" s="498" t="inlineStr">
        <is>
          <t>理财师026</t>
        </is>
      </c>
      <c r="F30" s="498" t="inlineStr"/>
      <c r="G30" s="498" t="inlineStr"/>
      <c r="H30" s="498" t="inlineStr"/>
      <c r="I30" s="498" t="inlineStr"/>
      <c r="J30" s="498" t="inlineStr"/>
      <c r="K30" s="498" t="inlineStr"/>
      <c r="L30" s="498" t="inlineStr"/>
      <c r="M30" s="498" t="inlineStr"/>
      <c r="N30" s="498" t="inlineStr"/>
      <c r="O30" s="498" t="n">
        <v>0</v>
      </c>
      <c r="P30" s="498" t="n">
        <v>0</v>
      </c>
      <c r="Q30" s="498" t="n">
        <v>0</v>
      </c>
    </row>
    <row r="31" ht="39.75" customFormat="1" customHeight="1" s="483">
      <c r="A31" s="537" t="inlineStr">
        <is>
          <t>汇总</t>
        </is>
      </c>
      <c r="B31" s="518" t="n"/>
      <c r="C31" s="518" t="n"/>
      <c r="D31" s="518" t="n"/>
      <c r="E31" s="519" t="n"/>
      <c r="F31" s="538">
        <f>SUM(F29:F30)</f>
        <v/>
      </c>
      <c r="G31" s="538">
        <f>SUM(G29:G30)</f>
        <v/>
      </c>
      <c r="H31" s="538">
        <f>SUM(H29:H30)</f>
        <v/>
      </c>
      <c r="I31" s="538">
        <f>SUM(I29:I30)</f>
        <v/>
      </c>
      <c r="J31" s="538">
        <f>SUM(J29:J30)</f>
        <v/>
      </c>
      <c r="K31" s="538">
        <f>SUM(K29:K30)</f>
        <v/>
      </c>
      <c r="L31" s="538">
        <f>SUM(L29:L30)</f>
        <v/>
      </c>
      <c r="M31" s="538">
        <f>SUM(M29:M30)</f>
        <v/>
      </c>
      <c r="N31" s="538">
        <f>SUM(N29:N30)</f>
        <v/>
      </c>
      <c r="O31" s="538">
        <f>SUM(O29:O30)</f>
        <v/>
      </c>
      <c r="P31" s="538">
        <f>SUM(P29:P30)</f>
        <v/>
      </c>
      <c r="Q31" s="538">
        <f>SUM(Q29:Q30)</f>
        <v/>
      </c>
    </row>
    <row r="32" ht="14.25" customFormat="1" customHeight="1" s="483">
      <c r="A32" s="543" t="inlineStr"/>
      <c r="B32" s="543" t="inlineStr"/>
      <c r="C32" s="543" t="inlineStr"/>
      <c r="D32" s="543" t="inlineStr"/>
      <c r="E32" s="543" t="inlineStr"/>
      <c r="F32" s="543" t="inlineStr"/>
      <c r="G32" s="543" t="inlineStr"/>
      <c r="H32" s="543" t="inlineStr"/>
      <c r="I32" s="543" t="inlineStr"/>
      <c r="J32" s="543" t="inlineStr"/>
      <c r="K32" s="543" t="inlineStr"/>
      <c r="L32" s="543" t="inlineStr"/>
      <c r="M32" s="543" t="inlineStr"/>
      <c r="N32" s="543" t="inlineStr"/>
      <c r="O32" s="543" t="inlineStr"/>
      <c r="P32" s="543" t="inlineStr"/>
      <c r="Q32" s="543" t="inlineStr"/>
    </row>
    <row r="33">
      <c r="A33" s="498" t="n">
        <v>6</v>
      </c>
      <c r="B33" s="545" t="inlineStr">
        <is>
          <t xml:space="preserve">理财师002
</t>
        </is>
      </c>
      <c r="C33" s="545" t="n">
        <v>3</v>
      </c>
      <c r="D33" s="498" t="inlineStr">
        <is>
          <t>PWA</t>
        </is>
      </c>
      <c r="E33" s="498" t="inlineStr">
        <is>
          <t>理财师002</t>
        </is>
      </c>
      <c r="F33" s="498" t="inlineStr"/>
      <c r="G33" s="498" t="inlineStr"/>
      <c r="H33" s="498" t="inlineStr"/>
      <c r="I33" s="498" t="inlineStr"/>
      <c r="J33" s="498" t="inlineStr"/>
      <c r="K33" s="498" t="inlineStr"/>
      <c r="L33" s="498" t="inlineStr"/>
      <c r="M33" s="498" t="inlineStr"/>
      <c r="N33" s="498" t="inlineStr"/>
      <c r="O33" s="498" t="inlineStr"/>
      <c r="P33" s="498" t="inlineStr"/>
      <c r="Q33" s="498" t="inlineStr"/>
    </row>
    <row r="34" ht="14.45" customFormat="1" customHeight="1" s="483">
      <c r="A34" s="500" t="n"/>
      <c r="B34" s="500" t="n"/>
      <c r="C34" s="500" t="n"/>
      <c r="D34" s="498" t="inlineStr">
        <is>
          <t>PWA</t>
        </is>
      </c>
      <c r="E34" s="498" t="inlineStr">
        <is>
          <t>理财师001</t>
        </is>
      </c>
      <c r="F34" s="498" t="inlineStr"/>
      <c r="G34" s="498" t="inlineStr"/>
      <c r="H34" s="498" t="inlineStr"/>
      <c r="I34" s="498" t="inlineStr"/>
      <c r="J34" s="498" t="inlineStr"/>
      <c r="K34" s="498" t="inlineStr"/>
      <c r="L34" s="498" t="inlineStr"/>
      <c r="M34" s="498" t="inlineStr"/>
      <c r="N34" s="498" t="inlineStr"/>
      <c r="O34" s="498" t="inlineStr"/>
      <c r="P34" s="498" t="inlineStr"/>
      <c r="Q34" s="498" t="inlineStr"/>
    </row>
    <row r="35" ht="14.25" customFormat="1" customHeight="1" s="483">
      <c r="A35" s="501" t="n"/>
      <c r="B35" s="501" t="n"/>
      <c r="C35" s="501" t="n"/>
      <c r="D35" s="498" t="inlineStr">
        <is>
          <t>PWA</t>
        </is>
      </c>
      <c r="E35" s="498" t="inlineStr">
        <is>
          <t>理财师027</t>
        </is>
      </c>
      <c r="F35" s="498" t="inlineStr"/>
      <c r="G35" s="498" t="n">
        <v>0</v>
      </c>
      <c r="H35" s="498" t="inlineStr"/>
      <c r="I35" s="498" t="inlineStr"/>
      <c r="J35" s="498" t="inlineStr"/>
      <c r="K35" s="498" t="inlineStr"/>
      <c r="L35" s="498" t="inlineStr"/>
      <c r="M35" s="498" t="inlineStr"/>
      <c r="N35" s="498" t="inlineStr"/>
      <c r="O35" s="498" t="n">
        <v>0</v>
      </c>
      <c r="P35" s="498" t="n">
        <v>0</v>
      </c>
      <c r="Q35" s="498" t="inlineStr"/>
    </row>
    <row r="36" ht="39.75" customFormat="1" customHeight="1" s="483">
      <c r="A36" s="537" t="inlineStr">
        <is>
          <t>汇总</t>
        </is>
      </c>
      <c r="B36" s="518" t="n"/>
      <c r="C36" s="518" t="n"/>
      <c r="D36" s="518" t="n"/>
      <c r="E36" s="519" t="n"/>
      <c r="F36" s="538">
        <f>SUM(F33:F35)</f>
        <v/>
      </c>
      <c r="G36" s="538">
        <f>SUM(G33:G35)</f>
        <v/>
      </c>
      <c r="H36" s="538">
        <f>SUM(H33:H35)</f>
        <v/>
      </c>
      <c r="I36" s="538">
        <f>SUM(I33:I35)</f>
        <v/>
      </c>
      <c r="J36" s="538">
        <f>SUM(J33:J35)</f>
        <v/>
      </c>
      <c r="K36" s="538">
        <f>SUM(K33:K35)</f>
        <v/>
      </c>
      <c r="L36" s="538">
        <f>SUM(L33:L35)</f>
        <v/>
      </c>
      <c r="M36" s="538">
        <f>SUM(M33:M35)</f>
        <v/>
      </c>
      <c r="N36" s="538">
        <f>SUM(N33:N35)</f>
        <v/>
      </c>
      <c r="O36" s="538">
        <f>SUM(O33:O35)</f>
        <v/>
      </c>
      <c r="P36" s="538">
        <f>SUM(P33:P35)</f>
        <v/>
      </c>
      <c r="Q36" s="538">
        <f>SUM(Q33:Q35)</f>
        <v/>
      </c>
    </row>
    <row r="37" ht="14.25" customFormat="1" customHeight="1" s="483">
      <c r="A37" s="543" t="inlineStr"/>
      <c r="B37" s="543" t="inlineStr"/>
      <c r="C37" s="543" t="inlineStr"/>
      <c r="D37" s="543" t="inlineStr"/>
      <c r="E37" s="543" t="inlineStr"/>
      <c r="F37" s="543" t="inlineStr"/>
      <c r="G37" s="543" t="inlineStr"/>
      <c r="H37" s="543" t="inlineStr"/>
      <c r="I37" s="543" t="inlineStr"/>
      <c r="J37" s="543" t="inlineStr"/>
      <c r="K37" s="543" t="inlineStr"/>
      <c r="L37" s="543" t="inlineStr"/>
      <c r="M37" s="543" t="inlineStr"/>
      <c r="N37" s="543" t="inlineStr"/>
      <c r="O37" s="543" t="inlineStr"/>
      <c r="P37" s="543" t="inlineStr"/>
      <c r="Q37" s="543" t="inlineStr"/>
    </row>
    <row r="38">
      <c r="A38" s="498" t="n">
        <v>7</v>
      </c>
      <c r="B38" s="545" t="inlineStr">
        <is>
          <t xml:space="preserve">理财师016
</t>
        </is>
      </c>
      <c r="C38" s="545" t="n">
        <v>4</v>
      </c>
      <c r="D38" s="498" t="inlineStr">
        <is>
          <t>PWA</t>
        </is>
      </c>
      <c r="E38" s="498" t="inlineStr">
        <is>
          <t>理财师016</t>
        </is>
      </c>
      <c r="F38" s="498" t="inlineStr"/>
      <c r="G38" s="498" t="inlineStr"/>
      <c r="H38" s="498" t="inlineStr"/>
      <c r="I38" s="498" t="inlineStr"/>
      <c r="J38" s="498" t="inlineStr"/>
      <c r="K38" s="498" t="inlineStr"/>
      <c r="L38" s="498" t="inlineStr"/>
      <c r="M38" s="498" t="inlineStr"/>
      <c r="N38" s="498" t="inlineStr"/>
      <c r="O38" s="498" t="inlineStr"/>
      <c r="P38" s="498" t="inlineStr"/>
      <c r="Q38" s="498" t="inlineStr"/>
    </row>
    <row r="39">
      <c r="A39" s="500" t="n"/>
      <c r="B39" s="500" t="n"/>
      <c r="C39" s="500" t="n"/>
      <c r="D39" s="498" t="inlineStr">
        <is>
          <t>PWA</t>
        </is>
      </c>
      <c r="E39" s="498" t="inlineStr">
        <is>
          <t>理财师015</t>
        </is>
      </c>
      <c r="F39" s="498" t="inlineStr"/>
      <c r="G39" s="498" t="inlineStr"/>
      <c r="H39" s="498" t="inlineStr"/>
      <c r="I39" s="498" t="inlineStr"/>
      <c r="J39" s="498" t="inlineStr"/>
      <c r="K39" s="498" t="inlineStr"/>
      <c r="L39" s="498" t="inlineStr"/>
      <c r="M39" s="498" t="inlineStr"/>
      <c r="N39" s="498" t="inlineStr"/>
      <c r="O39" s="498" t="inlineStr"/>
      <c r="P39" s="498" t="inlineStr"/>
      <c r="Q39" s="498" t="inlineStr"/>
    </row>
    <row r="40">
      <c r="A40" s="500" t="n"/>
      <c r="B40" s="500" t="n"/>
      <c r="C40" s="500" t="n"/>
      <c r="D40" s="498" t="inlineStr">
        <is>
          <t>PWA</t>
        </is>
      </c>
      <c r="E40" s="498" t="inlineStr">
        <is>
          <t>理财师208</t>
        </is>
      </c>
      <c r="F40" s="498" t="inlineStr"/>
      <c r="G40" s="498" t="n">
        <v>0</v>
      </c>
      <c r="H40" s="498" t="inlineStr"/>
      <c r="I40" s="498" t="inlineStr"/>
      <c r="J40" s="498" t="inlineStr"/>
      <c r="K40" s="498" t="inlineStr"/>
      <c r="L40" s="498" t="inlineStr"/>
      <c r="M40" s="498" t="inlineStr"/>
      <c r="N40" s="498" t="inlineStr"/>
      <c r="O40" s="498" t="inlineStr"/>
      <c r="P40" s="498" t="inlineStr"/>
      <c r="Q40" s="498" t="inlineStr"/>
    </row>
    <row r="41" ht="14.25" customFormat="1" customHeight="1" s="483">
      <c r="A41" s="501" t="n"/>
      <c r="B41" s="501" t="n"/>
      <c r="C41" s="501" t="n"/>
      <c r="D41" s="498" t="inlineStr">
        <is>
          <t>PWA</t>
        </is>
      </c>
      <c r="E41" s="498" t="inlineStr">
        <is>
          <t>理财师028</t>
        </is>
      </c>
      <c r="F41" s="498" t="n">
        <v>0</v>
      </c>
      <c r="G41" s="498" t="n">
        <v>0</v>
      </c>
      <c r="H41" s="498" t="n">
        <v>0</v>
      </c>
      <c r="I41" s="498" t="n">
        <v>0</v>
      </c>
      <c r="J41" s="498" t="n">
        <v>0</v>
      </c>
      <c r="K41" s="498" t="n">
        <v>0</v>
      </c>
      <c r="L41" s="498" t="n">
        <v>0</v>
      </c>
      <c r="M41" s="498" t="n">
        <v>0</v>
      </c>
      <c r="N41" s="498" t="n">
        <v>0</v>
      </c>
      <c r="O41" s="498" t="n">
        <v>0</v>
      </c>
      <c r="P41" s="498" t="n">
        <v>0</v>
      </c>
      <c r="Q41" s="498" t="n">
        <v>0</v>
      </c>
    </row>
    <row r="42" ht="39.75" customFormat="1" customHeight="1" s="483">
      <c r="A42" s="537" t="inlineStr">
        <is>
          <t>汇总</t>
        </is>
      </c>
      <c r="B42" s="518" t="n"/>
      <c r="C42" s="518" t="n"/>
      <c r="D42" s="518" t="n"/>
      <c r="E42" s="519" t="n"/>
      <c r="F42" s="538">
        <f>SUM(F38:F41)</f>
        <v/>
      </c>
      <c r="G42" s="538">
        <f>SUM(G38:G41)</f>
        <v/>
      </c>
      <c r="H42" s="538">
        <f>SUM(H38:H41)</f>
        <v/>
      </c>
      <c r="I42" s="538">
        <f>SUM(I38:I41)</f>
        <v/>
      </c>
      <c r="J42" s="538">
        <f>SUM(J38:J41)</f>
        <v/>
      </c>
      <c r="K42" s="538">
        <f>SUM(K38:K41)</f>
        <v/>
      </c>
      <c r="L42" s="538">
        <f>SUM(L38:L41)</f>
        <v/>
      </c>
      <c r="M42" s="538">
        <f>SUM(M38:M41)</f>
        <v/>
      </c>
      <c r="N42" s="538">
        <f>SUM(N38:N41)</f>
        <v/>
      </c>
      <c r="O42" s="538">
        <f>SUM(O38:O41)</f>
        <v/>
      </c>
      <c r="P42" s="538">
        <f>SUM(P38:P41)</f>
        <v/>
      </c>
      <c r="Q42" s="538">
        <f>SUM(Q38:Q41)</f>
        <v/>
      </c>
    </row>
    <row r="43" ht="14.25" customFormat="1" customHeight="1" s="483">
      <c r="A43" s="543" t="inlineStr"/>
      <c r="B43" s="543" t="inlineStr"/>
      <c r="C43" s="543" t="inlineStr"/>
      <c r="D43" s="543" t="inlineStr"/>
      <c r="E43" s="543" t="inlineStr"/>
      <c r="F43" s="543" t="inlineStr"/>
      <c r="G43" s="543" t="inlineStr"/>
      <c r="H43" s="543" t="inlineStr"/>
      <c r="I43" s="543" t="inlineStr"/>
      <c r="J43" s="543" t="inlineStr"/>
      <c r="K43" s="543" t="inlineStr"/>
      <c r="L43" s="543" t="inlineStr"/>
      <c r="M43" s="543" t="inlineStr"/>
      <c r="N43" s="543" t="inlineStr"/>
      <c r="O43" s="543" t="inlineStr"/>
      <c r="P43" s="543" t="inlineStr"/>
      <c r="Q43" s="543" t="inlineStr"/>
    </row>
    <row r="44">
      <c r="A44" s="498" t="n">
        <v>8</v>
      </c>
      <c r="B44" s="545" t="inlineStr">
        <is>
          <t xml:space="preserve">理财师009
</t>
        </is>
      </c>
      <c r="C44" s="545" t="n">
        <v>3</v>
      </c>
      <c r="D44" s="498" t="inlineStr">
        <is>
          <t>PWA</t>
        </is>
      </c>
      <c r="E44" s="498" t="inlineStr">
        <is>
          <t>理财师009</t>
        </is>
      </c>
      <c r="F44" s="498" t="inlineStr"/>
      <c r="G44" s="498" t="inlineStr"/>
      <c r="H44" s="498" t="inlineStr"/>
      <c r="I44" s="498" t="inlineStr"/>
      <c r="J44" s="498" t="inlineStr"/>
      <c r="K44" s="498" t="inlineStr"/>
      <c r="L44" s="498" t="inlineStr"/>
      <c r="M44" s="498" t="inlineStr"/>
      <c r="N44" s="498" t="inlineStr"/>
      <c r="O44" s="498" t="inlineStr"/>
      <c r="P44" s="498" t="inlineStr"/>
      <c r="Q44" s="498" t="inlineStr"/>
    </row>
    <row r="45">
      <c r="A45" s="500" t="n"/>
      <c r="B45" s="500" t="n"/>
      <c r="C45" s="500" t="n"/>
      <c r="D45" s="498" t="inlineStr">
        <is>
          <t>PWA</t>
        </is>
      </c>
      <c r="E45" s="498" t="inlineStr">
        <is>
          <t>理财师048</t>
        </is>
      </c>
      <c r="F45" s="498" t="inlineStr"/>
      <c r="G45" s="498" t="inlineStr"/>
      <c r="H45" s="498" t="inlineStr"/>
      <c r="I45" s="498" t="inlineStr"/>
      <c r="J45" s="498" t="inlineStr"/>
      <c r="K45" s="498" t="inlineStr"/>
      <c r="L45" s="498" t="inlineStr"/>
      <c r="M45" s="498" t="inlineStr"/>
      <c r="N45" s="498" t="inlineStr"/>
      <c r="O45" s="498" t="inlineStr"/>
      <c r="P45" s="498" t="inlineStr"/>
      <c r="Q45" s="498" t="inlineStr"/>
    </row>
    <row r="46" ht="14.25" customFormat="1" customHeight="1" s="483">
      <c r="A46" s="501" t="n"/>
      <c r="B46" s="501" t="n"/>
      <c r="C46" s="501" t="n"/>
      <c r="D46" s="498" t="inlineStr">
        <is>
          <t>PWA</t>
        </is>
      </c>
      <c r="E46" s="498" t="inlineStr">
        <is>
          <t>理财师010</t>
        </is>
      </c>
      <c r="F46" s="498" t="inlineStr"/>
      <c r="G46" s="498" t="inlineStr"/>
      <c r="H46" s="498" t="inlineStr"/>
      <c r="I46" s="498" t="inlineStr"/>
      <c r="J46" s="498" t="inlineStr"/>
      <c r="K46" s="498" t="inlineStr"/>
      <c r="L46" s="498" t="inlineStr"/>
      <c r="M46" s="498" t="inlineStr"/>
      <c r="N46" s="498" t="inlineStr"/>
      <c r="O46" s="498" t="inlineStr"/>
      <c r="P46" s="498" t="inlineStr"/>
      <c r="Q46" s="498" t="inlineStr"/>
    </row>
    <row r="47" ht="39.75" customFormat="1" customHeight="1" s="483">
      <c r="A47" s="537" t="inlineStr">
        <is>
          <t>汇总</t>
        </is>
      </c>
      <c r="B47" s="518" t="n"/>
      <c r="C47" s="518" t="n"/>
      <c r="D47" s="518" t="n"/>
      <c r="E47" s="519" t="n"/>
      <c r="F47" s="538">
        <f>SUM(F43:F46)</f>
        <v/>
      </c>
      <c r="G47" s="538">
        <f>SUM(G43:G46)</f>
        <v/>
      </c>
      <c r="H47" s="538">
        <f>SUM(H43:H46)</f>
        <v/>
      </c>
      <c r="I47" s="538">
        <f>SUM(I43:I46)</f>
        <v/>
      </c>
      <c r="J47" s="538">
        <f>SUM(J43:J46)</f>
        <v/>
      </c>
      <c r="K47" s="538">
        <f>SUM(K43:K46)</f>
        <v/>
      </c>
      <c r="L47" s="538">
        <f>SUM(L43:L46)</f>
        <v/>
      </c>
      <c r="M47" s="538">
        <f>SUM(M43:M46)</f>
        <v/>
      </c>
      <c r="N47" s="538">
        <f>SUM(N43:N46)</f>
        <v/>
      </c>
      <c r="O47" s="538">
        <f>SUM(O43:O46)</f>
        <v/>
      </c>
      <c r="P47" s="538">
        <f>SUM(P43:P46)</f>
        <v/>
      </c>
      <c r="Q47" s="538">
        <f>SUM(Q43:Q46)</f>
        <v/>
      </c>
    </row>
    <row r="48" ht="14.25" customFormat="1" customHeight="1" s="483">
      <c r="A48" s="543" t="inlineStr"/>
      <c r="B48" s="543" t="inlineStr"/>
      <c r="C48" s="543" t="inlineStr"/>
      <c r="D48" s="543" t="inlineStr"/>
      <c r="E48" s="543" t="inlineStr"/>
      <c r="F48" s="543" t="inlineStr"/>
      <c r="G48" s="543" t="inlineStr"/>
      <c r="H48" s="543" t="inlineStr"/>
      <c r="I48" s="543" t="inlineStr"/>
      <c r="J48" s="543" t="inlineStr"/>
      <c r="K48" s="543" t="inlineStr"/>
      <c r="L48" s="543" t="inlineStr"/>
      <c r="M48" s="543" t="inlineStr"/>
      <c r="N48" s="543" t="inlineStr"/>
      <c r="O48" s="543" t="inlineStr"/>
      <c r="P48" s="543" t="inlineStr"/>
      <c r="Q48" s="543" t="inlineStr"/>
    </row>
    <row r="49">
      <c r="A49" s="498" t="n">
        <v>9</v>
      </c>
      <c r="B49" s="545" t="inlineStr">
        <is>
          <t xml:space="preserve">理财师008
</t>
        </is>
      </c>
      <c r="C49" s="545" t="n">
        <v>2</v>
      </c>
      <c r="D49" s="498" t="inlineStr">
        <is>
          <t xml:space="preserve">PWA </t>
        </is>
      </c>
      <c r="E49" s="498" t="inlineStr">
        <is>
          <t>理财师008</t>
        </is>
      </c>
      <c r="F49" s="498" t="inlineStr"/>
      <c r="G49" s="498" t="inlineStr"/>
      <c r="H49" s="498" t="inlineStr"/>
      <c r="I49" s="498" t="inlineStr"/>
      <c r="J49" s="498" t="inlineStr"/>
      <c r="K49" s="498" t="inlineStr"/>
      <c r="L49" s="498" t="inlineStr"/>
      <c r="M49" s="498" t="inlineStr"/>
      <c r="N49" s="498" t="inlineStr"/>
      <c r="O49" s="498" t="inlineStr"/>
      <c r="P49" s="498" t="inlineStr"/>
      <c r="Q49" s="498" t="inlineStr"/>
    </row>
    <row r="50" ht="14.25" customFormat="1" customHeight="1" s="483">
      <c r="A50" s="501" t="n"/>
      <c r="B50" s="501" t="n"/>
      <c r="C50" s="501" t="n"/>
      <c r="D50" s="498" t="inlineStr">
        <is>
          <t xml:space="preserve">PWA </t>
        </is>
      </c>
      <c r="E50" s="498" t="inlineStr">
        <is>
          <t>理财师011</t>
        </is>
      </c>
      <c r="F50" s="498" t="inlineStr"/>
      <c r="G50" s="498" t="inlineStr"/>
      <c r="H50" s="498" t="inlineStr"/>
      <c r="I50" s="498" t="inlineStr"/>
      <c r="J50" s="498" t="inlineStr"/>
      <c r="K50" s="498" t="inlineStr"/>
      <c r="L50" s="498" t="inlineStr"/>
      <c r="M50" s="498" t="inlineStr"/>
      <c r="N50" s="498" t="inlineStr"/>
      <c r="O50" s="498" t="inlineStr"/>
      <c r="P50" s="498" t="inlineStr"/>
      <c r="Q50" s="498" t="inlineStr"/>
    </row>
    <row r="51" ht="39.75" customFormat="1" customHeight="1" s="483">
      <c r="A51" s="537" t="inlineStr">
        <is>
          <t>汇总</t>
        </is>
      </c>
      <c r="B51" s="518" t="n"/>
      <c r="C51" s="518" t="n"/>
      <c r="D51" s="518" t="n"/>
      <c r="E51" s="519" t="n"/>
      <c r="F51" s="538">
        <f>SUM(F49:F50)</f>
        <v/>
      </c>
      <c r="G51" s="538">
        <f>SUM(G49:G50)</f>
        <v/>
      </c>
      <c r="H51" s="538">
        <f>SUM(H49:H50)</f>
        <v/>
      </c>
      <c r="I51" s="538">
        <f>SUM(I49:I50)</f>
        <v/>
      </c>
      <c r="J51" s="538">
        <f>SUM(J49:J50)</f>
        <v/>
      </c>
      <c r="K51" s="538">
        <f>SUM(K49:K50)</f>
        <v/>
      </c>
      <c r="L51" s="538">
        <f>SUM(L49:L50)</f>
        <v/>
      </c>
      <c r="M51" s="538">
        <f>SUM(M49:M50)</f>
        <v/>
      </c>
      <c r="N51" s="538">
        <f>SUM(N49:N50)</f>
        <v/>
      </c>
      <c r="O51" s="538">
        <f>SUM(O49:O50)</f>
        <v/>
      </c>
      <c r="P51" s="538">
        <f>SUM(P49:P50)</f>
        <v/>
      </c>
      <c r="Q51" s="538">
        <f>SUM(Q49:Q50)</f>
        <v/>
      </c>
    </row>
    <row r="52" ht="14.25" customFormat="1" customHeight="1" s="483">
      <c r="A52" s="543" t="inlineStr"/>
      <c r="B52" s="543" t="inlineStr"/>
      <c r="C52" s="543" t="inlineStr"/>
      <c r="D52" s="543" t="inlineStr"/>
      <c r="E52" s="543" t="inlineStr"/>
      <c r="F52" s="543" t="inlineStr"/>
      <c r="G52" s="543" t="inlineStr"/>
      <c r="H52" s="543" t="inlineStr"/>
      <c r="I52" s="543" t="inlineStr"/>
      <c r="J52" s="543" t="inlineStr"/>
      <c r="K52" s="543" t="inlineStr"/>
      <c r="L52" s="543" t="inlineStr"/>
      <c r="M52" s="543" t="inlineStr"/>
      <c r="N52" s="543" t="inlineStr"/>
      <c r="O52" s="543" t="inlineStr"/>
      <c r="P52" s="543" t="inlineStr"/>
      <c r="Q52" s="543" t="inlineStr"/>
    </row>
    <row r="53">
      <c r="A53" s="498" t="n">
        <v>10</v>
      </c>
      <c r="B53" s="498" t="inlineStr">
        <is>
          <t>Sam</t>
        </is>
      </c>
      <c r="C53" s="545" t="n">
        <v>6</v>
      </c>
      <c r="D53" s="498" t="inlineStr">
        <is>
          <t>MD</t>
        </is>
      </c>
      <c r="E53" s="498" t="inlineStr">
        <is>
          <t>理财师004</t>
        </is>
      </c>
      <c r="F53" s="498" t="inlineStr"/>
      <c r="G53" s="498" t="inlineStr"/>
      <c r="H53" s="498" t="inlineStr"/>
      <c r="I53" s="498" t="inlineStr"/>
      <c r="J53" s="498" t="inlineStr"/>
      <c r="K53" s="498" t="inlineStr"/>
      <c r="L53" s="498" t="inlineStr"/>
      <c r="M53" s="498" t="inlineStr"/>
      <c r="N53" s="498" t="inlineStr"/>
      <c r="O53" s="498" t="inlineStr"/>
      <c r="P53" s="498" t="inlineStr"/>
      <c r="Q53" s="498" t="inlineStr"/>
    </row>
    <row r="54">
      <c r="A54" s="500" t="n"/>
      <c r="B54" s="500" t="n"/>
      <c r="C54" s="500" t="n"/>
      <c r="D54" s="498" t="inlineStr">
        <is>
          <t xml:space="preserve">PWA </t>
        </is>
      </c>
      <c r="E54" s="498" t="inlineStr">
        <is>
          <t>理财师012</t>
        </is>
      </c>
      <c r="F54" s="498" t="inlineStr"/>
      <c r="G54" s="498" t="inlineStr"/>
      <c r="H54" s="498" t="inlineStr"/>
      <c r="I54" s="498" t="inlineStr"/>
      <c r="J54" s="498" t="inlineStr"/>
      <c r="K54" s="498" t="inlineStr"/>
      <c r="L54" s="498" t="inlineStr"/>
      <c r="M54" s="498" t="inlineStr"/>
      <c r="N54" s="498" t="inlineStr"/>
      <c r="O54" s="498" t="inlineStr"/>
      <c r="P54" s="498" t="inlineStr"/>
      <c r="Q54" s="498" t="inlineStr"/>
    </row>
    <row r="55">
      <c r="A55" s="500" t="n"/>
      <c r="B55" s="500" t="n"/>
      <c r="C55" s="500" t="n"/>
      <c r="D55" s="498" t="inlineStr">
        <is>
          <t xml:space="preserve">PWA </t>
        </is>
      </c>
      <c r="E55" s="498" t="inlineStr">
        <is>
          <t>理财师006</t>
        </is>
      </c>
      <c r="F55" s="498" t="inlineStr"/>
      <c r="G55" s="498" t="inlineStr"/>
      <c r="H55" s="498" t="inlineStr"/>
      <c r="I55" s="498" t="inlineStr"/>
      <c r="J55" s="498" t="inlineStr"/>
      <c r="K55" s="498" t="inlineStr"/>
      <c r="L55" s="498" t="inlineStr"/>
      <c r="M55" s="498" t="inlineStr"/>
      <c r="N55" s="498" t="inlineStr"/>
      <c r="O55" s="498" t="inlineStr"/>
      <c r="P55" s="498" t="inlineStr"/>
      <c r="Q55" s="498" t="inlineStr"/>
    </row>
    <row r="56">
      <c r="A56" s="500" t="n"/>
      <c r="B56" s="500" t="n"/>
      <c r="C56" s="500" t="n"/>
      <c r="D56" s="498" t="inlineStr">
        <is>
          <t xml:space="preserve">PWA </t>
        </is>
      </c>
      <c r="E56" s="498" t="inlineStr">
        <is>
          <t>理财师003</t>
        </is>
      </c>
      <c r="F56" s="498" t="inlineStr"/>
      <c r="G56" s="498" t="inlineStr"/>
      <c r="H56" s="498" t="inlineStr"/>
      <c r="I56" s="498" t="inlineStr"/>
      <c r="J56" s="498" t="inlineStr"/>
      <c r="K56" s="498" t="inlineStr"/>
      <c r="L56" s="498" t="inlineStr"/>
      <c r="M56" s="498" t="inlineStr"/>
      <c r="N56" s="498" t="inlineStr"/>
      <c r="O56" s="498" t="inlineStr"/>
      <c r="P56" s="498" t="inlineStr"/>
      <c r="Q56" s="498" t="inlineStr"/>
    </row>
    <row r="57">
      <c r="A57" s="500" t="n"/>
      <c r="B57" s="500" t="n"/>
      <c r="C57" s="500" t="n"/>
      <c r="D57" s="498" t="inlineStr">
        <is>
          <t>渠道</t>
        </is>
      </c>
      <c r="E57" s="498" t="inlineStr">
        <is>
          <t>理财师186</t>
        </is>
      </c>
      <c r="F57" s="498" t="inlineStr"/>
      <c r="G57" s="498" t="inlineStr"/>
      <c r="H57" s="498" t="inlineStr"/>
      <c r="I57" s="498" t="inlineStr"/>
      <c r="J57" s="498" t="inlineStr"/>
      <c r="K57" s="498" t="inlineStr"/>
      <c r="L57" s="498" t="inlineStr"/>
      <c r="M57" s="498" t="inlineStr"/>
      <c r="N57" s="498" t="inlineStr"/>
      <c r="O57" s="498" t="inlineStr"/>
      <c r="P57" s="498" t="inlineStr"/>
      <c r="Q57" s="498" t="inlineStr"/>
    </row>
    <row r="58" ht="14.25" customFormat="1" customHeight="1" s="483">
      <c r="A58" s="501" t="n"/>
      <c r="B58" s="501" t="n"/>
      <c r="C58" s="501" t="n"/>
      <c r="D58" s="498" t="inlineStr">
        <is>
          <t>AE</t>
        </is>
      </c>
      <c r="E58" s="498" t="inlineStr">
        <is>
          <t>理财师036</t>
        </is>
      </c>
      <c r="F58" s="498" t="inlineStr"/>
      <c r="G58" s="498" t="inlineStr"/>
      <c r="H58" s="498" t="inlineStr"/>
      <c r="I58" s="498" t="inlineStr"/>
      <c r="J58" s="498" t="inlineStr"/>
      <c r="K58" s="498" t="inlineStr"/>
      <c r="L58" s="498" t="inlineStr"/>
      <c r="M58" s="498" t="inlineStr"/>
      <c r="N58" s="498" t="inlineStr"/>
      <c r="O58" s="498" t="inlineStr"/>
      <c r="P58" s="498" t="n">
        <v>0</v>
      </c>
      <c r="Q58" s="498" t="n">
        <v>0</v>
      </c>
    </row>
    <row r="59" ht="39.75" customFormat="1" customHeight="1" s="483">
      <c r="A59" s="537" t="inlineStr">
        <is>
          <t>汇总</t>
        </is>
      </c>
      <c r="B59" s="518" t="n"/>
      <c r="C59" s="518" t="n"/>
      <c r="D59" s="518" t="n"/>
      <c r="E59" s="519" t="n"/>
      <c r="F59" s="538">
        <f>SUM(F53:F58)</f>
        <v/>
      </c>
      <c r="G59" s="538">
        <f>SUM(G53:G58)</f>
        <v/>
      </c>
      <c r="H59" s="538">
        <f>SUM(H53:H58)</f>
        <v/>
      </c>
      <c r="I59" s="538">
        <f>SUM(I53:I58)</f>
        <v/>
      </c>
      <c r="J59" s="538">
        <f>SUM(J53:J58)</f>
        <v/>
      </c>
      <c r="K59" s="538">
        <f>SUM(K53:K58)</f>
        <v/>
      </c>
      <c r="L59" s="538">
        <f>SUM(L53:L58)</f>
        <v/>
      </c>
      <c r="M59" s="538">
        <f>SUM(M53:M58)</f>
        <v/>
      </c>
      <c r="N59" s="538">
        <f>SUM(N53:N58)</f>
        <v/>
      </c>
      <c r="O59" s="538">
        <f>SUM(O53:O58)</f>
        <v/>
      </c>
      <c r="P59" s="538">
        <f>SUM(P53:P58)</f>
        <v/>
      </c>
      <c r="Q59" s="538">
        <f>SUM(Q53:Q58)</f>
        <v/>
      </c>
    </row>
    <row r="60" ht="14.25" customFormat="1" customHeight="1" s="483">
      <c r="A60" s="543" t="inlineStr"/>
      <c r="B60" s="543" t="inlineStr"/>
      <c r="C60" s="543" t="inlineStr"/>
      <c r="D60" s="543" t="inlineStr"/>
      <c r="E60" s="543" t="inlineStr"/>
      <c r="F60" s="543" t="inlineStr"/>
      <c r="G60" s="543" t="inlineStr"/>
      <c r="H60" s="543" t="inlineStr"/>
      <c r="I60" s="543" t="inlineStr"/>
      <c r="J60" s="543" t="inlineStr"/>
      <c r="K60" s="543" t="inlineStr"/>
      <c r="L60" s="543" t="inlineStr"/>
      <c r="M60" s="543" t="inlineStr"/>
      <c r="N60" s="543" t="inlineStr"/>
      <c r="O60" s="543" t="inlineStr"/>
      <c r="P60" s="543" t="inlineStr"/>
      <c r="Q60" s="543" t="inlineStr"/>
    </row>
  </sheetData>
  <mergeCells count="66">
    <mergeCell ref="A18:A22"/>
    <mergeCell ref="B4:B9"/>
    <mergeCell ref="A59:E59"/>
    <mergeCell ref="B12:B15"/>
    <mergeCell ref="C29:C30"/>
    <mergeCell ref="A51:E51"/>
    <mergeCell ref="A33:A35"/>
    <mergeCell ref="B33:B35"/>
    <mergeCell ref="M2:M3"/>
    <mergeCell ref="B2:B3"/>
    <mergeCell ref="A36:E36"/>
    <mergeCell ref="N2:N3"/>
    <mergeCell ref="D2:D3"/>
    <mergeCell ref="F2:F3"/>
    <mergeCell ref="P2:P3"/>
    <mergeCell ref="A1:Q1"/>
    <mergeCell ref="H2:H3"/>
    <mergeCell ref="B29:B30"/>
    <mergeCell ref="AB2:AG2"/>
    <mergeCell ref="A44:A46"/>
    <mergeCell ref="S2:S3"/>
    <mergeCell ref="C4:C9"/>
    <mergeCell ref="A16:E16"/>
    <mergeCell ref="A25:A26"/>
    <mergeCell ref="C25:C26"/>
    <mergeCell ref="A12:A15"/>
    <mergeCell ref="C12:C15"/>
    <mergeCell ref="A2:A3"/>
    <mergeCell ref="C33:C35"/>
    <mergeCell ref="C2:C3"/>
    <mergeCell ref="B38:B41"/>
    <mergeCell ref="T2:T3"/>
    <mergeCell ref="E2:E3"/>
    <mergeCell ref="K2:K3"/>
    <mergeCell ref="A27:E27"/>
    <mergeCell ref="AH2:AH3"/>
    <mergeCell ref="C18:C22"/>
    <mergeCell ref="B49:B50"/>
    <mergeCell ref="A42:E42"/>
    <mergeCell ref="A29:A30"/>
    <mergeCell ref="A47:E47"/>
    <mergeCell ref="O2:O3"/>
    <mergeCell ref="A23:E23"/>
    <mergeCell ref="U2:AA2"/>
    <mergeCell ref="Q2:Q3"/>
    <mergeCell ref="AI2:AI3"/>
    <mergeCell ref="B53:B58"/>
    <mergeCell ref="C38:C41"/>
    <mergeCell ref="J2:J3"/>
    <mergeCell ref="AK2:AK3"/>
    <mergeCell ref="L2:L3"/>
    <mergeCell ref="C44:C46"/>
    <mergeCell ref="B18:B22"/>
    <mergeCell ref="A4:A9"/>
    <mergeCell ref="A38:A41"/>
    <mergeCell ref="A10:E10"/>
    <mergeCell ref="A53:A58"/>
    <mergeCell ref="C53:C58"/>
    <mergeCell ref="B44:B46"/>
    <mergeCell ref="B25:B26"/>
    <mergeCell ref="A49:A50"/>
    <mergeCell ref="A31:E31"/>
    <mergeCell ref="C49:C50"/>
    <mergeCell ref="G2:G3"/>
    <mergeCell ref="AJ2:AJ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zoomScale="85" zoomScaleNormal="85" workbookViewId="0">
      <selection activeCell="A1" sqref="A1"/>
    </sheetView>
  </sheetViews>
  <sheetFormatPr baseColWidth="8" defaultColWidth="9" defaultRowHeight="63.95" customHeight="1" outlineLevelRow="4"/>
  <cols>
    <col width="12.5" customWidth="1" style="483" min="2" max="2"/>
    <col width="42.125" customWidth="1" style="483" min="3" max="3"/>
    <col width="11" customWidth="1" style="483" min="4" max="4"/>
    <col width="53.5" customWidth="1" style="483" min="5" max="5"/>
    <col width="18" customWidth="1" style="483" min="6" max="6"/>
    <col width="23.875" customWidth="1" style="483" min="7" max="7"/>
  </cols>
  <sheetData>
    <row r="1" ht="21" customFormat="1" customHeight="1" s="483">
      <c r="A1" s="546" t="inlineStr">
        <is>
          <t>客户分配规则     业务线负责人</t>
        </is>
      </c>
    </row>
    <row r="2" ht="17.1" customFormat="1" customHeight="1" s="483">
      <c r="A2" s="496" t="inlineStr">
        <is>
          <t>序号</t>
        </is>
      </c>
      <c r="B2" s="547" t="inlineStr">
        <is>
          <t>客户类型</t>
        </is>
      </c>
      <c r="C2" s="547" t="inlineStr">
        <is>
          <t>客户定义</t>
        </is>
      </c>
      <c r="D2" s="547" t="inlineStr">
        <is>
          <t>客户数量</t>
        </is>
      </c>
      <c r="E2" s="547" t="inlineStr">
        <is>
          <t>分配规则</t>
        </is>
      </c>
      <c r="F2" s="547" t="inlineStr">
        <is>
          <t>客户激活激励政策</t>
        </is>
      </c>
      <c r="G2" s="547" t="inlineStr">
        <is>
          <t>理财师激励政策</t>
        </is>
      </c>
    </row>
    <row r="3" ht="131.45" customFormat="1" customHeight="1" s="483">
      <c r="A3" s="548" t="n">
        <v>1</v>
      </c>
      <c r="B3" s="547" t="inlineStr">
        <is>
          <t>集团客户A类</t>
        </is>
      </c>
      <c r="C3" s="549" t="inlineStr">
        <is>
          <t>未确认客户归属且无AE code</t>
        </is>
      </c>
      <c r="D3" s="547" t="inlineStr"/>
      <c r="E3" s="549" t="inlineStr">
        <is>
          <t>第一次分配：按过去一年团队业绩贡献占比分配名单。在分配名单后6个月内激活，激活标准：新入金5万美金且成交非经纪业务。不满足此要求，则进行二次分配。
第二次分配规则：分配客户6个月内没有新的成交记录或未被激活，由团队长在团队内部重新分配，最多分配不超过2次。分配后再次触发重新分配情形的，由部门总经理在部门内部重新分配。</t>
        </is>
      </c>
      <c r="F3" s="549" t="inlineStr">
        <is>
          <t xml:space="preserve">1、PI新认证奖励：50美金
2、新入金：5万美金-66美金/10万美金-166美金
</t>
        </is>
      </c>
      <c r="G3" s="549" t="inlineStr">
        <is>
          <t xml:space="preserve">1、PI认证奖励，每个300HKD
2、客户单笔成交金额大于等于5万美金，折标1.1系数
</t>
        </is>
      </c>
    </row>
    <row r="4" ht="81.95" customFormat="1" customHeight="1" s="483">
      <c r="A4" s="548" t="n">
        <v>2</v>
      </c>
      <c r="B4" s="548" t="inlineStr">
        <is>
          <t>集团客户B类</t>
        </is>
      </c>
      <c r="C4" s="548" t="inlineStr">
        <is>
          <t>25年930未签署新协议且无申请承继客户</t>
        </is>
      </c>
      <c r="D4" s="548" t="inlineStr"/>
      <c r="E4" s="550" t="inlineStr">
        <is>
          <t>优先分配给第一批指定理财师跟进服务，分配客户6个月内没有新的成交记录或未被激活【新入金5万美金且成交非经纪业务】，由团队长在团队内部重新分配，最多分配不超过2次。分配后再次触发重新分配情形的，由部门总经理在部门内部重新分配。</t>
        </is>
      </c>
      <c r="F4" s="500" t="n"/>
      <c r="G4" s="500" t="n"/>
    </row>
    <row r="5" ht="87" customFormat="1" customHeight="1" s="483">
      <c r="A5" s="548" t="n">
        <v>3</v>
      </c>
      <c r="B5" s="548" t="inlineStr">
        <is>
          <t>理财师276</t>
        </is>
      </c>
      <c r="C5" s="548" t="inlineStr">
        <is>
          <t>超过2年或以上无交易的指定、承继及渠道客户</t>
        </is>
      </c>
      <c r="D5" s="548" t="inlineStr"/>
      <c r="E5" s="550" t="inlineStr">
        <is>
          <t>自规则颁布起6个月内，该批沉睡客户没有新的成交记录或未被激活【新入金5万美金且成交非经纪业务】，由团队长在团队内部重新分配，最多分配不超过2次。分配后再次触发重新分配情形的，由部门总经理在部门内部重新分配。</t>
        </is>
      </c>
      <c r="F5" s="501" t="n"/>
      <c r="G5" s="501" t="n"/>
    </row>
  </sheetData>
  <mergeCells count="3">
    <mergeCell ref="F3:F5"/>
    <mergeCell ref="A1:G1"/>
    <mergeCell ref="G3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1" zoomScale="90" zoomScaleNormal="90" workbookViewId="0">
      <pane xSplit="1" ySplit="3" topLeftCell="B4" activePane="bottomRight" state="frozen"/>
      <selection activeCell="A1" sqref="A1"/>
    </sheetView>
  </sheetViews>
  <sheetFormatPr baseColWidth="8" defaultColWidth="9" defaultRowHeight="16.8"/>
  <cols>
    <col width="31.125" customWidth="1" style="483" min="3" max="3"/>
    <col width="13" customWidth="1" style="483" min="4" max="4"/>
    <col width="14.625" customWidth="1" style="483" min="5" max="5"/>
    <col width="13.5" customWidth="1" style="484" min="6" max="6"/>
    <col width="17.5" customWidth="1" style="533" min="7" max="7"/>
    <col width="9.875" customWidth="1" style="483" min="8" max="9"/>
    <col width="11.375" customWidth="1" style="483" min="10" max="10"/>
    <col width="9" customWidth="1" style="483" min="11" max="11"/>
    <col width="7.375" customWidth="1" style="483" min="12" max="12"/>
    <col width="13" customWidth="1" style="483" min="14" max="14"/>
    <col width="13.625" customWidth="1" style="483" min="15" max="15"/>
    <col width="12.25" customWidth="1" style="483" min="16" max="16"/>
    <col width="18.75" customWidth="1" style="483" min="17" max="17"/>
    <col width="12.875" customWidth="1" style="483" min="18" max="18"/>
    <col width="14" customWidth="1" style="483" min="21" max="21"/>
    <col width="14.125" customWidth="1" style="483" min="22" max="22"/>
  </cols>
  <sheetData>
    <row r="1" ht="20.25" customFormat="1" customHeight="1" s="483">
      <c r="A1" s="754" t="inlineStr">
        <is>
          <t>私人财富管理部折标销售进度表-截止20260130    销管+销售助理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552" t="inlineStr">
        <is>
          <t>上半年时间进度</t>
        </is>
      </c>
      <c r="R1" s="70">
        <f>W7</f>
        <v/>
      </c>
    </row>
    <row r="2" ht="25.5" customFormat="1" customHeight="1" s="55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传统202601</t>
        </is>
      </c>
      <c r="I2" s="506" t="inlineStr">
        <is>
          <t>保险202601</t>
        </is>
      </c>
      <c r="J2" s="506" t="inlineStr">
        <is>
          <t>管理费202601</t>
        </is>
      </c>
      <c r="K2" s="557" t="inlineStr">
        <is>
          <t>2026年
1月折标</t>
        </is>
      </c>
      <c r="L2" s="558" t="inlineStr">
        <is>
          <t>2026年
1月销量
[USD]</t>
        </is>
      </c>
      <c r="M2" s="559" t="inlineStr">
        <is>
          <t>月度
完成率</t>
        </is>
      </c>
      <c r="N2" s="554" t="inlineStr">
        <is>
          <t>考核期完成率（累计）</t>
        </is>
      </c>
      <c r="O2" s="560" t="inlineStr">
        <is>
          <t>考核期差距</t>
        </is>
      </c>
      <c r="P2" s="561" t="inlineStr">
        <is>
          <t>财富中心
上半年年任务</t>
        </is>
      </c>
      <c r="Q2" s="79" t="inlineStr">
        <is>
          <t>财富中心
上半年任务完成率</t>
        </is>
      </c>
      <c r="R2" s="561" t="inlineStr">
        <is>
          <t>任务差距</t>
        </is>
      </c>
    </row>
    <row r="3" ht="25.5" customFormat="1" customHeight="1" s="55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</row>
    <row r="4" ht="14.25" customFormat="1" customHeight="1" s="483">
      <c r="A4" s="562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564" t="n">
        <v>45992</v>
      </c>
      <c r="E4" s="564" t="n">
        <v>46203</v>
      </c>
      <c r="F4" s="83" t="n">
        <v>21880.7424</v>
      </c>
      <c r="G4" s="565" t="n">
        <v>5053.26466</v>
      </c>
      <c r="H4" s="85" t="n">
        <v>538.525279</v>
      </c>
      <c r="I4" s="85" t="n">
        <v>672.12288</v>
      </c>
      <c r="J4" s="85" t="n">
        <v>0</v>
      </c>
      <c r="K4" s="86">
        <f>SUM(H4:J4)</f>
        <v/>
      </c>
      <c r="L4" s="566" t="inlineStr"/>
      <c r="M4" s="88">
        <f>K4/(F4/6)</f>
        <v/>
      </c>
      <c r="N4" s="88">
        <f>G4/F4</f>
        <v/>
      </c>
      <c r="O4" s="567">
        <f>G4-F4</f>
        <v/>
      </c>
      <c r="P4" s="568" t="n">
        <v>141926.4</v>
      </c>
      <c r="Q4" s="91">
        <f>K10/P4</f>
        <v/>
      </c>
      <c r="R4" s="569">
        <f>P4-K10</f>
        <v/>
      </c>
      <c r="U4" s="570" t="inlineStr">
        <is>
          <t>开始日期</t>
        </is>
      </c>
      <c r="V4" s="570" t="inlineStr">
        <is>
          <t>结束日期</t>
        </is>
      </c>
      <c r="W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564" t="n">
        <v>45962</v>
      </c>
      <c r="E5" s="564" t="n">
        <v>46173</v>
      </c>
      <c r="F5" s="83" t="n">
        <v>54394.9714</v>
      </c>
      <c r="G5" s="565" t="n">
        <v>22897.87755</v>
      </c>
      <c r="H5" s="85" t="n">
        <v>11784.768996</v>
      </c>
      <c r="I5" s="85" t="n">
        <v>0</v>
      </c>
      <c r="J5" s="85" t="n">
        <v>0</v>
      </c>
      <c r="K5" s="86">
        <f>SUM(H5:J5)</f>
        <v/>
      </c>
      <c r="M5" s="88">
        <f>K4/(F5/6)</f>
        <v/>
      </c>
      <c r="N5" s="88">
        <f>G5/F5</f>
        <v/>
      </c>
      <c r="O5" s="567">
        <f>G5-F5</f>
        <v/>
      </c>
      <c r="P5" s="500" t="n"/>
      <c r="Q5" s="500" t="n"/>
      <c r="R5" s="500" t="n"/>
      <c r="U5" s="94" t="n">
        <v>46023</v>
      </c>
      <c r="V5" s="94" t="n">
        <v>46203</v>
      </c>
      <c r="W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564" t="n">
        <v>46023</v>
      </c>
      <c r="E6" s="564" t="n">
        <v>46203</v>
      </c>
      <c r="F6" s="83" t="n">
        <v>9930.76</v>
      </c>
      <c r="G6" s="565" t="n">
        <v>2323.79784</v>
      </c>
      <c r="H6" s="85" t="n">
        <v>120.19644</v>
      </c>
      <c r="I6" s="85" t="n">
        <v>2203.6014</v>
      </c>
      <c r="J6" s="85" t="n">
        <v>0</v>
      </c>
      <c r="K6" s="86">
        <f>SUM(H6:J6)</f>
        <v/>
      </c>
      <c r="L6" s="566" t="inlineStr"/>
      <c r="M6" s="88">
        <f>K5/(F6/6)</f>
        <v/>
      </c>
      <c r="N6" s="88">
        <f>G6/F6</f>
        <v/>
      </c>
      <c r="O6" s="567">
        <f>G6-F6</f>
        <v/>
      </c>
      <c r="P6" s="500" t="n"/>
      <c r="Q6" s="500" t="n"/>
      <c r="R6" s="500" t="n"/>
      <c r="U6" s="570" t="inlineStr">
        <is>
          <t>计算日期</t>
        </is>
      </c>
      <c r="V6" s="570">
        <f>V5-U5</f>
        <v/>
      </c>
      <c r="W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564" t="n">
        <v>46023</v>
      </c>
      <c r="E7" s="564" t="n">
        <v>46203</v>
      </c>
      <c r="F7" s="83" t="n">
        <v>11829.32</v>
      </c>
      <c r="G7" s="565" t="n">
        <v>3056.416117</v>
      </c>
      <c r="H7" s="85" t="n">
        <v>1942.440397</v>
      </c>
      <c r="I7" s="85" t="n">
        <v>1113.97572</v>
      </c>
      <c r="J7" s="85" t="n">
        <v>0</v>
      </c>
      <c r="K7" s="86">
        <f>SUM(H7:J7)</f>
        <v/>
      </c>
      <c r="L7" s="566" t="inlineStr"/>
      <c r="M7" s="88">
        <f>K6/(F7/6)</f>
        <v/>
      </c>
      <c r="N7" s="88">
        <f>G7/F7</f>
        <v/>
      </c>
      <c r="O7" s="567">
        <f>G7-F7</f>
        <v/>
      </c>
      <c r="P7" s="500" t="n"/>
      <c r="Q7" s="500" t="n"/>
      <c r="R7" s="500" t="n"/>
      <c r="U7" s="571" t="n">
        <v>46052</v>
      </c>
      <c r="V7" s="570">
        <f>U7-U5</f>
        <v/>
      </c>
      <c r="W7" s="570">
        <f>V7/V6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564" t="n">
        <v>45916</v>
      </c>
      <c r="E8" s="564" t="n">
        <v>46096</v>
      </c>
      <c r="F8" s="83" t="n">
        <v>31752</v>
      </c>
      <c r="G8" s="565" t="n">
        <v>571.327311</v>
      </c>
      <c r="H8" s="85" t="n">
        <v>435.065904</v>
      </c>
      <c r="I8" s="85" t="n">
        <v>0</v>
      </c>
      <c r="J8" s="85" t="n">
        <v>0</v>
      </c>
      <c r="K8" s="86">
        <f>SUM(H8:J8)</f>
        <v/>
      </c>
      <c r="L8" s="566" t="inlineStr"/>
      <c r="M8" s="88">
        <f>K7/(F8/6)</f>
        <v/>
      </c>
      <c r="N8" s="88">
        <f>G8/F8</f>
        <v/>
      </c>
      <c r="O8" s="567">
        <f>G8-F8</f>
        <v/>
      </c>
      <c r="P8" s="500" t="n"/>
      <c r="Q8" s="500" t="n"/>
      <c r="R8" s="500" t="n"/>
      <c r="U8" s="570" t="inlineStr"/>
      <c r="V8" s="570" t="inlineStr"/>
      <c r="W8" s="570" t="inlineStr"/>
    </row>
    <row r="9" ht="15" customFormat="1" customHeight="1" s="483">
      <c r="A9" s="501" t="n"/>
      <c r="B9" s="572" t="inlineStr">
        <is>
          <t>理财师277</t>
        </is>
      </c>
      <c r="C9" s="572" t="inlineStr">
        <is>
          <t>C2</t>
        </is>
      </c>
      <c r="D9" s="573" t="n">
        <v>45964</v>
      </c>
      <c r="E9" s="573" t="n">
        <v>46144</v>
      </c>
      <c r="F9" s="98" t="n">
        <v>2685.06</v>
      </c>
      <c r="G9" s="574" t="n">
        <v>0</v>
      </c>
      <c r="H9" s="100" t="n">
        <v>0</v>
      </c>
      <c r="I9" s="100" t="n">
        <v>0</v>
      </c>
      <c r="J9" s="100" t="n">
        <v>0</v>
      </c>
      <c r="K9" s="101">
        <f>SUM(H9:J9)</f>
        <v/>
      </c>
      <c r="L9" s="575" t="inlineStr"/>
      <c r="M9" s="103">
        <f>K8/(F9/6)</f>
        <v/>
      </c>
      <c r="N9" s="103">
        <f>G9/F9</f>
        <v/>
      </c>
      <c r="O9" s="576">
        <f>G9-F9</f>
        <v/>
      </c>
      <c r="P9" s="501" t="n"/>
      <c r="Q9" s="501" t="n"/>
      <c r="R9" s="501" t="n"/>
      <c r="U9" s="570" t="inlineStr">
        <is>
          <t>计算日期</t>
        </is>
      </c>
      <c r="V9" s="570" t="n">
        <v>365</v>
      </c>
      <c r="W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579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109" t="inlineStr"/>
      <c r="M10" s="109" t="inlineStr"/>
      <c r="N10" s="581" t="inlineStr"/>
      <c r="O10" s="580">
        <f>SUM(O4:O9)</f>
        <v/>
      </c>
      <c r="P10" s="111" t="inlineStr"/>
      <c r="Q10" s="582" t="inlineStr"/>
      <c r="R10" s="523" t="inlineStr"/>
    </row>
    <row r="11" ht="14.1" customFormat="1" customHeight="1" s="483">
      <c r="A11" s="583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585" t="n">
        <v>46023</v>
      </c>
      <c r="E11" s="585" t="n">
        <v>46203</v>
      </c>
      <c r="F11" s="116" t="n">
        <v>24619.48</v>
      </c>
      <c r="G11" s="586" t="n">
        <v>6323.783015</v>
      </c>
      <c r="H11" s="118" t="n">
        <v>6323.783015</v>
      </c>
      <c r="I11" s="118" t="n">
        <v>0</v>
      </c>
      <c r="J11" s="118" t="n">
        <v>0</v>
      </c>
      <c r="K11" s="118" t="n">
        <v>6323.783015</v>
      </c>
      <c r="L11" s="527" t="inlineStr"/>
      <c r="M11" s="119">
        <f>K11/(F11/6)</f>
        <v/>
      </c>
      <c r="N11" s="119">
        <f>G11/F11</f>
        <v/>
      </c>
      <c r="O11" s="587">
        <f>G11-F11</f>
        <v/>
      </c>
      <c r="P11" s="588" t="n">
        <v>84476.32000000001</v>
      </c>
      <c r="Q11" s="122">
        <f>K16/P11</f>
        <v/>
      </c>
      <c r="R11" s="588">
        <f>P11-K16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564" t="n">
        <v>46023</v>
      </c>
      <c r="E12" s="564" t="n">
        <v>46203</v>
      </c>
      <c r="F12" s="83" t="n">
        <v>9928.559999999999</v>
      </c>
      <c r="G12" s="565" t="n">
        <v>2892.166535</v>
      </c>
      <c r="H12" s="85" t="n">
        <v>1333.866935</v>
      </c>
      <c r="I12" s="85" t="n">
        <v>1558.2996</v>
      </c>
      <c r="J12" s="85" t="n">
        <v>0</v>
      </c>
      <c r="K12" s="85" t="n">
        <v>2892.165312</v>
      </c>
      <c r="L12" s="496" t="inlineStr"/>
      <c r="M12" s="88">
        <f>K11/(F12/6)</f>
        <v/>
      </c>
      <c r="N12" s="88">
        <f>G12/F12</f>
        <v/>
      </c>
      <c r="O12" s="567">
        <f>G12-F12</f>
        <v/>
      </c>
      <c r="P12" s="500" t="n"/>
      <c r="Q12" s="500" t="n"/>
      <c r="R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564" t="n">
        <v>45792</v>
      </c>
      <c r="E13" s="564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 t="n">
        <v>0</v>
      </c>
      <c r="L13" s="496" t="inlineStr"/>
      <c r="M13" s="88">
        <f>K12/(F13/6)</f>
        <v/>
      </c>
      <c r="N13" s="88">
        <f>G13/F13</f>
        <v/>
      </c>
      <c r="O13" s="567">
        <f>G13-F13</f>
        <v/>
      </c>
      <c r="P13" s="500" t="n"/>
      <c r="Q13" s="500" t="n"/>
      <c r="R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564" t="n">
        <v>45870</v>
      </c>
      <c r="E14" s="564" t="n">
        <v>46053</v>
      </c>
      <c r="F14" s="83" t="n">
        <v>20538.18</v>
      </c>
      <c r="G14" s="565" t="n">
        <v>15673.866332</v>
      </c>
      <c r="H14" s="85" t="n">
        <v>83.89754600000001</v>
      </c>
      <c r="I14" s="85" t="n">
        <v>0</v>
      </c>
      <c r="J14" s="85" t="n">
        <v>0</v>
      </c>
      <c r="K14" s="85" t="n">
        <v>83.89754600000001</v>
      </c>
      <c r="L14" s="496" t="inlineStr"/>
      <c r="M14" s="88">
        <f>K13/(F14/6)</f>
        <v/>
      </c>
      <c r="N14" s="88">
        <f>G14/F14</f>
        <v/>
      </c>
      <c r="O14" s="567">
        <f>G14-F14</f>
        <v/>
      </c>
      <c r="P14" s="500" t="n"/>
      <c r="Q14" s="500" t="n"/>
      <c r="R14" s="500" t="n"/>
    </row>
    <row r="15" ht="15" customFormat="1" customHeight="1" s="483">
      <c r="A15" s="501" t="n"/>
      <c r="B15" s="572" t="inlineStr">
        <is>
          <t>理财师188</t>
        </is>
      </c>
      <c r="C15" s="572" t="inlineStr">
        <is>
          <t>C1</t>
        </is>
      </c>
      <c r="D15" s="573" t="n">
        <v>46048</v>
      </c>
      <c r="E15" s="573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 t="n">
        <v>0</v>
      </c>
      <c r="L15" s="516" t="inlineStr"/>
      <c r="M15" s="103">
        <f>K14/(F15/6)</f>
        <v/>
      </c>
      <c r="N15" s="103">
        <f>G15/F15</f>
        <v/>
      </c>
      <c r="O15" s="576">
        <f>G15-F15</f>
        <v/>
      </c>
      <c r="P15" s="501" t="n"/>
      <c r="Q15" s="501" t="n"/>
      <c r="R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579">
        <f>SUM(F11:F15)</f>
        <v/>
      </c>
      <c r="G16" s="580">
        <f>SUM(G11+G12+G13+G14+G15)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109" t="inlineStr"/>
      <c r="M16" s="109" t="inlineStr"/>
      <c r="N16" s="581" t="inlineStr"/>
      <c r="O16" s="580">
        <f>SUM(O11:O15)</f>
        <v/>
      </c>
      <c r="P16" s="111" t="inlineStr"/>
      <c r="Q16" s="582" t="inlineStr"/>
      <c r="R16" s="523" t="inlineStr"/>
    </row>
    <row r="17" ht="14.25" customFormat="1" customHeight="1" s="483">
      <c r="A17" s="583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585" t="n">
        <v>45901</v>
      </c>
      <c r="E17" s="585" t="n">
        <v>46053</v>
      </c>
      <c r="F17" s="116" t="n">
        <v>28222.5</v>
      </c>
      <c r="G17" s="586" t="n">
        <v>20647.711332</v>
      </c>
      <c r="H17" s="118" t="n">
        <v>8678.511635999999</v>
      </c>
      <c r="I17" s="118" t="n">
        <v>0</v>
      </c>
      <c r="J17" s="118" t="n">
        <v>0</v>
      </c>
      <c r="K17" s="118" t="n">
        <v>8678.511635999999</v>
      </c>
      <c r="L17" s="527" t="inlineStr"/>
      <c r="M17" s="119">
        <f>K17/(F17/6)</f>
        <v/>
      </c>
      <c r="N17" s="119">
        <f>G17/F17</f>
        <v/>
      </c>
      <c r="O17" s="587">
        <f>G17-F17</f>
        <v/>
      </c>
      <c r="P17" s="588" t="n">
        <v>62089.5</v>
      </c>
      <c r="Q17" s="122">
        <f>K22/P17</f>
        <v/>
      </c>
      <c r="R17" s="588">
        <f>P17-K22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564" t="n">
        <v>46023</v>
      </c>
      <c r="E18" s="564" t="n">
        <v>46203</v>
      </c>
      <c r="F18" s="83" t="n">
        <v>15648.4</v>
      </c>
      <c r="G18" s="586" t="n">
        <v>2630.55</v>
      </c>
      <c r="H18" s="85" t="n">
        <v>2630.55</v>
      </c>
      <c r="I18" s="85" t="n">
        <v>0</v>
      </c>
      <c r="J18" s="85" t="n">
        <v>0</v>
      </c>
      <c r="K18" s="85" t="n">
        <v>2630.55</v>
      </c>
      <c r="L18" s="496" t="inlineStr"/>
      <c r="M18" s="88">
        <f>K17/(F18/6)</f>
        <v/>
      </c>
      <c r="N18" s="88">
        <f>G18/F18</f>
        <v/>
      </c>
      <c r="O18" s="567">
        <f>G18-F18</f>
        <v/>
      </c>
      <c r="P18" s="500" t="n"/>
      <c r="Q18" s="500" t="n"/>
      <c r="R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564" t="n">
        <v>45866</v>
      </c>
      <c r="E19" s="564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 t="n">
        <v>0</v>
      </c>
      <c r="L19" s="496" t="inlineStr"/>
      <c r="M19" s="88">
        <f>K18/(F19/6)</f>
        <v/>
      </c>
      <c r="N19" s="88">
        <f>G19/F19</f>
        <v/>
      </c>
      <c r="O19" s="567">
        <f>G19-F19</f>
        <v/>
      </c>
      <c r="P19" s="500" t="n"/>
      <c r="Q19" s="500" t="n"/>
      <c r="R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564" t="n">
        <v>45866</v>
      </c>
      <c r="E20" s="564" t="n">
        <v>46049</v>
      </c>
      <c r="F20" s="83" t="n">
        <v>4042.08</v>
      </c>
      <c r="G20" s="586" t="n">
        <v>1629.140497</v>
      </c>
      <c r="H20" s="85" t="n">
        <v>62.556</v>
      </c>
      <c r="I20" s="85" t="n">
        <v>0</v>
      </c>
      <c r="J20" s="85" t="n">
        <v>0</v>
      </c>
      <c r="K20" s="85" t="n">
        <v>62.556</v>
      </c>
      <c r="L20" s="496" t="inlineStr"/>
      <c r="M20" s="88">
        <f>K19/(F20/6)</f>
        <v/>
      </c>
      <c r="N20" s="88">
        <f>G20/F20</f>
        <v/>
      </c>
      <c r="O20" s="567">
        <f>G20-F20</f>
        <v/>
      </c>
      <c r="P20" s="500" t="n"/>
      <c r="Q20" s="500" t="n"/>
      <c r="R20" s="500" t="n"/>
    </row>
    <row r="21" ht="15" customFormat="1" customHeight="1" s="483">
      <c r="A21" s="501" t="n"/>
      <c r="B21" s="572" t="inlineStr">
        <is>
          <t>理财师278</t>
        </is>
      </c>
      <c r="C21" s="572" t="inlineStr">
        <is>
          <t>C1</t>
        </is>
      </c>
      <c r="D21" s="573" t="n">
        <v>45964</v>
      </c>
      <c r="E21" s="573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 t="n">
        <v>0</v>
      </c>
      <c r="L21" s="516" t="inlineStr"/>
      <c r="M21" s="103">
        <f>K20/(F21/6)</f>
        <v/>
      </c>
      <c r="N21" s="103">
        <f>G21/F21</f>
        <v/>
      </c>
      <c r="O21" s="576">
        <f>G21-F21</f>
        <v/>
      </c>
      <c r="P21" s="501" t="n"/>
      <c r="Q21" s="501" t="n"/>
      <c r="R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579">
        <f>SUM(F17:F21)</f>
        <v/>
      </c>
      <c r="G22" s="580">
        <f>SUM(G17+G18+G19+G20+G21)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109" t="inlineStr"/>
      <c r="M22" s="109" t="inlineStr"/>
      <c r="N22" s="581" t="inlineStr"/>
      <c r="O22" s="580">
        <f>SUM(O17:O21)</f>
        <v/>
      </c>
      <c r="P22" s="111" t="inlineStr"/>
      <c r="Q22" s="582" t="inlineStr"/>
      <c r="R22" s="523" t="inlineStr"/>
    </row>
    <row r="23" ht="14.1" customFormat="1" customHeight="1" s="483">
      <c r="A23" s="583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585" t="n">
        <v>46023</v>
      </c>
      <c r="E23" s="585" t="n">
        <v>46203</v>
      </c>
      <c r="F23" s="116" t="n">
        <v>5054.28</v>
      </c>
      <c r="G23" s="565" t="n">
        <v>210.805475</v>
      </c>
      <c r="H23" s="118" t="n">
        <v>210.805475</v>
      </c>
      <c r="I23" s="118" t="n">
        <v>0</v>
      </c>
      <c r="J23" s="123" t="n">
        <v>0</v>
      </c>
      <c r="K23" s="118" t="n">
        <v>210.805475</v>
      </c>
      <c r="L23" s="527" t="inlineStr"/>
      <c r="M23" s="119">
        <f>K23/(F23/6)</f>
        <v/>
      </c>
      <c r="N23" s="119">
        <f>G23/F23</f>
        <v/>
      </c>
      <c r="O23" s="587">
        <f>G23-F23</f>
        <v/>
      </c>
      <c r="P23" s="589" t="n">
        <v>64020.88</v>
      </c>
      <c r="Q23" s="125">
        <f>K27/P23</f>
        <v/>
      </c>
      <c r="R23" s="588">
        <f>P23-K27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564" t="n">
        <v>45992</v>
      </c>
      <c r="E24" s="564" t="n">
        <v>46203</v>
      </c>
      <c r="F24" s="83" t="n">
        <v>7311.57</v>
      </c>
      <c r="G24" s="565" t="n">
        <v>6542.012635</v>
      </c>
      <c r="H24" s="85" t="n">
        <v>0.42345</v>
      </c>
      <c r="I24" s="85" t="n">
        <v>0</v>
      </c>
      <c r="J24" s="126" t="n">
        <v>0</v>
      </c>
      <c r="K24" s="85" t="n">
        <v>0.42345</v>
      </c>
      <c r="L24" s="496" t="inlineStr"/>
      <c r="M24" s="88">
        <f>K23/(F24/6)</f>
        <v/>
      </c>
      <c r="N24" s="88">
        <f>G24/F24</f>
        <v/>
      </c>
      <c r="O24" s="567">
        <f>G24-F24</f>
        <v/>
      </c>
      <c r="P24" s="500" t="n"/>
      <c r="Q24" s="500" t="n"/>
      <c r="R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564" t="n">
        <v>46023</v>
      </c>
      <c r="E25" s="564" t="n">
        <v>46203</v>
      </c>
      <c r="F25" s="83" t="n">
        <v>8731.32</v>
      </c>
      <c r="G25" s="565" t="n">
        <v>2435.422541</v>
      </c>
      <c r="H25" s="85" t="n">
        <v>2435.422541</v>
      </c>
      <c r="I25" s="85" t="n">
        <v>0</v>
      </c>
      <c r="J25" s="126" t="n">
        <v>0</v>
      </c>
      <c r="K25" s="85" t="n">
        <v>2435.422541</v>
      </c>
      <c r="L25" s="496" t="inlineStr"/>
      <c r="M25" s="88">
        <f>K24/(F25/6)</f>
        <v/>
      </c>
      <c r="N25" s="88">
        <f>G25/F25</f>
        <v/>
      </c>
      <c r="O25" s="567">
        <f>G25-F25</f>
        <v/>
      </c>
      <c r="P25" s="500" t="n"/>
      <c r="Q25" s="500" t="n"/>
      <c r="R25" s="500" t="n"/>
    </row>
    <row r="26" ht="14.45" customFormat="1" customHeight="1" s="483">
      <c r="A26" s="501" t="n"/>
      <c r="B26" s="572" t="inlineStr">
        <is>
          <t>理财师028</t>
        </is>
      </c>
      <c r="C26" s="572" t="inlineStr">
        <is>
          <t>私人财富管理专家PWA4-5</t>
        </is>
      </c>
      <c r="D26" s="573" t="n">
        <v>46001</v>
      </c>
      <c r="E26" s="573" t="n">
        <v>46182</v>
      </c>
      <c r="F26" s="98" t="n">
        <v>23502</v>
      </c>
      <c r="G26" s="565" t="n">
        <v>0</v>
      </c>
      <c r="H26" s="100" t="n">
        <v>0</v>
      </c>
      <c r="I26" s="100" t="n">
        <v>0</v>
      </c>
      <c r="J26" s="127" t="n">
        <v>0</v>
      </c>
      <c r="K26" s="100" t="n">
        <v>0</v>
      </c>
      <c r="L26" s="516" t="inlineStr"/>
      <c r="M26" s="88">
        <f>K25/(F26/6)</f>
        <v/>
      </c>
      <c r="N26" s="88">
        <f>G26/F26</f>
        <v/>
      </c>
      <c r="O26" s="567">
        <f>G26-F26</f>
        <v/>
      </c>
      <c r="P26" s="513" t="n"/>
      <c r="Q26" s="513" t="n"/>
      <c r="R26" s="501" t="n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590">
        <f>SUM(F23:F26)</f>
        <v/>
      </c>
      <c r="G27" s="590">
        <f>SUM(G23:G26)</f>
        <v/>
      </c>
      <c r="H27" s="590">
        <f>SUM(H23:H26)</f>
        <v/>
      </c>
      <c r="I27" s="590">
        <f>SUM(I23:I26)</f>
        <v/>
      </c>
      <c r="J27" s="591">
        <f>SUM(J23:J26)</f>
        <v/>
      </c>
      <c r="K27" s="579">
        <f>SUM(K23:K26)</f>
        <v/>
      </c>
      <c r="L27" s="579" t="inlineStr"/>
      <c r="M27" s="579" t="inlineStr"/>
      <c r="N27" s="579" t="inlineStr"/>
      <c r="O27" s="579">
        <f>SUM(O23:O26)</f>
        <v/>
      </c>
      <c r="P27" s="579" t="inlineStr"/>
      <c r="Q27" s="579" t="inlineStr"/>
      <c r="R27" s="591" t="inlineStr"/>
    </row>
    <row r="28" ht="14.25" customFormat="1" customHeight="1" s="483">
      <c r="A28" s="583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585" t="n">
        <v>46023</v>
      </c>
      <c r="E28" s="585" t="n">
        <v>46203</v>
      </c>
      <c r="F28" s="116" t="n">
        <v>4993.22</v>
      </c>
      <c r="G28" s="565" t="n">
        <v>1630.003094</v>
      </c>
      <c r="H28" s="118" t="n">
        <v>664.4237419999999</v>
      </c>
      <c r="I28" s="118" t="n">
        <v>1630.003094</v>
      </c>
      <c r="J28" s="118" t="n">
        <v>0</v>
      </c>
      <c r="K28" s="118" t="n">
        <v>1630.003094</v>
      </c>
      <c r="L28" s="527" t="inlineStr"/>
      <c r="M28" s="119">
        <f>K28/(F28/6)</f>
        <v/>
      </c>
      <c r="N28" s="119">
        <f>G28/F28</f>
        <v/>
      </c>
      <c r="O28" s="587">
        <f>G28-F28</f>
        <v/>
      </c>
      <c r="P28" s="588" t="n">
        <v>39429.22</v>
      </c>
      <c r="Q28" s="122">
        <f>K31/P28</f>
        <v/>
      </c>
      <c r="R28" s="588">
        <f>P28-K31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564" t="n">
        <v>46023</v>
      </c>
      <c r="E29" s="564" t="n">
        <v>46203</v>
      </c>
      <c r="F29" s="83" t="n">
        <v>24411</v>
      </c>
      <c r="G29" s="565" t="n">
        <v>24725.437049</v>
      </c>
      <c r="H29" s="85" t="n">
        <v>342.304453</v>
      </c>
      <c r="I29" s="85" t="n">
        <v>24725.437049</v>
      </c>
      <c r="J29" s="85" t="n">
        <v>0</v>
      </c>
      <c r="K29" s="85" t="n">
        <v>24725.437049</v>
      </c>
      <c r="L29" s="496" t="inlineStr"/>
      <c r="M29" s="88">
        <f>K28/(F29/6)</f>
        <v/>
      </c>
      <c r="N29" s="88">
        <f>G29/F29</f>
        <v/>
      </c>
      <c r="O29" s="567">
        <f>G29-F29</f>
        <v/>
      </c>
      <c r="P29" s="500" t="n"/>
      <c r="Q29" s="500" t="n"/>
      <c r="R29" s="500" t="n"/>
    </row>
    <row r="30" ht="15" customFormat="1" customHeight="1" s="483">
      <c r="A30" s="501" t="n"/>
      <c r="B30" s="572" t="inlineStr">
        <is>
          <t>理财师027</t>
        </is>
      </c>
      <c r="C30" s="572" t="inlineStr">
        <is>
          <t>私人财富管理资深顾问PWA2-3</t>
        </is>
      </c>
      <c r="D30" s="573" t="n">
        <v>45943</v>
      </c>
      <c r="E30" s="573" t="n">
        <v>46124</v>
      </c>
      <c r="F30" s="98" t="n">
        <v>6847</v>
      </c>
      <c r="G30" s="565" t="n">
        <v>1101.511125</v>
      </c>
      <c r="H30" s="100" t="n">
        <v>0</v>
      </c>
      <c r="I30" s="100" t="n">
        <v>33.379125</v>
      </c>
      <c r="J30" s="100" t="n">
        <v>0</v>
      </c>
      <c r="K30" s="100" t="n">
        <v>33.379125</v>
      </c>
      <c r="L30" s="516" t="inlineStr"/>
      <c r="M30" s="103">
        <f>K29/(F30/6)</f>
        <v/>
      </c>
      <c r="N30" s="103">
        <f>G30/F30</f>
        <v/>
      </c>
      <c r="O30" s="576">
        <f>G30-F30</f>
        <v/>
      </c>
      <c r="P30" s="501" t="n"/>
      <c r="Q30" s="501" t="n"/>
      <c r="R30" s="501" t="n"/>
    </row>
    <row r="31" ht="14.25" customFormat="1" customHeight="1" s="483">
      <c r="A31" s="577" t="inlineStr">
        <is>
          <t>合计</t>
        </is>
      </c>
      <c r="B31" s="518" t="n"/>
      <c r="C31" s="518" t="n"/>
      <c r="D31" s="518" t="n"/>
      <c r="E31" s="578" t="n"/>
      <c r="F31" s="592">
        <f>SUM(F28:F30)</f>
        <v/>
      </c>
      <c r="G31" s="593">
        <f>SUM(G27:G30)</f>
        <v/>
      </c>
      <c r="H31" s="590">
        <f>SUM(H27:H30)</f>
        <v/>
      </c>
      <c r="I31" s="590">
        <f>SUM(I27:I30)</f>
        <v/>
      </c>
      <c r="J31" s="591">
        <f>SUM(J27:J30)</f>
        <v/>
      </c>
      <c r="K31" s="579">
        <f>SUM(K27:K30)</f>
        <v/>
      </c>
      <c r="L31" s="579" t="inlineStr"/>
      <c r="M31" s="579" t="inlineStr"/>
      <c r="N31" s="579" t="inlineStr"/>
      <c r="O31" s="579">
        <f>SUM(O28:O30)</f>
        <v/>
      </c>
      <c r="P31" s="579" t="inlineStr"/>
      <c r="Q31" s="579" t="inlineStr"/>
      <c r="R31" s="591" t="inlineStr"/>
    </row>
    <row r="32" ht="14.25" customFormat="1" customHeight="1" s="483">
      <c r="A32" s="583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585" t="n">
        <v>45931</v>
      </c>
      <c r="E32" s="585" t="n">
        <v>46081</v>
      </c>
      <c r="F32" s="116" t="n">
        <v>2767.6</v>
      </c>
      <c r="G32" s="565" t="n">
        <v>1446.637894</v>
      </c>
      <c r="H32" s="118" t="n">
        <v>179.901915</v>
      </c>
      <c r="I32" s="118" t="n">
        <v>0</v>
      </c>
      <c r="J32" s="118" t="n">
        <v>0</v>
      </c>
      <c r="K32" s="118" t="n">
        <v>179.901915</v>
      </c>
      <c r="L32" s="527" t="inlineStr"/>
      <c r="M32" s="119">
        <f>K32/(F32/6)</f>
        <v/>
      </c>
      <c r="N32" s="119">
        <f>G32/F32</f>
        <v/>
      </c>
      <c r="O32" s="587">
        <f>G32-F32</f>
        <v/>
      </c>
      <c r="P32" s="588" t="n">
        <v>24216.5</v>
      </c>
      <c r="Q32" s="122">
        <f>K35/P32</f>
        <v/>
      </c>
      <c r="R32" s="588">
        <f>P32-K35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564" t="n">
        <v>46023</v>
      </c>
      <c r="E33" s="564" t="n">
        <v>46203</v>
      </c>
      <c r="F33" s="83" t="n">
        <v>28282.8</v>
      </c>
      <c r="G33" s="565" t="n">
        <v>534.1245</v>
      </c>
      <c r="H33" s="85" t="n">
        <v>534.1245</v>
      </c>
      <c r="I33" s="85" t="n">
        <v>0</v>
      </c>
      <c r="J33" s="85" t="n">
        <v>0</v>
      </c>
      <c r="K33" s="85" t="n">
        <v>534.1245</v>
      </c>
      <c r="L33" s="496" t="inlineStr"/>
      <c r="M33" s="88">
        <f>K32/(F33/6)</f>
        <v/>
      </c>
      <c r="N33" s="88">
        <f>G33/F33</f>
        <v/>
      </c>
      <c r="O33" s="567">
        <f>G33-F33</f>
        <v/>
      </c>
      <c r="P33" s="500" t="n"/>
      <c r="Q33" s="500" t="n"/>
      <c r="R33" s="500" t="n"/>
    </row>
    <row r="34" ht="15" customFormat="1" customHeight="1" s="483">
      <c r="A34" s="501" t="n"/>
      <c r="B34" s="572" t="inlineStr">
        <is>
          <t>理财师010</t>
        </is>
      </c>
      <c r="C34" s="572" t="inlineStr">
        <is>
          <t>观察期PWA0-2</t>
        </is>
      </c>
      <c r="D34" s="573" t="n">
        <v>46023</v>
      </c>
      <c r="E34" s="573" t="n">
        <v>46203</v>
      </c>
      <c r="F34" s="98" t="n">
        <v>4868.16</v>
      </c>
      <c r="G34" s="565" t="n">
        <v>1034.727408</v>
      </c>
      <c r="H34" s="100" t="n">
        <v>1034.727408</v>
      </c>
      <c r="I34" s="100" t="n">
        <v>0</v>
      </c>
      <c r="J34" s="100" t="n">
        <v>0</v>
      </c>
      <c r="K34" s="100" t="n">
        <v>1034.727408</v>
      </c>
      <c r="L34" s="516" t="inlineStr"/>
      <c r="M34" s="103">
        <f>K33/(F34/6)</f>
        <v/>
      </c>
      <c r="N34" s="103">
        <f>G34/F34</f>
        <v/>
      </c>
      <c r="O34" s="576">
        <f>G34-F34</f>
        <v/>
      </c>
      <c r="P34" s="501" t="n"/>
      <c r="Q34" s="501" t="n"/>
      <c r="R34" s="501" t="n"/>
    </row>
    <row r="35" ht="14.25" customFormat="1" customHeight="1" s="483">
      <c r="A35" s="594" t="inlineStr">
        <is>
          <t>合计</t>
        </is>
      </c>
      <c r="B35" s="595" t="n"/>
      <c r="C35" s="595" t="n"/>
      <c r="D35" s="595" t="n"/>
      <c r="E35" s="596" t="n"/>
      <c r="F35" s="597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597">
        <f>SUM(K32:K34)</f>
        <v/>
      </c>
      <c r="L35" s="598" t="inlineStr"/>
      <c r="M35" s="598" t="inlineStr"/>
      <c r="N35" s="598" t="inlineStr"/>
      <c r="O35" s="598">
        <f>SUM(O32:O34)</f>
        <v/>
      </c>
      <c r="P35" s="598" t="inlineStr"/>
      <c r="Q35" s="598">
        <f>SUM(Q31:Q34)</f>
        <v/>
      </c>
      <c r="R35" s="599" t="inlineStr"/>
    </row>
    <row r="36" ht="14.25" customFormat="1" customHeight="1" s="483">
      <c r="A36" s="600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02" t="n">
        <v>46023</v>
      </c>
      <c r="E36" s="602" t="n">
        <v>46203</v>
      </c>
      <c r="F36" s="141" t="n">
        <v>15907.32</v>
      </c>
      <c r="G36" s="565" t="n">
        <v>8099.337429</v>
      </c>
      <c r="H36" s="142" t="n">
        <v>6238.180989</v>
      </c>
      <c r="I36" s="142" t="n">
        <v>1861.15644</v>
      </c>
      <c r="J36" s="142" t="n">
        <v>0</v>
      </c>
      <c r="K36" s="143">
        <f>SUM(H36:J36)</f>
        <v/>
      </c>
      <c r="L36" s="603" t="inlineStr"/>
      <c r="M36" s="145">
        <f>K36/(F36/6)</f>
        <v/>
      </c>
      <c r="N36" s="145">
        <f>G36/F36</f>
        <v/>
      </c>
      <c r="O36" s="604">
        <f>G36-F36</f>
        <v/>
      </c>
      <c r="P36" s="605" t="n">
        <v>30127.5</v>
      </c>
      <c r="Q36" s="148">
        <f>K38/P36</f>
        <v/>
      </c>
      <c r="R36" s="606">
        <f>P36-K38</f>
        <v/>
      </c>
    </row>
    <row r="37" ht="15" customFormat="1" customHeight="1" s="483">
      <c r="A37" s="607" t="n"/>
      <c r="B37" s="608" t="inlineStr">
        <is>
          <t>理财师032</t>
        </is>
      </c>
      <c r="C37" s="608" t="inlineStr">
        <is>
          <t>C1</t>
        </is>
      </c>
      <c r="D37" s="609" t="n">
        <v>46049</v>
      </c>
      <c r="E37" s="609" t="n">
        <v>46229</v>
      </c>
      <c r="F37" s="153" t="n">
        <v>2762.98</v>
      </c>
      <c r="G37" s="565" t="n">
        <v>698.283339</v>
      </c>
      <c r="H37" s="154" t="n">
        <v>0</v>
      </c>
      <c r="I37" s="154" t="n">
        <v>0</v>
      </c>
      <c r="J37" s="154" t="n">
        <v>0</v>
      </c>
      <c r="K37" s="154" t="n">
        <v>0</v>
      </c>
      <c r="L37" s="610" t="inlineStr"/>
      <c r="M37" s="156">
        <f>K36/(F37/6)</f>
        <v/>
      </c>
      <c r="N37" s="156">
        <f>G37/F37</f>
        <v/>
      </c>
      <c r="O37" s="611">
        <f>G37-F37</f>
        <v/>
      </c>
      <c r="P37" s="607" t="n"/>
      <c r="Q37" s="501" t="n"/>
      <c r="R37" s="612" t="n"/>
    </row>
    <row r="38" ht="14.25" customFormat="1" customHeight="1" s="483">
      <c r="A38" s="613" t="inlineStr">
        <is>
          <t>合计</t>
        </is>
      </c>
      <c r="E38" s="530" t="n"/>
      <c r="F38" s="614">
        <f>SUM(F36:F37)</f>
        <v/>
      </c>
      <c r="G38" s="614">
        <f>SUM(G36:G37)</f>
        <v/>
      </c>
      <c r="H38" s="614">
        <f>SUM(H36:H37)</f>
        <v/>
      </c>
      <c r="I38" s="614">
        <f>SUM(I36:I37)</f>
        <v/>
      </c>
      <c r="J38" s="614">
        <f>SUM(J36:J37)</f>
        <v/>
      </c>
      <c r="K38" s="614">
        <f>SUM(K36:K37)</f>
        <v/>
      </c>
      <c r="L38" s="614" t="inlineStr"/>
      <c r="M38" s="615" t="inlineStr"/>
      <c r="N38" s="615" t="inlineStr"/>
      <c r="O38" s="615">
        <f>SUM(O36:O37)</f>
        <v/>
      </c>
      <c r="P38" s="615" t="inlineStr"/>
      <c r="Q38" s="615">
        <f>SUM(Q34:Q37)</f>
        <v/>
      </c>
      <c r="R38" s="615" t="inlineStr"/>
    </row>
    <row r="39" ht="14.25" customFormat="1" customHeight="1" s="483">
      <c r="A39" s="600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02" t="n">
        <v>45901</v>
      </c>
      <c r="E39" s="602" t="n">
        <v>46053</v>
      </c>
      <c r="F39" s="141" t="n">
        <v>10936.2</v>
      </c>
      <c r="G39" s="565" t="n">
        <v>7071.157107</v>
      </c>
      <c r="H39" s="142" t="n">
        <v>1009.603041</v>
      </c>
      <c r="I39" s="142" t="n">
        <v>0</v>
      </c>
      <c r="J39" s="142" t="n">
        <v>0</v>
      </c>
      <c r="K39" s="142" t="n">
        <v>1009.603041</v>
      </c>
      <c r="L39" s="603" t="inlineStr"/>
      <c r="M39" s="145">
        <f>K39/(F39/6)</f>
        <v/>
      </c>
      <c r="N39" s="145">
        <f>G39/F39</f>
        <v/>
      </c>
      <c r="O39" s="616">
        <f>G39-F39</f>
        <v/>
      </c>
      <c r="P39" s="605" t="n">
        <v>26246.88</v>
      </c>
      <c r="Q39" s="148">
        <f>K41/P39</f>
        <v/>
      </c>
      <c r="R39" s="606">
        <f>P39-K41</f>
        <v/>
      </c>
    </row>
    <row r="40" ht="15" customFormat="1" customHeight="1" s="483">
      <c r="A40" s="607" t="n"/>
      <c r="B40" s="608" t="inlineStr">
        <is>
          <t>理财师026</t>
        </is>
      </c>
      <c r="C40" s="608" t="inlineStr">
        <is>
          <t>私人财富管理资深顾问PWA2-5</t>
        </is>
      </c>
      <c r="D40" s="609" t="n">
        <v>45922</v>
      </c>
      <c r="E40" s="609" t="n">
        <v>46102</v>
      </c>
      <c r="F40" s="153" t="n">
        <v>12213.96</v>
      </c>
      <c r="G40" s="565" t="n">
        <v>1.796693</v>
      </c>
      <c r="H40" s="154" t="n">
        <v>0</v>
      </c>
      <c r="I40" s="154" t="n">
        <v>0</v>
      </c>
      <c r="J40" s="154" t="n">
        <v>0</v>
      </c>
      <c r="K40" s="154" t="n">
        <v>0</v>
      </c>
      <c r="L40" s="610" t="inlineStr"/>
      <c r="M40" s="156">
        <f>K39/(F40/6)</f>
        <v/>
      </c>
      <c r="N40" s="156">
        <f>G40/F40</f>
        <v/>
      </c>
      <c r="O40" s="617">
        <f>G40-F40</f>
        <v/>
      </c>
      <c r="P40" s="607" t="n"/>
      <c r="Q40" s="501" t="n"/>
      <c r="R40" s="612" t="n"/>
    </row>
    <row r="41" ht="14.25" customFormat="1" customHeight="1" s="483">
      <c r="A41" s="618" t="inlineStr">
        <is>
          <t>合计</t>
        </is>
      </c>
      <c r="B41" s="619" t="n"/>
      <c r="C41" s="619" t="n"/>
      <c r="D41" s="619" t="n"/>
      <c r="E41" s="620" t="n"/>
      <c r="F41" s="621">
        <f>SUM(F39:F40)</f>
        <v/>
      </c>
      <c r="G41" s="621">
        <f>SUM(G39:G40)</f>
        <v/>
      </c>
      <c r="H41" s="621">
        <f>SUM(H39:H40)</f>
        <v/>
      </c>
      <c r="I41" s="621">
        <f>SUM(I39:I40)</f>
        <v/>
      </c>
      <c r="J41" s="621">
        <f>SUM(J39:J40)</f>
        <v/>
      </c>
      <c r="K41" s="621">
        <f>SUM(K39:K40)</f>
        <v/>
      </c>
      <c r="L41" s="621" t="inlineStr"/>
      <c r="M41" s="621" t="inlineStr"/>
      <c r="N41" s="621" t="inlineStr"/>
      <c r="O41" s="621">
        <f>SUM(O39:O40)</f>
        <v/>
      </c>
      <c r="P41" s="622" t="inlineStr"/>
      <c r="Q41" s="622">
        <f>SUM(Q37:Q40)</f>
        <v/>
      </c>
      <c r="R41" s="623" t="inlineStr"/>
    </row>
    <row r="42" ht="14.25" customFormat="1" customHeight="1" s="483">
      <c r="A42" s="600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02" t="n">
        <v>46023</v>
      </c>
      <c r="E42" s="602" t="n">
        <v>46203</v>
      </c>
      <c r="F42" s="141" t="n">
        <v>24202.22</v>
      </c>
      <c r="G42" s="586" t="n">
        <v>1717.628198</v>
      </c>
      <c r="H42" s="142" t="n">
        <v>1717.628198</v>
      </c>
      <c r="I42" s="142" t="n">
        <v>0</v>
      </c>
      <c r="J42" s="142" t="n">
        <v>0</v>
      </c>
      <c r="K42" s="142" t="n">
        <v>1717.628198</v>
      </c>
      <c r="L42" s="603" t="inlineStr"/>
      <c r="M42" s="145">
        <f>K42/(F42/6)</f>
        <v/>
      </c>
      <c r="N42" s="145">
        <f>G42/F42</f>
        <v/>
      </c>
      <c r="O42" s="616">
        <f>G42-F42</f>
        <v/>
      </c>
      <c r="P42" s="605" t="n">
        <v>32744.18</v>
      </c>
      <c r="Q42" s="148">
        <f>K44/P42</f>
        <v/>
      </c>
      <c r="R42" s="606">
        <f>P42-K44</f>
        <v/>
      </c>
    </row>
    <row r="43" ht="15" customFormat="1" customHeight="1" s="483">
      <c r="A43" s="607" t="n"/>
      <c r="B43" s="608" t="inlineStr">
        <is>
          <t>理财师011</t>
        </is>
      </c>
      <c r="C43" s="608" t="inlineStr">
        <is>
          <t>私人财富管理资深顾问PWA2-2</t>
        </is>
      </c>
      <c r="D43" s="609" t="n">
        <v>46023</v>
      </c>
      <c r="E43" s="609" t="n">
        <v>46203</v>
      </c>
      <c r="F43" s="153" t="n">
        <v>5045.88</v>
      </c>
      <c r="G43" s="565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610" t="inlineStr"/>
      <c r="M43" s="156" t="inlineStr"/>
      <c r="N43" s="156">
        <f>G43/F43</f>
        <v/>
      </c>
      <c r="O43" s="617">
        <f>G43-F43</f>
        <v/>
      </c>
      <c r="P43" s="607" t="n"/>
      <c r="Q43" s="501" t="n"/>
      <c r="R43" s="612" t="n"/>
    </row>
    <row r="44" ht="14.25" customFormat="1" customHeight="1" s="483">
      <c r="A44" s="618" t="inlineStr">
        <is>
          <t>合计</t>
        </is>
      </c>
      <c r="B44" s="619" t="n"/>
      <c r="C44" s="619" t="n"/>
      <c r="D44" s="619" t="n"/>
      <c r="E44" s="620" t="n"/>
      <c r="F44" s="621">
        <f>SUM(F42:F43)</f>
        <v/>
      </c>
      <c r="G44" s="621">
        <f>SUM(G42:G43)</f>
        <v/>
      </c>
      <c r="H44" s="621">
        <f>SUM(H42:H43)</f>
        <v/>
      </c>
      <c r="I44" s="621">
        <f>SUM(I42:I43)</f>
        <v/>
      </c>
      <c r="J44" s="621">
        <f>SUM(J42:J43)</f>
        <v/>
      </c>
      <c r="K44" s="621">
        <f>SUM(K42:K43)</f>
        <v/>
      </c>
      <c r="L44" s="621" t="inlineStr"/>
      <c r="M44" s="621" t="inlineStr"/>
      <c r="N44" s="621" t="inlineStr"/>
      <c r="O44" s="621">
        <f>SUM(O42:O43)</f>
        <v/>
      </c>
      <c r="P44" s="622" t="inlineStr"/>
      <c r="Q44" s="622">
        <f>SUM(Q40:Q43)</f>
        <v/>
      </c>
      <c r="R44" s="623" t="inlineStr"/>
    </row>
    <row r="45" ht="14.1" customFormat="1" customHeight="1" s="483">
      <c r="A45" s="583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585" t="n">
        <v>45901</v>
      </c>
      <c r="E45" s="585" t="n">
        <v>46053</v>
      </c>
      <c r="F45" s="116" t="n">
        <v>10475.833333</v>
      </c>
      <c r="G45" s="586" t="n">
        <v>32817.419799</v>
      </c>
      <c r="H45" s="118" t="n">
        <v>5684.120959</v>
      </c>
      <c r="I45" s="118" t="n">
        <v>0</v>
      </c>
      <c r="J45" s="118" t="n">
        <v>0</v>
      </c>
      <c r="K45" s="118" t="n">
        <v>5684.120959</v>
      </c>
      <c r="L45" s="527" t="inlineStr"/>
      <c r="M45" s="119">
        <f>K45/(F45/6)</f>
        <v/>
      </c>
      <c r="N45" s="119">
        <f>G45/F45</f>
        <v/>
      </c>
      <c r="O45" s="587">
        <f>G45-F45</f>
        <v/>
      </c>
      <c r="P45" s="624" t="n">
        <v>125710</v>
      </c>
      <c r="Q45" s="171">
        <f>K49/P45</f>
        <v/>
      </c>
      <c r="R45" s="625">
        <f>P45-K49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564" t="n">
        <v>46023</v>
      </c>
      <c r="E46" s="564" t="n">
        <v>46203</v>
      </c>
      <c r="F46" s="83" t="n">
        <v>17235</v>
      </c>
      <c r="G46" s="565" t="n">
        <v>2890.483353</v>
      </c>
      <c r="H46" s="85" t="n">
        <v>2120.045544</v>
      </c>
      <c r="I46" s="85" t="n">
        <v>770.437808</v>
      </c>
      <c r="J46" s="85" t="n">
        <v>0</v>
      </c>
      <c r="K46" s="118">
        <f>SUM(H46:J46)</f>
        <v/>
      </c>
      <c r="L46" s="496" t="inlineStr"/>
      <c r="M46" s="88">
        <f>K45/(F46/6)</f>
        <v/>
      </c>
      <c r="N46" s="88">
        <f>G46/F46</f>
        <v/>
      </c>
      <c r="O46" s="567">
        <f>G46-F46</f>
        <v/>
      </c>
      <c r="P46" s="626" t="n"/>
      <c r="Q46" s="500" t="n"/>
      <c r="R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564" t="n">
        <v>46023</v>
      </c>
      <c r="E47" s="564" t="n">
        <v>46203</v>
      </c>
      <c r="F47" s="83" t="n">
        <v>51394.5</v>
      </c>
      <c r="G47" s="586" t="n">
        <v>3350.258493</v>
      </c>
      <c r="H47" s="85" t="n">
        <v>3350.258493</v>
      </c>
      <c r="I47" s="85" t="n">
        <v>0</v>
      </c>
      <c r="J47" s="85" t="n">
        <v>0</v>
      </c>
      <c r="K47" s="85" t="n">
        <v>3350.258493</v>
      </c>
      <c r="L47" s="496" t="inlineStr"/>
      <c r="M47" s="88">
        <f>K46/(F47/6)</f>
        <v/>
      </c>
      <c r="N47" s="88">
        <f>G47/F47</f>
        <v/>
      </c>
      <c r="O47" s="567">
        <f>G47-F47</f>
        <v/>
      </c>
      <c r="P47" s="626" t="n"/>
      <c r="Q47" s="500" t="n"/>
      <c r="R47" s="627" t="n"/>
    </row>
    <row r="48" ht="15" customFormat="1" customHeight="1" s="483">
      <c r="A48" s="501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inlineStr"/>
      <c r="H48" s="100" t="n">
        <v>1995.88141</v>
      </c>
      <c r="I48" s="100" t="n">
        <v>0</v>
      </c>
      <c r="J48" s="100" t="n">
        <v>0</v>
      </c>
      <c r="K48" s="100" t="n">
        <v>1995.88141</v>
      </c>
      <c r="L48" s="516" t="inlineStr"/>
      <c r="M48" s="103" t="inlineStr"/>
      <c r="N48" s="103" t="inlineStr"/>
      <c r="O48" s="576" t="inlineStr"/>
      <c r="P48" s="628" t="n"/>
      <c r="Q48" s="513" t="n"/>
      <c r="R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590">
        <f>SUM(F45:F48)</f>
        <v/>
      </c>
      <c r="G49" s="590">
        <f>SUM(G45:G48)</f>
        <v/>
      </c>
      <c r="H49" s="590">
        <f>SUM(H45:H48)</f>
        <v/>
      </c>
      <c r="I49" s="590">
        <f>SUM(I45:I48)</f>
        <v/>
      </c>
      <c r="J49" s="591">
        <f>SUM(J45:J48)</f>
        <v/>
      </c>
      <c r="K49" s="579">
        <f>SUM(K45:K48)</f>
        <v/>
      </c>
      <c r="L49" s="579" t="inlineStr"/>
      <c r="M49" s="579" t="inlineStr"/>
      <c r="N49" s="579" t="inlineStr"/>
      <c r="O49" s="598">
        <f>SUM(O45:O48)</f>
        <v/>
      </c>
      <c r="P49" s="598">
        <f>SUM(P46:P48)</f>
        <v/>
      </c>
      <c r="Q49" s="598">
        <f>SUM(Q45:Q48)</f>
        <v/>
      </c>
      <c r="R49" s="599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31">
        <f>SUM(F10+F16+F22+F27+F31+F35+F38+F41+F44+F49)</f>
        <v/>
      </c>
      <c r="G50" s="631">
        <f>SUM(G10+G16+G22+G27+G31+G35+G38+G41+G44+G49)</f>
        <v/>
      </c>
      <c r="H50" s="631">
        <f>SUM(H10+H16+H22+H27+H31+H35+H38+H41+H44+H49)</f>
        <v/>
      </c>
      <c r="I50" s="631">
        <f>SUM(I10+I16+I22+I27+I31+I35+I38+I41+I44+I49)</f>
        <v/>
      </c>
      <c r="J50" s="631">
        <f>SUM(J10+J16+J22+J27+J31+J35+J38+J41+J44+J49)</f>
        <v/>
      </c>
      <c r="K50" s="631">
        <f>SUM(K10+K16+K22+K27+K31+K35+K38+K41+K44+K49)</f>
        <v/>
      </c>
      <c r="L50" s="632" t="inlineStr"/>
      <c r="M50" s="180">
        <f>K50/(F50/6)</f>
        <v/>
      </c>
      <c r="N50" s="181">
        <f>G50/F50</f>
        <v/>
      </c>
      <c r="O50" s="633">
        <f>SUM(O10+O16+O22+O27+O31+O35+O38+O41+O44+O49)</f>
        <v/>
      </c>
      <c r="P50" s="633">
        <f>SUM(P4+P11+P17+P23+P28+P32+P36+P39+P42+P45)</f>
        <v/>
      </c>
      <c r="Q50" s="183">
        <f>K50/P50</f>
        <v/>
      </c>
      <c r="R50" s="633">
        <f>P50-K50</f>
        <v/>
      </c>
    </row>
    <row r="51" ht="24" customFormat="1" customHeight="1" s="483">
      <c r="O51" s="633" t="inlineStr">
        <is>
          <t>公司目标</t>
        </is>
      </c>
      <c r="P51" s="633" t="n">
        <v>630987.38</v>
      </c>
      <c r="Q51" s="183">
        <f>K50/P51</f>
        <v/>
      </c>
      <c r="R51" s="633">
        <f>P51-K50</f>
        <v/>
      </c>
    </row>
  </sheetData>
  <mergeCells count="71">
    <mergeCell ref="R23:R26"/>
    <mergeCell ref="P4:P9"/>
    <mergeCell ref="A49:E49"/>
    <mergeCell ref="P1:Q1"/>
    <mergeCell ref="M2:M3"/>
    <mergeCell ref="A36:A37"/>
    <mergeCell ref="B2:B3"/>
    <mergeCell ref="N2:N3"/>
    <mergeCell ref="Q17:Q21"/>
    <mergeCell ref="D2:D3"/>
    <mergeCell ref="P28:P30"/>
    <mergeCell ref="F2:F3"/>
    <mergeCell ref="A32:A34"/>
    <mergeCell ref="P2:P3"/>
    <mergeCell ref="H2:H3"/>
    <mergeCell ref="A45:A48"/>
    <mergeCell ref="Q39:Q40"/>
    <mergeCell ref="A17:A21"/>
    <mergeCell ref="R4:R9"/>
    <mergeCell ref="R17:R21"/>
    <mergeCell ref="A16:E16"/>
    <mergeCell ref="Q11:Q15"/>
    <mergeCell ref="A28:A30"/>
    <mergeCell ref="A41:E41"/>
    <mergeCell ref="P39:P40"/>
    <mergeCell ref="Q23:Q26"/>
    <mergeCell ref="A2:A3"/>
    <mergeCell ref="P36:P37"/>
    <mergeCell ref="Q32:Q34"/>
    <mergeCell ref="C2:C3"/>
    <mergeCell ref="R36:R37"/>
    <mergeCell ref="R42:R43"/>
    <mergeCell ref="E2:E3"/>
    <mergeCell ref="K2:K3"/>
    <mergeCell ref="A27:E27"/>
    <mergeCell ref="Q28:Q30"/>
    <mergeCell ref="R45:R48"/>
    <mergeCell ref="Q42:Q43"/>
    <mergeCell ref="A50:E50"/>
    <mergeCell ref="P23:P26"/>
    <mergeCell ref="Q4:Q9"/>
    <mergeCell ref="A23:A26"/>
    <mergeCell ref="A42:A43"/>
    <mergeCell ref="I2:I3"/>
    <mergeCell ref="R11:R15"/>
    <mergeCell ref="O2:O3"/>
    <mergeCell ref="A11:A15"/>
    <mergeCell ref="Q2:Q3"/>
    <mergeCell ref="Q36:Q37"/>
    <mergeCell ref="R2:R3"/>
    <mergeCell ref="A22:E22"/>
    <mergeCell ref="R28:R30"/>
    <mergeCell ref="J2:J3"/>
    <mergeCell ref="L2:L3"/>
    <mergeCell ref="Q45:Q48"/>
    <mergeCell ref="A35:E35"/>
    <mergeCell ref="A4:A9"/>
    <mergeCell ref="A38:E38"/>
    <mergeCell ref="P45:P48"/>
    <mergeCell ref="A10:E10"/>
    <mergeCell ref="A39:A40"/>
    <mergeCell ref="A1:O1"/>
    <mergeCell ref="P42:P43"/>
    <mergeCell ref="P17:P21"/>
    <mergeCell ref="P11:P15"/>
    <mergeCell ref="A44:E44"/>
    <mergeCell ref="P32:P34"/>
    <mergeCell ref="A31:E31"/>
    <mergeCell ref="R32:R34"/>
    <mergeCell ref="G2:G3"/>
    <mergeCell ref="R39:R40"/>
  </mergeCells>
  <conditionalFormatting sqref="G36:G37 G39:G40 G42:G43 G45:G47">
    <cfRule type="dataBar" priority="1">
      <dataBar>
        <cfvo type="min"/>
        <cfvo type="max"/>
        <color rgb="FFFF555A"/>
      </dataBar>
    </cfRule>
  </conditionalFormatting>
  <conditionalFormatting sqref="G32:G34">
    <cfRule type="dataBar" priority="2">
      <dataBar>
        <cfvo type="min"/>
        <cfvo type="max"/>
        <color rgb="FFFF555A"/>
      </dataBar>
    </cfRule>
    <cfRule type="cellIs" priority="20" operator="between" dxfId="0">
      <formula>2000</formula>
      <formula>7600</formula>
    </cfRule>
    <cfRule type="cellIs" priority="21" operator="greaterThan" dxfId="1">
      <formula>7600</formula>
    </cfRule>
  </conditionalFormatting>
  <conditionalFormatting sqref="G28:G30">
    <cfRule type="dataBar" priority="3">
      <dataBar>
        <cfvo type="min"/>
        <cfvo type="max"/>
        <color rgb="FFFF555A"/>
      </dataBar>
    </cfRule>
    <cfRule type="cellIs" priority="22" operator="between" dxfId="0">
      <formula>2000</formula>
      <formula>7600</formula>
    </cfRule>
    <cfRule type="cellIs" priority="23" operator="greaterThan" dxfId="1">
      <formula>7600</formula>
    </cfRule>
  </conditionalFormatting>
  <conditionalFormatting sqref="G23:G26">
    <cfRule type="dataBar" priority="4">
      <dataBar>
        <cfvo type="min"/>
        <cfvo type="max"/>
        <color rgb="FFFF555A"/>
      </dataBar>
    </cfRule>
    <cfRule type="cellIs" priority="24" operator="between" dxfId="0">
      <formula>2000</formula>
      <formula>7600</formula>
    </cfRule>
    <cfRule type="cellIs" priority="25" operator="greaterThan" dxfId="1">
      <formula>7600</formula>
    </cfRule>
  </conditionalFormatting>
  <conditionalFormatting sqref="G17:G21">
    <cfRule type="dataBar" priority="5">
      <dataBar>
        <cfvo type="min"/>
        <cfvo type="max"/>
        <color rgb="FFFF555A"/>
      </dataBar>
    </cfRule>
    <cfRule type="cellIs" priority="35" operator="between" dxfId="0">
      <formula>2000</formula>
      <formula>7600</formula>
    </cfRule>
    <cfRule type="cellIs" priority="36" operator="greaterThan" dxfId="1">
      <formula>7600</formula>
    </cfRule>
  </conditionalFormatting>
  <conditionalFormatting sqref="G11:G15">
    <cfRule type="dataBar" priority="6">
      <dataBar>
        <cfvo type="min"/>
        <cfvo type="max"/>
        <color rgb="FFFF555A"/>
      </dataBar>
    </cfRule>
    <cfRule type="cellIs" priority="50" operator="between" dxfId="0">
      <formula>2000</formula>
      <formula>7600</formula>
    </cfRule>
    <cfRule type="cellIs" priority="51" operator="greaterThan" dxfId="1">
      <formula>7600</formula>
    </cfRule>
  </conditionalFormatting>
  <conditionalFormatting sqref="G4:G9">
    <cfRule type="dataBar" priority="7">
      <dataBar>
        <cfvo type="min"/>
        <cfvo type="max"/>
        <color rgb="FFFF555A"/>
      </dataBar>
    </cfRule>
  </conditionalFormatting>
  <conditionalFormatting sqref="G45:G47">
    <cfRule type="cellIs" priority="8" operator="between" dxfId="0">
      <formula>2000</formula>
      <formula>7600</formula>
    </cfRule>
    <cfRule type="cellIs" priority="9" operator="greaterThan" dxfId="1">
      <formula>7600</formula>
    </cfRule>
    <cfRule type="dataBar" priority="10">
      <dataBar>
        <cfvo type="min"/>
        <cfvo type="max"/>
        <color rgb="FF63C384"/>
      </dataBar>
    </cfRule>
  </conditionalFormatting>
  <conditionalFormatting sqref="G42:G43">
    <cfRule type="cellIs" priority="11" operator="between" dxfId="0">
      <formula>2000</formula>
      <formula>7600</formula>
    </cfRule>
    <cfRule type="cellIs" priority="12" operator="greaterThan" dxfId="1">
      <formula>7600</formula>
    </cfRule>
    <cfRule type="dataBar" priority="13">
      <dataBar>
        <cfvo type="min"/>
        <cfvo type="max"/>
        <color rgb="FF63C384"/>
      </dataBar>
    </cfRule>
  </conditionalFormatting>
  <conditionalFormatting sqref="G39:G40">
    <cfRule type="cellIs" priority="14" operator="between" dxfId="0">
      <formula>2000</formula>
      <formula>7600</formula>
    </cfRule>
    <cfRule type="cellIs" priority="15" operator="greaterThan" dxfId="1">
      <formula>7600</formula>
    </cfRule>
    <cfRule type="dataBar" priority="16">
      <dataBar>
        <cfvo type="min"/>
        <cfvo type="max"/>
        <color rgb="FF63C384"/>
      </dataBar>
    </cfRule>
  </conditionalFormatting>
  <conditionalFormatting sqref="G36:G37">
    <cfRule type="cellIs" priority="17" operator="between" dxfId="0">
      <formula>2000</formula>
      <formula>7600</formula>
    </cfRule>
    <cfRule type="cellIs" priority="18" operator="greaterThan" dxfId="1">
      <formula>7600</formula>
    </cfRule>
    <cfRule type="dataBar" priority="19">
      <dataBar>
        <cfvo type="min"/>
        <cfvo type="max"/>
        <color rgb="FF63C384"/>
      </dataBar>
    </cfRule>
  </conditionalFormatting>
  <conditionalFormatting sqref="N50">
    <cfRule type="cellIs" priority="26" operator="greaterThan" dxfId="1">
      <formula>0.5631</formula>
    </cfRule>
  </conditionalFormatting>
  <conditionalFormatting sqref="Q45">
    <cfRule type="cellIs" priority="27" operator="greaterThan" dxfId="2">
      <formula>0.5631</formula>
    </cfRule>
  </conditionalFormatting>
  <conditionalFormatting sqref="Q42">
    <cfRule type="cellIs" priority="28" operator="greaterThan" dxfId="2">
      <formula>0.5631</formula>
    </cfRule>
  </conditionalFormatting>
  <conditionalFormatting sqref="Q39">
    <cfRule type="cellIs" priority="29" operator="greaterThan" dxfId="2">
      <formula>0.5631</formula>
    </cfRule>
  </conditionalFormatting>
  <conditionalFormatting sqref="N42:N43">
    <cfRule type="cellIs" priority="30" operator="greaterThan" dxfId="1">
      <formula>0.5631</formula>
    </cfRule>
  </conditionalFormatting>
  <conditionalFormatting sqref="Q36">
    <cfRule type="cellIs" priority="31" operator="greaterThan" dxfId="2">
      <formula>0.5631</formula>
    </cfRule>
  </conditionalFormatting>
  <conditionalFormatting sqref="Q32">
    <cfRule type="cellIs" priority="32" operator="greaterThan" dxfId="2">
      <formula>0.5631</formula>
    </cfRule>
  </conditionalFormatting>
  <conditionalFormatting sqref="N32:N34">
    <cfRule type="cellIs" priority="33" operator="greaterThan" dxfId="1">
      <formula>0.5631</formula>
    </cfRule>
  </conditionalFormatting>
  <conditionalFormatting sqref="Q28">
    <cfRule type="cellIs" priority="34" operator="greaterThan" dxfId="2">
      <formula>0.5631</formula>
    </cfRule>
  </conditionalFormatting>
  <conditionalFormatting sqref="N45:N48">
    <cfRule type="cellIs" priority="37" operator="greaterThan" dxfId="1">
      <formula>0.5631</formula>
    </cfRule>
  </conditionalFormatting>
  <conditionalFormatting sqref="N39:N40">
    <cfRule type="cellIs" priority="38" operator="greaterThan" dxfId="1">
      <formula>0.5631</formula>
    </cfRule>
  </conditionalFormatting>
  <conditionalFormatting sqref="N36:N37">
    <cfRule type="cellIs" priority="39" operator="greaterThan" dxfId="1">
      <formula>0.5631</formula>
    </cfRule>
  </conditionalFormatting>
  <conditionalFormatting sqref="N28:N30">
    <cfRule type="cellIs" priority="40" operator="greaterThan" dxfId="1">
      <formula>0.5631</formula>
    </cfRule>
  </conditionalFormatting>
  <conditionalFormatting sqref="N23:N26">
    <cfRule type="cellIs" priority="41" operator="greaterThan" dxfId="1">
      <formula>0.5631</formula>
    </cfRule>
  </conditionalFormatting>
  <conditionalFormatting sqref="Q17">
    <cfRule type="cellIs" priority="42" operator="greaterThan" dxfId="2">
      <formula>0.5631</formula>
    </cfRule>
  </conditionalFormatting>
  <conditionalFormatting sqref="M22">
    <cfRule type="cellIs" priority="43" operator="greaterThan" dxfId="1">
      <formula>0.5631</formula>
    </cfRule>
  </conditionalFormatting>
  <conditionalFormatting sqref="P22">
    <cfRule type="cellIs" priority="44" operator="greaterThan" dxfId="2">
      <formula>0.5631</formula>
    </cfRule>
  </conditionalFormatting>
  <conditionalFormatting sqref="N17:N21">
    <cfRule type="cellIs" priority="45" operator="greaterThan" dxfId="1">
      <formula>0.5631</formula>
    </cfRule>
  </conditionalFormatting>
  <conditionalFormatting sqref="Q11">
    <cfRule type="cellIs" priority="46" operator="greaterThan" dxfId="2">
      <formula>0.5631</formula>
    </cfRule>
  </conditionalFormatting>
  <conditionalFormatting sqref="M16">
    <cfRule type="cellIs" priority="47" operator="greaterThan" dxfId="1">
      <formula>0.5631</formula>
    </cfRule>
  </conditionalFormatting>
  <conditionalFormatting sqref="P16">
    <cfRule type="cellIs" priority="48" operator="greaterThan" dxfId="2">
      <formula>0.5631</formula>
    </cfRule>
  </conditionalFormatting>
  <conditionalFormatting sqref="N11:N15">
    <cfRule type="cellIs" priority="49" operator="greaterThan" dxfId="1">
      <formula>0.5631</formula>
    </cfRule>
  </conditionalFormatting>
  <conditionalFormatting sqref="M10">
    <cfRule type="cellIs" priority="52" operator="greaterThan" dxfId="1">
      <formula>0.5631</formula>
    </cfRule>
  </conditionalFormatting>
  <conditionalFormatting sqref="P10">
    <cfRule type="cellIs" priority="53" operator="greaterThan" dxfId="2">
      <formula>0.5631</formula>
    </cfRule>
  </conditionalFormatting>
  <conditionalFormatting sqref="N2:N9">
    <cfRule type="cellIs" priority="54" operator="greaterThan" dxfId="1">
      <formula>0.5631</formula>
    </cfRule>
  </conditionalFormatting>
  <conditionalFormatting sqref="K2:K3">
    <cfRule type="cellIs" priority="55" operator="lessThan" dxfId="3">
      <formula>100</formula>
    </cfRule>
  </conditionalFormatting>
  <conditionalFormatting sqref="Q4">
    <cfRule type="cellIs" priority="56" operator="greaterThan" dxfId="2">
      <formula>0.5631</formula>
    </cfRule>
  </conditionalFormatting>
  <conditionalFormatting sqref="G4:G9 I9:J9 J4:J8">
    <cfRule type="cellIs" priority="57" operator="between" dxfId="0">
      <formula>2000</formula>
      <formula>7600</formula>
    </cfRule>
    <cfRule type="cellIs" priority="58" operator="greaterThan" dxfId="1">
      <formula>7600</formula>
    </cfRule>
    <cfRule type="dataBar" priority="59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1" zoomScale="147" zoomScaleNormal="147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9"/>
    <col width="10.625" customWidth="1" style="533" min="10" max="10"/>
    <col width="8.875" customWidth="1" style="533" min="11" max="12"/>
    <col width="12.75" customWidth="1" style="533" min="13" max="13"/>
    <col width="7.125" customWidth="1" style="533" min="14" max="14"/>
    <col width="9" customWidth="1" style="533" min="15" max="15"/>
    <col width="13" customWidth="1" style="533" min="16" max="16"/>
    <col width="13.625" customWidth="1" style="533" min="17" max="17"/>
    <col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26"/>
  </cols>
  <sheetData>
    <row r="1" ht="20.25" customFormat="1" customHeight="1" s="483">
      <c r="A1" s="754" t="inlineStr">
        <is>
          <t>私人财富管理部折标销售进度表-截止20260206  销管+销售助理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486" t="n"/>
      <c r="Q1" s="486" t="n"/>
      <c r="R1" s="552" t="inlineStr">
        <is>
          <t>上半年时间进度</t>
        </is>
      </c>
      <c r="T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传统202602</t>
        </is>
      </c>
      <c r="I2" s="506" t="inlineStr">
        <is>
          <t>保险202602</t>
        </is>
      </c>
      <c r="J2" s="506" t="inlineStr">
        <is>
          <t>管理费202602</t>
        </is>
      </c>
      <c r="K2" s="557" t="inlineStr">
        <is>
          <t>2026年
2月折标</t>
        </is>
      </c>
      <c r="L2" s="557" t="inlineStr">
        <is>
          <t>2026年
1月折标</t>
        </is>
      </c>
      <c r="M2" s="634" t="inlineStr">
        <is>
          <t>2026年YTD折标</t>
        </is>
      </c>
      <c r="N2" s="558" t="inlineStr">
        <is>
          <t>2026年
1月销量
[USD]</t>
        </is>
      </c>
      <c r="O2" s="559" t="inlineStr">
        <is>
          <t>月度
完成率</t>
        </is>
      </c>
      <c r="P2" s="554" t="inlineStr">
        <is>
          <t>考核期完成率（累计）</t>
        </is>
      </c>
      <c r="Q2" s="560" t="inlineStr">
        <is>
          <t>考核期差距</t>
        </is>
      </c>
      <c r="R2" s="561" t="inlineStr">
        <is>
          <t>财富中心
上半年年任务</t>
        </is>
      </c>
      <c r="S2" s="79" t="inlineStr">
        <is>
          <t>财富中心
上半年任务完成率</t>
        </is>
      </c>
      <c r="T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6978.717279</v>
      </c>
      <c r="H4" s="85" t="n">
        <v>6.067354</v>
      </c>
      <c r="I4" s="85" t="n">
        <v>0</v>
      </c>
      <c r="J4" s="85" t="n">
        <v>0</v>
      </c>
      <c r="K4" s="187" t="n">
        <v>6.067354</v>
      </c>
      <c r="L4" s="187" t="n">
        <v>1210.648159</v>
      </c>
      <c r="M4" s="187">
        <f>SUM(K4:L4)</f>
        <v/>
      </c>
      <c r="N4" s="566" t="inlineStr"/>
      <c r="O4" s="88">
        <f>K4/(F4/6)</f>
        <v/>
      </c>
      <c r="P4" s="88">
        <f>G4/F4</f>
        <v/>
      </c>
      <c r="Q4" s="567">
        <f>G4-F4</f>
        <v/>
      </c>
      <c r="R4" s="568" t="n">
        <v>141926.4</v>
      </c>
      <c r="S4" s="91">
        <f>M10/R4</f>
        <v/>
      </c>
      <c r="T4" s="569">
        <f>R4-M10</f>
        <v/>
      </c>
      <c r="W4" s="570" t="inlineStr">
        <is>
          <t>开始日期</t>
        </is>
      </c>
      <c r="X4" s="570" t="inlineStr">
        <is>
          <t>结束日期</t>
        </is>
      </c>
      <c r="Y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27515.987899</v>
      </c>
      <c r="H5" s="85" t="n">
        <v>4349.413068</v>
      </c>
      <c r="I5" s="85" t="n">
        <v>0</v>
      </c>
      <c r="J5" s="85" t="n">
        <v>0</v>
      </c>
      <c r="K5" s="187" t="n">
        <v>4349.413068</v>
      </c>
      <c r="L5" s="188" t="n">
        <v>11784.768996</v>
      </c>
      <c r="M5" s="187">
        <f>SUM(K5:L5)</f>
        <v/>
      </c>
      <c r="O5" s="88">
        <f>K4/(F5/6)</f>
        <v/>
      </c>
      <c r="P5" s="88">
        <f>G5/F5</f>
        <v/>
      </c>
      <c r="Q5" s="567">
        <f>G5-F5</f>
        <v/>
      </c>
      <c r="R5" s="500" t="n"/>
      <c r="S5" s="500" t="n"/>
      <c r="T5" s="500" t="n"/>
      <c r="W5" s="94" t="n">
        <v>46023</v>
      </c>
      <c r="X5" s="94" t="n">
        <v>46203</v>
      </c>
      <c r="Y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2485.437296</v>
      </c>
      <c r="H6" s="85" t="n">
        <v>133.5516</v>
      </c>
      <c r="I6" s="85" t="n">
        <v>0</v>
      </c>
      <c r="J6" s="85" t="n">
        <v>0</v>
      </c>
      <c r="K6" s="187" t="n">
        <v>133.5516</v>
      </c>
      <c r="L6" s="187" t="n">
        <v>2323.79784</v>
      </c>
      <c r="M6" s="187">
        <f>SUM(K6:L6)</f>
        <v/>
      </c>
      <c r="N6" s="566" t="inlineStr"/>
      <c r="O6" s="88">
        <f>K5/(F6/6)</f>
        <v/>
      </c>
      <c r="P6" s="88">
        <f>G6/F6</f>
        <v/>
      </c>
      <c r="Q6" s="567">
        <f>G6-F6</f>
        <v/>
      </c>
      <c r="R6" s="500" t="n"/>
      <c r="S6" s="500" t="n"/>
      <c r="T6" s="500" t="n"/>
      <c r="W6" s="570" t="inlineStr">
        <is>
          <t>计算日期</t>
        </is>
      </c>
      <c r="X6" s="570">
        <f>X5-W5</f>
        <v/>
      </c>
      <c r="Y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3625.440264</v>
      </c>
      <c r="H7" s="85" t="n">
        <v>166.803799</v>
      </c>
      <c r="I7" s="85" t="n">
        <v>0</v>
      </c>
      <c r="J7" s="85" t="n">
        <v>0</v>
      </c>
      <c r="K7" s="187" t="n">
        <v>166.803799</v>
      </c>
      <c r="L7" s="187" t="n">
        <v>3056.416117</v>
      </c>
      <c r="M7" s="187">
        <f>SUM(K7:L7)</f>
        <v/>
      </c>
      <c r="N7" s="566" t="inlineStr"/>
      <c r="O7" s="88">
        <f>K6/(F7/6)</f>
        <v/>
      </c>
      <c r="P7" s="88">
        <f>G7/F7</f>
        <v/>
      </c>
      <c r="Q7" s="567">
        <f>G7-F7</f>
        <v/>
      </c>
      <c r="R7" s="500" t="n"/>
      <c r="S7" s="500" t="n"/>
      <c r="T7" s="500" t="n"/>
      <c r="W7" s="571" t="n">
        <v>46059</v>
      </c>
      <c r="X7" s="570">
        <f>W7-W5</f>
        <v/>
      </c>
      <c r="Y7" s="570">
        <f>X7/X6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614.840927</v>
      </c>
      <c r="H8" s="85" t="n">
        <v>41.2776</v>
      </c>
      <c r="I8" s="85" t="n">
        <v>0</v>
      </c>
      <c r="J8" s="85" t="n">
        <v>0</v>
      </c>
      <c r="K8" s="187" t="n">
        <v>41.2776</v>
      </c>
      <c r="L8" s="187" t="n">
        <v>435.065904</v>
      </c>
      <c r="M8" s="187">
        <f>SUM(K8:L8)</f>
        <v/>
      </c>
      <c r="N8" s="566" t="inlineStr"/>
      <c r="O8" s="88">
        <f>K7/(F8/6)</f>
        <v/>
      </c>
      <c r="P8" s="88">
        <f>G8/F8</f>
        <v/>
      </c>
      <c r="Q8" s="567">
        <f>G8-F8</f>
        <v/>
      </c>
      <c r="R8" s="500" t="n"/>
      <c r="S8" s="500" t="n"/>
      <c r="T8" s="500" t="n"/>
      <c r="W8" s="570" t="inlineStr"/>
      <c r="X8" s="570" t="inlineStr"/>
      <c r="Y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85" t="n">
        <v>0</v>
      </c>
      <c r="I9" s="85" t="n">
        <v>0</v>
      </c>
      <c r="J9" s="100" t="n">
        <v>0</v>
      </c>
      <c r="K9" s="187" t="n">
        <v>0</v>
      </c>
      <c r="L9" s="190" t="n">
        <v>0</v>
      </c>
      <c r="M9" s="187">
        <f>SUM(K9:L9)</f>
        <v/>
      </c>
      <c r="N9" s="575" t="inlineStr"/>
      <c r="O9" s="103">
        <f>K8/(F9/6)</f>
        <v/>
      </c>
      <c r="P9" s="103">
        <f>G9/F9</f>
        <v/>
      </c>
      <c r="Q9" s="576">
        <f>G9-F9</f>
        <v/>
      </c>
      <c r="R9" s="501" t="n"/>
      <c r="S9" s="501" t="n"/>
      <c r="T9" s="501" t="n"/>
      <c r="W9" s="570" t="inlineStr">
        <is>
          <t>计算日期</t>
        </is>
      </c>
      <c r="X9" s="570" t="n">
        <v>365</v>
      </c>
      <c r="Y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579" t="n">
        <v>132472.8538</v>
      </c>
      <c r="G10" s="580" t="n">
        <v>41220.423665</v>
      </c>
      <c r="H10" s="580" t="n">
        <v>4697.113421</v>
      </c>
      <c r="I10" s="580" t="n">
        <v>0</v>
      </c>
      <c r="J10" s="580" t="n">
        <v>0</v>
      </c>
      <c r="K10" s="580" t="n">
        <v>4697.113421</v>
      </c>
      <c r="L10" s="580" t="n">
        <v>18810.697016</v>
      </c>
      <c r="M10" s="580">
        <f>SUM(K10:L10)</f>
        <v/>
      </c>
      <c r="N10" s="109" t="inlineStr"/>
      <c r="O10" s="109" t="inlineStr"/>
      <c r="P10" s="581" t="inlineStr"/>
      <c r="Q10" s="580">
        <f>SUM(Q4:Q9)</f>
        <v/>
      </c>
      <c r="R10" s="111" t="inlineStr"/>
      <c r="S10" s="582" t="inlineStr"/>
      <c r="T10" s="540" t="inlineStr"/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6482.195956</v>
      </c>
      <c r="H11" s="118" t="n">
        <v>0</v>
      </c>
      <c r="I11" s="118" t="n">
        <v>0</v>
      </c>
      <c r="J11" s="118" t="n">
        <v>0</v>
      </c>
      <c r="K11" s="118" t="n">
        <v>0</v>
      </c>
      <c r="L11" s="118" t="n">
        <v>6323.783015</v>
      </c>
      <c r="M11" s="187">
        <f>SUM(K11:L11)</f>
        <v/>
      </c>
      <c r="N11" s="526" t="inlineStr"/>
      <c r="O11" s="119">
        <f>K11/(F11/6)</f>
        <v/>
      </c>
      <c r="P11" s="119">
        <f>G11/F11</f>
        <v/>
      </c>
      <c r="Q11" s="587">
        <f>G11-F11</f>
        <v/>
      </c>
      <c r="R11" s="588" t="n">
        <v>84476.32000000001</v>
      </c>
      <c r="S11" s="122">
        <f>M16/R11</f>
        <v/>
      </c>
      <c r="T11" s="588">
        <f>R11-M16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3090.120809</v>
      </c>
      <c r="H12" s="85" t="n">
        <v>143.186484</v>
      </c>
      <c r="I12" s="85" t="n">
        <v>0</v>
      </c>
      <c r="J12" s="85" t="n">
        <v>0</v>
      </c>
      <c r="K12" s="85" t="n">
        <v>143.186484</v>
      </c>
      <c r="L12" s="85" t="n">
        <v>2892.165312</v>
      </c>
      <c r="M12" s="187">
        <f>SUM(K12:L12)</f>
        <v/>
      </c>
      <c r="N12" s="498" t="inlineStr"/>
      <c r="O12" s="88">
        <f>K11/(F12/6)</f>
        <v/>
      </c>
      <c r="P12" s="88">
        <f>G12/F12</f>
        <v/>
      </c>
      <c r="Q12" s="567">
        <f>G12-F12</f>
        <v/>
      </c>
      <c r="R12" s="500" t="n"/>
      <c r="S12" s="500" t="n"/>
      <c r="T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 t="n">
        <v>0</v>
      </c>
      <c r="L13" s="85" t="n">
        <v>0</v>
      </c>
      <c r="M13" s="187">
        <f>SUM(K13:L13)</f>
        <v/>
      </c>
      <c r="N13" s="498" t="inlineStr"/>
      <c r="O13" s="88">
        <f>K12/(F13/6)</f>
        <v/>
      </c>
      <c r="P13" s="88">
        <f>G13/F13</f>
        <v/>
      </c>
      <c r="Q13" s="567">
        <f>G13-F13</f>
        <v/>
      </c>
      <c r="R13" s="500" t="n"/>
      <c r="S13" s="500" t="n"/>
      <c r="T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45870</v>
      </c>
      <c r="E14" s="636" t="n">
        <v>46053</v>
      </c>
      <c r="F14" s="83" t="n">
        <v>20538.18</v>
      </c>
      <c r="G14" s="565" t="n">
        <v>15749.282</v>
      </c>
      <c r="H14" s="85" t="n">
        <v>827.235097</v>
      </c>
      <c r="I14" s="85" t="n">
        <v>0</v>
      </c>
      <c r="J14" s="85" t="n">
        <v>0</v>
      </c>
      <c r="K14" s="85" t="n">
        <v>827.235097</v>
      </c>
      <c r="L14" s="85" t="n">
        <v>83.89754600000001</v>
      </c>
      <c r="M14" s="187">
        <f>SUM(K14:L14)</f>
        <v/>
      </c>
      <c r="N14" s="498" t="inlineStr"/>
      <c r="O14" s="88">
        <f>K13/(F14/6)</f>
        <v/>
      </c>
      <c r="P14" s="88">
        <f>G14/F14</f>
        <v/>
      </c>
      <c r="Q14" s="567">
        <f>G14-F14</f>
        <v/>
      </c>
      <c r="R14" s="500" t="n"/>
      <c r="S14" s="500" t="n"/>
      <c r="T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 t="n">
        <v>0</v>
      </c>
      <c r="L15" s="100" t="n">
        <v>0</v>
      </c>
      <c r="M15" s="187">
        <f>SUM(K15:L15)</f>
        <v/>
      </c>
      <c r="N15" s="514" t="inlineStr"/>
      <c r="O15" s="103">
        <f>K14/(F15/6)</f>
        <v/>
      </c>
      <c r="P15" s="103">
        <f>G15/F15</f>
        <v/>
      </c>
      <c r="Q15" s="576">
        <f>G15-F15</f>
        <v/>
      </c>
      <c r="R15" s="501" t="n"/>
      <c r="S15" s="501" t="n"/>
      <c r="T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579" t="n">
        <v>66212.38</v>
      </c>
      <c r="G16" s="580" t="n">
        <v>25321.598765</v>
      </c>
      <c r="H16" s="580" t="n">
        <v>970.4215809999999</v>
      </c>
      <c r="I16" s="580" t="n">
        <v>0</v>
      </c>
      <c r="J16" s="580" t="n">
        <v>0</v>
      </c>
      <c r="K16" s="580" t="n">
        <v>970.4215809999999</v>
      </c>
      <c r="L16" s="580" t="n">
        <v>9299.845873</v>
      </c>
      <c r="M16" s="580">
        <f>SUM(K16:L16)</f>
        <v/>
      </c>
      <c r="N16" s="109" t="inlineStr"/>
      <c r="O16" s="109" t="inlineStr"/>
      <c r="P16" s="581" t="inlineStr"/>
      <c r="Q16" s="580">
        <f>SUM(Q11:Q15)</f>
        <v/>
      </c>
      <c r="R16" s="111" t="inlineStr"/>
      <c r="S16" s="582" t="inlineStr"/>
      <c r="T16" s="540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45901</v>
      </c>
      <c r="E17" s="638" t="n">
        <v>46053</v>
      </c>
      <c r="F17" s="116" t="n">
        <v>28222.5</v>
      </c>
      <c r="G17" s="586" t="n">
        <v>21187.132778</v>
      </c>
      <c r="H17" s="118" t="n">
        <v>564.11133</v>
      </c>
      <c r="I17" s="118" t="n">
        <v>0</v>
      </c>
      <c r="J17" s="118" t="n">
        <v>0</v>
      </c>
      <c r="K17" s="118" t="n">
        <v>564.11133</v>
      </c>
      <c r="L17" s="118" t="n">
        <v>8678.511635999999</v>
      </c>
      <c r="M17" s="187">
        <f>SUM(K17:L17)</f>
        <v/>
      </c>
      <c r="N17" s="526" t="inlineStr"/>
      <c r="O17" s="119">
        <f>K17/(F17/6)</f>
        <v/>
      </c>
      <c r="P17" s="119">
        <f>G17/F17</f>
        <v/>
      </c>
      <c r="Q17" s="587">
        <f>G17-F17</f>
        <v/>
      </c>
      <c r="R17" s="588" t="n">
        <v>62089.5</v>
      </c>
      <c r="S17" s="122">
        <f>M22/R17</f>
        <v/>
      </c>
      <c r="T17" s="588">
        <f>R17-M22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2630.55</v>
      </c>
      <c r="H18" s="85" t="n">
        <v>0</v>
      </c>
      <c r="I18" s="85" t="n">
        <v>0</v>
      </c>
      <c r="J18" s="85" t="n">
        <v>0</v>
      </c>
      <c r="K18" s="85" t="n">
        <v>0</v>
      </c>
      <c r="L18" s="85" t="n">
        <v>2630.55</v>
      </c>
      <c r="M18" s="187">
        <f>SUM(K18:L18)</f>
        <v/>
      </c>
      <c r="N18" s="498" t="inlineStr"/>
      <c r="O18" s="88">
        <f>K17/(F18/6)</f>
        <v/>
      </c>
      <c r="P18" s="88">
        <f>G18/F18</f>
        <v/>
      </c>
      <c r="Q18" s="567">
        <f>G18-F18</f>
        <v/>
      </c>
      <c r="R18" s="500" t="n"/>
      <c r="S18" s="500" t="n"/>
      <c r="T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560.347727</v>
      </c>
      <c r="H19" s="85" t="n">
        <v>0</v>
      </c>
      <c r="I19" s="85" t="n">
        <v>0</v>
      </c>
      <c r="J19" s="85" t="n">
        <v>0</v>
      </c>
      <c r="K19" s="85" t="n">
        <v>0</v>
      </c>
      <c r="L19" s="85" t="n">
        <v>0</v>
      </c>
      <c r="M19" s="187">
        <f>SUM(K19:L19)</f>
        <v/>
      </c>
      <c r="N19" s="498" t="inlineStr"/>
      <c r="O19" s="88">
        <f>K18/(F19/6)</f>
        <v/>
      </c>
      <c r="P19" s="88">
        <f>G19/F19</f>
        <v/>
      </c>
      <c r="Q19" s="567">
        <f>G19-F19</f>
        <v/>
      </c>
      <c r="R19" s="500" t="n"/>
      <c r="S19" s="500" t="n"/>
      <c r="T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1629.140497</v>
      </c>
      <c r="H20" s="85" t="n">
        <v>0</v>
      </c>
      <c r="I20" s="85" t="n">
        <v>0</v>
      </c>
      <c r="J20" s="85" t="n">
        <v>0</v>
      </c>
      <c r="K20" s="85" t="n">
        <v>0</v>
      </c>
      <c r="L20" s="85" t="n">
        <v>62.556</v>
      </c>
      <c r="M20" s="187">
        <f>SUM(K20:L20)</f>
        <v/>
      </c>
      <c r="N20" s="498" t="inlineStr"/>
      <c r="O20" s="88">
        <f>K19/(F20/6)</f>
        <v/>
      </c>
      <c r="P20" s="88">
        <f>G20/F20</f>
        <v/>
      </c>
      <c r="Q20" s="567">
        <f>G20-F20</f>
        <v/>
      </c>
      <c r="R20" s="500" t="n"/>
      <c r="S20" s="500" t="n"/>
      <c r="T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 t="n">
        <v>0</v>
      </c>
      <c r="L21" s="100" t="n">
        <v>0</v>
      </c>
      <c r="M21" s="187">
        <f>SUM(K21:L21)</f>
        <v/>
      </c>
      <c r="N21" s="514" t="inlineStr"/>
      <c r="O21" s="103">
        <f>K20/(F21/6)</f>
        <v/>
      </c>
      <c r="P21" s="103">
        <f>G21/F21</f>
        <v/>
      </c>
      <c r="Q21" s="576">
        <f>G21-F21</f>
        <v/>
      </c>
      <c r="R21" s="501" t="n"/>
      <c r="S21" s="501" t="n"/>
      <c r="T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579" t="n">
        <v>57763.62</v>
      </c>
      <c r="G22" s="580" t="n">
        <v>26007.171002</v>
      </c>
      <c r="H22" s="580" t="n">
        <v>564.11133</v>
      </c>
      <c r="I22" s="580" t="n">
        <v>0</v>
      </c>
      <c r="J22" s="580" t="n">
        <v>0</v>
      </c>
      <c r="K22" s="580" t="n">
        <v>564.11133</v>
      </c>
      <c r="L22" s="580" t="n">
        <v>11371.617636</v>
      </c>
      <c r="M22" s="580">
        <f>SUM(K22:L22)</f>
        <v/>
      </c>
      <c r="N22" s="109" t="inlineStr"/>
      <c r="O22" s="109" t="inlineStr"/>
      <c r="P22" s="581" t="inlineStr"/>
      <c r="Q22" s="580">
        <f>SUM(Q17:Q21)</f>
        <v/>
      </c>
      <c r="R22" s="111" t="inlineStr"/>
      <c r="S22" s="582" t="inlineStr"/>
      <c r="T22" s="540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478.780333</v>
      </c>
      <c r="H23" s="118" t="n">
        <v>187.7304</v>
      </c>
      <c r="I23" s="118" t="n">
        <v>0</v>
      </c>
      <c r="J23" s="123" t="n">
        <v>0</v>
      </c>
      <c r="K23" s="118" t="n">
        <v>187.7304</v>
      </c>
      <c r="L23" s="118" t="n">
        <v>210.805475</v>
      </c>
      <c r="M23" s="187">
        <f>SUM(K23:L23)</f>
        <v/>
      </c>
      <c r="N23" s="526" t="inlineStr"/>
      <c r="O23" s="119">
        <f>K23/(F23/6)</f>
        <v/>
      </c>
      <c r="P23" s="119">
        <f>G23/F23</f>
        <v/>
      </c>
      <c r="Q23" s="587">
        <f>G23-F23</f>
        <v/>
      </c>
      <c r="R23" s="589" t="n">
        <v>64020.88</v>
      </c>
      <c r="S23" s="125">
        <f>M27/R23</f>
        <v/>
      </c>
      <c r="T23" s="588">
        <f>R23-M27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7311.57</v>
      </c>
      <c r="G24" s="565" t="n">
        <v>6563.233362</v>
      </c>
      <c r="H24" s="85" t="n">
        <v>0</v>
      </c>
      <c r="I24" s="85" t="n">
        <v>0</v>
      </c>
      <c r="J24" s="126" t="n">
        <v>0</v>
      </c>
      <c r="K24" s="85" t="n">
        <v>0</v>
      </c>
      <c r="L24" s="85" t="n">
        <v>0.42345</v>
      </c>
      <c r="M24" s="187">
        <f>SUM(K24:L24)</f>
        <v/>
      </c>
      <c r="N24" s="498" t="inlineStr"/>
      <c r="O24" s="88">
        <f>K23/(F24/6)</f>
        <v/>
      </c>
      <c r="P24" s="88">
        <f>G24/F24</f>
        <v/>
      </c>
      <c r="Q24" s="567">
        <f>G24-F24</f>
        <v/>
      </c>
      <c r="R24" s="500" t="n"/>
      <c r="S24" s="500" t="n"/>
      <c r="T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2474.095226</v>
      </c>
      <c r="H25" s="85" t="n">
        <v>7.418671</v>
      </c>
      <c r="I25" s="85" t="n">
        <v>0</v>
      </c>
      <c r="J25" s="126" t="n">
        <v>0</v>
      </c>
      <c r="K25" s="85" t="n">
        <v>7.418671</v>
      </c>
      <c r="L25" s="85" t="n">
        <v>2435.422541</v>
      </c>
      <c r="M25" s="187">
        <f>SUM(K25:L25)</f>
        <v/>
      </c>
      <c r="N25" s="498" t="inlineStr"/>
      <c r="O25" s="88">
        <f>K24/(F25/6)</f>
        <v/>
      </c>
      <c r="P25" s="88">
        <f>G25/F25</f>
        <v/>
      </c>
      <c r="Q25" s="567">
        <f>G25-F25</f>
        <v/>
      </c>
      <c r="R25" s="500" t="n"/>
      <c r="S25" s="500" t="n"/>
      <c r="T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00" t="n">
        <v>0</v>
      </c>
      <c r="I26" s="100" t="n">
        <v>0</v>
      </c>
      <c r="J26" s="127" t="n">
        <v>0</v>
      </c>
      <c r="K26" s="100" t="n">
        <v>0</v>
      </c>
      <c r="L26" s="100" t="n">
        <v>0</v>
      </c>
      <c r="M26" s="187">
        <f>SUM(K26:L26)</f>
        <v/>
      </c>
      <c r="N26" s="514" t="inlineStr"/>
      <c r="O26" s="88">
        <f>K25/(F26/6)</f>
        <v/>
      </c>
      <c r="P26" s="88">
        <f>G26/F26</f>
        <v/>
      </c>
      <c r="Q26" s="567">
        <f>G26-F26</f>
        <v/>
      </c>
      <c r="R26" s="513" t="n"/>
      <c r="S26" s="513" t="n"/>
      <c r="T26" s="501" t="n"/>
      <c r="W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590" t="n">
        <v>44599.17</v>
      </c>
      <c r="G27" s="590" t="n">
        <v>9516.108920999999</v>
      </c>
      <c r="H27" s="590" t="n">
        <v>195.149071</v>
      </c>
      <c r="I27" s="590" t="n">
        <v>0</v>
      </c>
      <c r="J27" s="591" t="n">
        <v>0</v>
      </c>
      <c r="K27" s="579" t="n">
        <v>195.149071</v>
      </c>
      <c r="L27" s="579" t="n">
        <v>2646.651466</v>
      </c>
      <c r="M27" s="580">
        <f>SUM(K27:L27)</f>
        <v/>
      </c>
      <c r="N27" s="579" t="inlineStr"/>
      <c r="O27" s="579" t="inlineStr"/>
      <c r="P27" s="579" t="inlineStr"/>
      <c r="Q27" s="579">
        <f>SUM(Q23:Q26)</f>
        <v/>
      </c>
      <c r="R27" s="579" t="inlineStr"/>
      <c r="S27" s="579" t="inlineStr"/>
      <c r="T27" s="59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2031.420952</v>
      </c>
      <c r="H28" s="118" t="n">
        <v>3.668553</v>
      </c>
      <c r="I28" s="118" t="n">
        <v>0</v>
      </c>
      <c r="J28" s="118" t="n">
        <v>0</v>
      </c>
      <c r="K28" s="118" t="n">
        <v>3.668553</v>
      </c>
      <c r="L28" s="118" t="n">
        <v>1630.003094</v>
      </c>
      <c r="M28" s="187">
        <f>SUM(K28:L28)</f>
        <v/>
      </c>
      <c r="N28" s="526" t="inlineStr"/>
      <c r="O28" s="119">
        <f>K28/(F28/6)</f>
        <v/>
      </c>
      <c r="P28" s="119">
        <f>G28/F28</f>
        <v/>
      </c>
      <c r="Q28" s="587">
        <f>G28-F28</f>
        <v/>
      </c>
      <c r="R28" s="588" t="n">
        <v>39429.22</v>
      </c>
      <c r="S28" s="122">
        <f>M31/R28</f>
        <v/>
      </c>
      <c r="T28" s="588">
        <f>R28-M31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24714.615176</v>
      </c>
      <c r="H29" s="85" t="n">
        <v>158.6715</v>
      </c>
      <c r="I29" s="85" t="n">
        <v>0</v>
      </c>
      <c r="J29" s="85" t="n">
        <v>0</v>
      </c>
      <c r="K29" s="85" t="n">
        <v>158.6715</v>
      </c>
      <c r="L29" s="85" t="n">
        <v>24725.437049</v>
      </c>
      <c r="M29" s="187">
        <f>SUM(K29:L29)</f>
        <v/>
      </c>
      <c r="N29" s="498" t="inlineStr"/>
      <c r="O29" s="88">
        <f>K28/(F29/6)</f>
        <v/>
      </c>
      <c r="P29" s="88">
        <f>G29/F29</f>
        <v/>
      </c>
      <c r="Q29" s="567">
        <f>G29-F29</f>
        <v/>
      </c>
      <c r="R29" s="500" t="n"/>
      <c r="S29" s="500" t="n"/>
      <c r="T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1101.511125</v>
      </c>
      <c r="H30" s="100" t="n">
        <v>0</v>
      </c>
      <c r="I30" s="100" t="n">
        <v>0</v>
      </c>
      <c r="J30" s="100" t="n">
        <v>0</v>
      </c>
      <c r="K30" s="100" t="n">
        <v>0</v>
      </c>
      <c r="L30" s="100" t="n">
        <v>33.379125</v>
      </c>
      <c r="M30" s="187">
        <f>SUM(K30:L30)</f>
        <v/>
      </c>
      <c r="N30" s="514" t="inlineStr"/>
      <c r="O30" s="103">
        <f>K29/(F30/6)</f>
        <v/>
      </c>
      <c r="P30" s="103">
        <f>G30/F30</f>
        <v/>
      </c>
      <c r="Q30" s="576">
        <f>G30-F30</f>
        <v/>
      </c>
      <c r="R30" s="501" t="n"/>
      <c r="S30" s="501" t="n"/>
      <c r="T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592" t="n">
        <v>36251.22</v>
      </c>
      <c r="G31" s="593" t="n">
        <v>27847.547253</v>
      </c>
      <c r="H31" s="590" t="n">
        <v>162.340053</v>
      </c>
      <c r="I31" s="590" t="n">
        <v>0</v>
      </c>
      <c r="J31" s="591" t="n">
        <v>0</v>
      </c>
      <c r="K31" s="579" t="n">
        <v>162.340053</v>
      </c>
      <c r="L31" s="579" t="n">
        <v>26388.819268</v>
      </c>
      <c r="M31" s="580">
        <f>SUM(K31:L31)</f>
        <v/>
      </c>
      <c r="N31" s="579" t="inlineStr"/>
      <c r="O31" s="579" t="inlineStr"/>
      <c r="P31" s="579" t="inlineStr"/>
      <c r="Q31" s="579">
        <f>SUM(Q28:Q30)</f>
        <v/>
      </c>
      <c r="R31" s="579" t="inlineStr"/>
      <c r="S31" s="579" t="inlineStr"/>
      <c r="T31" s="59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45931</v>
      </c>
      <c r="E32" s="638" t="n">
        <v>46081</v>
      </c>
      <c r="F32" s="116" t="n">
        <v>2767.6</v>
      </c>
      <c r="G32" s="565" t="n">
        <v>1481.653663</v>
      </c>
      <c r="H32" s="118" t="n">
        <v>21.58728</v>
      </c>
      <c r="I32" s="118" t="n">
        <v>0</v>
      </c>
      <c r="J32" s="118" t="n">
        <v>0</v>
      </c>
      <c r="K32" s="118" t="n">
        <v>21.58728</v>
      </c>
      <c r="L32" s="118" t="n">
        <v>179.901915</v>
      </c>
      <c r="M32" s="187">
        <f>SUM(K32:L32)</f>
        <v/>
      </c>
      <c r="N32" s="526" t="inlineStr"/>
      <c r="O32" s="119">
        <f>K32/(F32/6)</f>
        <v/>
      </c>
      <c r="P32" s="119">
        <f>G32/F32</f>
        <v/>
      </c>
      <c r="Q32" s="587">
        <f>G32-F32</f>
        <v/>
      </c>
      <c r="R32" s="588" t="n">
        <v>24216.5</v>
      </c>
      <c r="S32" s="122">
        <f>M35/R32</f>
        <v/>
      </c>
      <c r="T32" s="588">
        <f>R32-M35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3466.840656</v>
      </c>
      <c r="H33" s="85" t="n">
        <v>2732.253014</v>
      </c>
      <c r="I33" s="85" t="n">
        <v>0</v>
      </c>
      <c r="J33" s="85" t="n">
        <v>0</v>
      </c>
      <c r="K33" s="85" t="n">
        <v>2732.253014</v>
      </c>
      <c r="L33" s="85" t="n">
        <v>534.1245</v>
      </c>
      <c r="M33" s="187">
        <f>SUM(K33:L33)</f>
        <v/>
      </c>
      <c r="N33" s="498" t="inlineStr"/>
      <c r="O33" s="88">
        <f>K32/(F33/6)</f>
        <v/>
      </c>
      <c r="P33" s="88">
        <f>G33/F33</f>
        <v/>
      </c>
      <c r="Q33" s="567">
        <f>G33-F33</f>
        <v/>
      </c>
      <c r="R33" s="500" t="n"/>
      <c r="S33" s="500" t="n"/>
      <c r="T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1220.570121</v>
      </c>
      <c r="H34" s="100" t="n">
        <v>79.10760000000001</v>
      </c>
      <c r="I34" s="100" t="n">
        <v>0</v>
      </c>
      <c r="J34" s="100" t="n">
        <v>0</v>
      </c>
      <c r="K34" s="100" t="n">
        <v>79.10760000000001</v>
      </c>
      <c r="L34" s="100" t="n">
        <v>1034.727408</v>
      </c>
      <c r="M34" s="187">
        <f>SUM(K34:L34)</f>
        <v/>
      </c>
      <c r="N34" s="514" t="inlineStr"/>
      <c r="O34" s="103">
        <f>K33/(F34/6)</f>
        <v/>
      </c>
      <c r="P34" s="103">
        <f>G34/F34</f>
        <v/>
      </c>
      <c r="Q34" s="576">
        <f>G34-F34</f>
        <v/>
      </c>
      <c r="R34" s="501" t="n"/>
      <c r="S34" s="501" t="n"/>
      <c r="T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597" t="n">
        <v>35918.56</v>
      </c>
      <c r="G35" s="597" t="n">
        <v>6169.06444</v>
      </c>
      <c r="H35" s="597" t="n">
        <v>2832.947894</v>
      </c>
      <c r="I35" s="597" t="n">
        <v>0</v>
      </c>
      <c r="J35" s="597" t="n">
        <v>0</v>
      </c>
      <c r="K35" s="597" t="n">
        <v>2832.947894</v>
      </c>
      <c r="L35" s="641" t="n">
        <v>1748.753823</v>
      </c>
      <c r="M35" s="580">
        <f>SUM(K35:L35)</f>
        <v/>
      </c>
      <c r="N35" s="598" t="inlineStr"/>
      <c r="O35" s="598" t="inlineStr"/>
      <c r="P35" s="598" t="inlineStr"/>
      <c r="Q35" s="598">
        <f>SUM(Q32:Q34)</f>
        <v/>
      </c>
      <c r="R35" s="598" t="inlineStr"/>
      <c r="S35" s="598">
        <f>SUM(S31:S34)</f>
        <v/>
      </c>
      <c r="T35" s="599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9238.911806</v>
      </c>
      <c r="H36" s="142" t="n">
        <v>1015.046523</v>
      </c>
      <c r="I36" s="142" t="n">
        <v>0</v>
      </c>
      <c r="J36" s="142" t="n">
        <v>0</v>
      </c>
      <c r="K36" s="197" t="n">
        <v>1015.046523</v>
      </c>
      <c r="L36" s="197" t="n">
        <v>8099.337429</v>
      </c>
      <c r="M36" s="187">
        <f>SUM(K36:L36)</f>
        <v/>
      </c>
      <c r="N36" s="644" t="inlineStr"/>
      <c r="O36" s="145">
        <f>K36/(F36/6)</f>
        <v/>
      </c>
      <c r="P36" s="145">
        <f>G36/F36</f>
        <v/>
      </c>
      <c r="Q36" s="604">
        <f>G36-F36</f>
        <v/>
      </c>
      <c r="R36" s="605" t="n">
        <v>30127.5</v>
      </c>
      <c r="S36" s="148">
        <f>M38/R36</f>
        <v/>
      </c>
      <c r="T36" s="606">
        <f>R36-M38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698.283339</v>
      </c>
      <c r="H37" s="154" t="n">
        <v>0</v>
      </c>
      <c r="I37" s="154" t="n">
        <v>0</v>
      </c>
      <c r="J37" s="154" t="n">
        <v>0</v>
      </c>
      <c r="K37" s="154" t="n">
        <v>0</v>
      </c>
      <c r="L37" s="154" t="n">
        <v>0</v>
      </c>
      <c r="M37" s="187">
        <f>SUM(K37:L37)</f>
        <v/>
      </c>
      <c r="N37" s="511" t="inlineStr"/>
      <c r="O37" s="156">
        <f>K36/(F37/6)</f>
        <v/>
      </c>
      <c r="P37" s="156">
        <f>G37/F37</f>
        <v/>
      </c>
      <c r="Q37" s="611">
        <f>G37-F37</f>
        <v/>
      </c>
      <c r="R37" s="607" t="n"/>
      <c r="S37" s="501" t="n"/>
      <c r="T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614" t="n">
        <v>18670.3</v>
      </c>
      <c r="G38" s="614" t="n">
        <v>9937.195145</v>
      </c>
      <c r="H38" s="614" t="n">
        <v>1015.046523</v>
      </c>
      <c r="I38" s="614" t="n">
        <v>0</v>
      </c>
      <c r="J38" s="614" t="n">
        <v>0</v>
      </c>
      <c r="K38" s="614" t="n">
        <v>1015.046523</v>
      </c>
      <c r="L38" s="614" t="n">
        <v>8099.337429</v>
      </c>
      <c r="M38" s="580">
        <f>SUM(K38:L38)</f>
        <v/>
      </c>
      <c r="N38" s="614" t="inlineStr"/>
      <c r="O38" s="615" t="inlineStr"/>
      <c r="P38" s="615" t="inlineStr"/>
      <c r="Q38" s="615">
        <f>SUM(Q36:Q37)</f>
        <v/>
      </c>
      <c r="R38" s="615" t="inlineStr"/>
      <c r="S38" s="615">
        <f>SUM(S34:S37)</f>
        <v/>
      </c>
      <c r="T38" s="615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45901</v>
      </c>
      <c r="E39" s="643" t="n">
        <v>46053</v>
      </c>
      <c r="F39" s="141" t="n">
        <v>10936.2</v>
      </c>
      <c r="G39" s="565" t="n">
        <v>7313.561982</v>
      </c>
      <c r="H39" s="142" t="n">
        <v>1113.80226</v>
      </c>
      <c r="I39" s="142" t="n">
        <v>0</v>
      </c>
      <c r="J39" s="142" t="n">
        <v>0</v>
      </c>
      <c r="K39" s="142" t="n">
        <v>1113.80226</v>
      </c>
      <c r="L39" s="142" t="n">
        <v>1009.603041</v>
      </c>
      <c r="M39" s="187">
        <f>SUM(K39:L39)</f>
        <v/>
      </c>
      <c r="N39" s="644" t="inlineStr"/>
      <c r="O39" s="145">
        <f>K39/(F39/6)</f>
        <v/>
      </c>
      <c r="P39" s="145">
        <f>G39/F39</f>
        <v/>
      </c>
      <c r="Q39" s="616">
        <f>G39-F39</f>
        <v/>
      </c>
      <c r="R39" s="605" t="n">
        <v>26246.88</v>
      </c>
      <c r="S39" s="148">
        <f>M41/R39</f>
        <v/>
      </c>
      <c r="T39" s="606">
        <f>R39-M41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1.796693</v>
      </c>
      <c r="H40" s="154" t="n">
        <v>0</v>
      </c>
      <c r="I40" s="154" t="n">
        <v>0</v>
      </c>
      <c r="J40" s="154" t="n">
        <v>0</v>
      </c>
      <c r="K40" s="154" t="n">
        <v>0</v>
      </c>
      <c r="L40" s="154" t="n">
        <v>0</v>
      </c>
      <c r="M40" s="187">
        <f>SUM(K40:L40)</f>
        <v/>
      </c>
      <c r="N40" s="511" t="inlineStr"/>
      <c r="O40" s="156">
        <f>K39/(F40/6)</f>
        <v/>
      </c>
      <c r="P40" s="156">
        <f>G40/F40</f>
        <v/>
      </c>
      <c r="Q40" s="617">
        <f>G40-F40</f>
        <v/>
      </c>
      <c r="R40" s="607" t="n"/>
      <c r="S40" s="501" t="n"/>
      <c r="T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621" t="n">
        <v>23150.16</v>
      </c>
      <c r="G41" s="621" t="n">
        <v>7315.358675</v>
      </c>
      <c r="H41" s="621" t="n">
        <v>1113.80226</v>
      </c>
      <c r="I41" s="621" t="n">
        <v>0</v>
      </c>
      <c r="J41" s="621" t="n">
        <v>0</v>
      </c>
      <c r="K41" s="621" t="n">
        <v>1113.80226</v>
      </c>
      <c r="L41" s="621" t="n">
        <v>1009.603041</v>
      </c>
      <c r="M41" s="580">
        <f>SUM(K41:L41)</f>
        <v/>
      </c>
      <c r="N41" s="621" t="inlineStr"/>
      <c r="O41" s="621" t="inlineStr"/>
      <c r="P41" s="621" t="inlineStr"/>
      <c r="Q41" s="621">
        <f>SUM(Q39:Q40)</f>
        <v/>
      </c>
      <c r="R41" s="622" t="inlineStr"/>
      <c r="S41" s="622">
        <f>SUM(S37:S40)</f>
        <v/>
      </c>
      <c r="T41" s="623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2384.899848</v>
      </c>
      <c r="H42" s="142" t="n">
        <v>567.897059</v>
      </c>
      <c r="I42" s="142" t="n">
        <v>0</v>
      </c>
      <c r="J42" s="142" t="n">
        <v>0</v>
      </c>
      <c r="K42" s="142" t="n">
        <v>567.897059</v>
      </c>
      <c r="L42" s="142" t="n">
        <v>1717.628198</v>
      </c>
      <c r="M42" s="187">
        <f>SUM(K42:L42)</f>
        <v/>
      </c>
      <c r="N42" s="644" t="inlineStr"/>
      <c r="O42" s="145">
        <f>K42/(F42/6)</f>
        <v/>
      </c>
      <c r="P42" s="145">
        <f>G42/F42</f>
        <v/>
      </c>
      <c r="Q42" s="616">
        <f>G42-F42</f>
        <v/>
      </c>
      <c r="R42" s="605" t="n">
        <v>32744.18</v>
      </c>
      <c r="S42" s="148">
        <f>M44/R42</f>
        <v/>
      </c>
      <c r="T42" s="606">
        <f>R42-M44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66.561645</v>
      </c>
      <c r="H43" s="154" t="n">
        <v>66.561645</v>
      </c>
      <c r="I43" s="154" t="n">
        <v>0</v>
      </c>
      <c r="J43" s="154" t="n">
        <v>0</v>
      </c>
      <c r="K43" s="154" t="n">
        <v>66.561645</v>
      </c>
      <c r="L43" s="154" t="n">
        <v>0</v>
      </c>
      <c r="M43" s="187">
        <f>SUM(K43:L43)</f>
        <v/>
      </c>
      <c r="N43" s="511" t="inlineStr"/>
      <c r="O43" s="156" t="inlineStr"/>
      <c r="P43" s="156">
        <f>G43/F43</f>
        <v/>
      </c>
      <c r="Q43" s="617">
        <f>G43-F43</f>
        <v/>
      </c>
      <c r="R43" s="607" t="n"/>
      <c r="S43" s="501" t="n"/>
      <c r="T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621" t="n">
        <v>29248.1</v>
      </c>
      <c r="G44" s="621" t="n">
        <v>2451.461493</v>
      </c>
      <c r="H44" s="621" t="n">
        <v>634.458704</v>
      </c>
      <c r="I44" s="621" t="n">
        <v>0</v>
      </c>
      <c r="J44" s="621" t="n">
        <v>0</v>
      </c>
      <c r="K44" s="621" t="n">
        <v>634.458704</v>
      </c>
      <c r="L44" s="621" t="n">
        <v>1717.628198</v>
      </c>
      <c r="M44" s="580">
        <f>SUM(K44:L44)</f>
        <v/>
      </c>
      <c r="N44" s="621" t="inlineStr"/>
      <c r="O44" s="621" t="inlineStr"/>
      <c r="P44" s="621" t="inlineStr"/>
      <c r="Q44" s="621">
        <f>SUM(Q42:Q43)</f>
        <v/>
      </c>
      <c r="R44" s="622" t="inlineStr"/>
      <c r="S44" s="622">
        <f>SUM(S40:S43)</f>
        <v/>
      </c>
      <c r="T44" s="623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45901</v>
      </c>
      <c r="E45" s="638" t="n">
        <v>46053</v>
      </c>
      <c r="F45" s="116" t="n">
        <v>10475.833333</v>
      </c>
      <c r="G45" s="586" t="n">
        <v>34091.727124</v>
      </c>
      <c r="H45" s="118" t="n">
        <v>702.038935</v>
      </c>
      <c r="I45" s="118" t="n">
        <v>0</v>
      </c>
      <c r="J45" s="118" t="n">
        <v>0</v>
      </c>
      <c r="K45" s="118" t="n">
        <v>702.038935</v>
      </c>
      <c r="L45" s="118" t="n">
        <v>5684.120959</v>
      </c>
      <c r="M45" s="187">
        <f>SUM(K45:L45)</f>
        <v/>
      </c>
      <c r="N45" s="526" t="inlineStr"/>
      <c r="O45" s="119">
        <f>K45/(F45/6)</f>
        <v/>
      </c>
      <c r="P45" s="119">
        <f>G45/F45</f>
        <v/>
      </c>
      <c r="Q45" s="587">
        <f>G45-F45</f>
        <v/>
      </c>
      <c r="R45" s="624" t="n">
        <v>125710</v>
      </c>
      <c r="S45" s="171">
        <f>M49/R45</f>
        <v/>
      </c>
      <c r="T45" s="625">
        <f>R45-M49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3618.513221</v>
      </c>
      <c r="H46" s="85" t="n">
        <v>63.658507</v>
      </c>
      <c r="I46" s="85" t="n">
        <v>0</v>
      </c>
      <c r="J46" s="85" t="n">
        <v>0</v>
      </c>
      <c r="K46" s="118" t="n">
        <v>63.658507</v>
      </c>
      <c r="L46" s="118" t="n">
        <v>2890.483353</v>
      </c>
      <c r="M46" s="187">
        <f>SUM(K46:L46)</f>
        <v/>
      </c>
      <c r="N46" s="498" t="inlineStr"/>
      <c r="O46" s="88">
        <f>K45/(F46/6)</f>
        <v/>
      </c>
      <c r="P46" s="88">
        <f>G46/F46</f>
        <v/>
      </c>
      <c r="Q46" s="567">
        <f>G46-F46</f>
        <v/>
      </c>
      <c r="R46" s="626" t="n"/>
      <c r="S46" s="500" t="n"/>
      <c r="T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7002.769897</v>
      </c>
      <c r="H47" s="85" t="n">
        <v>764.3685840000001</v>
      </c>
      <c r="I47" s="85" t="n">
        <v>0</v>
      </c>
      <c r="J47" s="85" t="n">
        <v>0</v>
      </c>
      <c r="K47" s="85" t="n">
        <v>764.3685840000001</v>
      </c>
      <c r="L47" s="85" t="n">
        <v>3350.258493</v>
      </c>
      <c r="M47" s="187">
        <f>SUM(K47:L47)</f>
        <v/>
      </c>
      <c r="N47" s="498" t="inlineStr"/>
      <c r="O47" s="88">
        <f>K46/(F47/6)</f>
        <v/>
      </c>
      <c r="P47" s="88">
        <f>G47/F47</f>
        <v/>
      </c>
      <c r="Q47" s="567">
        <f>G47-F47</f>
        <v/>
      </c>
      <c r="R47" s="626" t="n"/>
      <c r="S47" s="500" t="n"/>
      <c r="T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1995.88141</v>
      </c>
      <c r="I48" s="100" t="n">
        <v>0</v>
      </c>
      <c r="J48" s="100" t="n">
        <v>0</v>
      </c>
      <c r="K48" s="100" t="n">
        <v>1995.88141</v>
      </c>
      <c r="L48" s="100" t="n">
        <v>1995.88141</v>
      </c>
      <c r="M48" s="187">
        <f>SUM(K48:L48)</f>
        <v/>
      </c>
      <c r="N48" s="514" t="inlineStr"/>
      <c r="O48" s="103" t="inlineStr"/>
      <c r="P48" s="103" t="inlineStr"/>
      <c r="Q48" s="576" t="inlineStr"/>
      <c r="R48" s="628" t="n"/>
      <c r="S48" s="513" t="n"/>
      <c r="T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590" t="n">
        <v>83333.3333333333</v>
      </c>
      <c r="G49" s="590" t="n">
        <v>44713.010242</v>
      </c>
      <c r="H49" s="590">
        <f>SUM(H45:H48)</f>
        <v/>
      </c>
      <c r="I49" s="590">
        <f>SUM(I45:I48)</f>
        <v/>
      </c>
      <c r="J49" s="591">
        <f>SUM(J45:J48)</f>
        <v/>
      </c>
      <c r="K49" s="579">
        <f>SUM(K45:K48)</f>
        <v/>
      </c>
      <c r="L49" s="579" t="n">
        <v>13920.744215</v>
      </c>
      <c r="M49" s="646">
        <f>SUM(K49:L49)</f>
        <v/>
      </c>
      <c r="N49" s="579" t="inlineStr"/>
      <c r="O49" s="579" t="inlineStr"/>
      <c r="P49" s="579" t="inlineStr"/>
      <c r="Q49" s="598">
        <f>SUM(Q45:Q48)</f>
        <v/>
      </c>
      <c r="R49" s="598">
        <f>SUM(R46:R48)</f>
        <v/>
      </c>
      <c r="S49" s="598">
        <f>SUM(S45:S48)</f>
        <v/>
      </c>
      <c r="T49" s="599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31">
        <f>SUM(F10+F16+F22+F27+F31+F35+F38+F41+F44+F49)</f>
        <v/>
      </c>
      <c r="G50" s="631" t="inlineStr"/>
      <c r="H50" s="631">
        <f>SUM(H10+H16+H22+H27+H31+H35+H38+H41+H44+H49)</f>
        <v/>
      </c>
      <c r="I50" s="631">
        <f>SUM(I10+I16+I22+I27+I31+I35+I38+I41+I44+I49)</f>
        <v/>
      </c>
      <c r="J50" s="631">
        <f>SUM(J10+J16+J22+J27+J31+J35+J38+J41+J44+J49)</f>
        <v/>
      </c>
      <c r="K50" s="631">
        <f>SUM(K10+K16+K22+K27+K31+K35+K38+K41+K44+K49)</f>
        <v/>
      </c>
      <c r="L50" s="647" t="n">
        <v>108020.533558</v>
      </c>
      <c r="M50" s="648">
        <f>SUM(K50:L50)</f>
        <v/>
      </c>
      <c r="N50" s="632" t="inlineStr"/>
      <c r="O50" s="180">
        <f>K50/(F50/6)</f>
        <v/>
      </c>
      <c r="P50" s="181">
        <f>G50/F50</f>
        <v/>
      </c>
      <c r="Q50" s="633">
        <f>SUM(Q10+Q16+Q22+Q27+Q31+Q35+Q38+Q41+Q44+Q49)</f>
        <v/>
      </c>
      <c r="R50" s="633">
        <f>SUM(R4+R11+R17+R23+R28+R32+R36+R39+R42+R45)</f>
        <v/>
      </c>
      <c r="S50" s="183">
        <f>M50/R50</f>
        <v/>
      </c>
      <c r="T50" s="633">
        <f>R50-M50</f>
        <v/>
      </c>
    </row>
    <row r="51" ht="24" customFormat="1" customHeight="1" s="483">
      <c r="Q51" s="633" t="inlineStr">
        <is>
          <t>公司目标</t>
        </is>
      </c>
      <c r="R51" s="633" t="n">
        <v>630987.38</v>
      </c>
      <c r="S51" s="183">
        <f>M50/R51</f>
        <v/>
      </c>
      <c r="T51" s="633">
        <f>R51-M50</f>
        <v/>
      </c>
    </row>
  </sheetData>
  <mergeCells count="73">
    <mergeCell ref="R23:R26"/>
    <mergeCell ref="T11:T15"/>
    <mergeCell ref="A49:E49"/>
    <mergeCell ref="M2:M3"/>
    <mergeCell ref="A36:A37"/>
    <mergeCell ref="B2:B3"/>
    <mergeCell ref="N2:N3"/>
    <mergeCell ref="S42:S43"/>
    <mergeCell ref="D2:D3"/>
    <mergeCell ref="T45:T48"/>
    <mergeCell ref="F2:F3"/>
    <mergeCell ref="A1:Q1"/>
    <mergeCell ref="A32:A34"/>
    <mergeCell ref="P2:P3"/>
    <mergeCell ref="H2:H3"/>
    <mergeCell ref="T28:T30"/>
    <mergeCell ref="A17:A21"/>
    <mergeCell ref="R4:R9"/>
    <mergeCell ref="A45:A48"/>
    <mergeCell ref="R17:R21"/>
    <mergeCell ref="S39:S40"/>
    <mergeCell ref="T4:T9"/>
    <mergeCell ref="S23:S26"/>
    <mergeCell ref="T17:T21"/>
    <mergeCell ref="A16:E16"/>
    <mergeCell ref="A28:A30"/>
    <mergeCell ref="A41:E41"/>
    <mergeCell ref="A2:A3"/>
    <mergeCell ref="C2:C3"/>
    <mergeCell ref="R36:R37"/>
    <mergeCell ref="R42:R43"/>
    <mergeCell ref="E2:E3"/>
    <mergeCell ref="K2:K3"/>
    <mergeCell ref="A27:E27"/>
    <mergeCell ref="R45:R48"/>
    <mergeCell ref="S32:S34"/>
    <mergeCell ref="T2:T3"/>
    <mergeCell ref="T32:T34"/>
    <mergeCell ref="S28:S30"/>
    <mergeCell ref="A50:E50"/>
    <mergeCell ref="A23:A26"/>
    <mergeCell ref="T23:T26"/>
    <mergeCell ref="A42:A43"/>
    <mergeCell ref="I2:I3"/>
    <mergeCell ref="R11:R15"/>
    <mergeCell ref="T42:T43"/>
    <mergeCell ref="O2:O3"/>
    <mergeCell ref="R32:R34"/>
    <mergeCell ref="A11:A15"/>
    <mergeCell ref="Q2:Q3"/>
    <mergeCell ref="R28:R30"/>
    <mergeCell ref="R2:R3"/>
    <mergeCell ref="A22:E22"/>
    <mergeCell ref="S36:S37"/>
    <mergeCell ref="J2:J3"/>
    <mergeCell ref="L2:L3"/>
    <mergeCell ref="A35:E35"/>
    <mergeCell ref="A4:A9"/>
    <mergeCell ref="A38:E38"/>
    <mergeCell ref="S17:S21"/>
    <mergeCell ref="A10:E10"/>
    <mergeCell ref="S11:S15"/>
    <mergeCell ref="A39:A40"/>
    <mergeCell ref="S4:S9"/>
    <mergeCell ref="T39:T40"/>
    <mergeCell ref="S45:S48"/>
    <mergeCell ref="T36:T37"/>
    <mergeCell ref="A44:E44"/>
    <mergeCell ref="G2:G3"/>
    <mergeCell ref="A31:E31"/>
    <mergeCell ref="S2:S3"/>
    <mergeCell ref="R1:S1"/>
    <mergeCell ref="R39:R40"/>
  </mergeCells>
  <conditionalFormatting sqref="L2:L3">
    <cfRule type="cellIs" priority="1" operator="lessThan" dxfId="3">
      <formula>100</formula>
    </cfRule>
  </conditionalFormatting>
  <conditionalFormatting sqref="G4:G9">
    <cfRule type="dataBar" priority="2">
      <dataBar>
        <cfvo type="min"/>
        <cfvo type="max"/>
        <color rgb="FFFF555A"/>
      </dataBar>
    </cfRule>
  </conditionalFormatting>
  <conditionalFormatting sqref="G4:G9 J4:J9">
    <cfRule type="cellIs" priority="3" operator="between" dxfId="0">
      <formula>2000</formula>
      <formula>7600</formula>
    </cfRule>
    <cfRule type="cellIs" priority="4" operator="greaterThan" dxfId="1">
      <formula>7600</formula>
    </cfRule>
    <cfRule type="dataBar" priority="5">
      <dataBar>
        <cfvo type="min"/>
        <cfvo type="max"/>
        <color rgb="FF63C384"/>
      </dataBar>
    </cfRule>
  </conditionalFormatting>
  <conditionalFormatting sqref="G36:G37 G39:G40 G42:G43 G45:G47">
    <cfRule type="dataBar" priority="6">
      <dataBar>
        <cfvo type="min"/>
        <cfvo type="max"/>
        <color rgb="FFFF555A"/>
      </dataBar>
    </cfRule>
  </conditionalFormatting>
  <conditionalFormatting sqref="G32:G34">
    <cfRule type="dataBar" priority="7">
      <dataBar>
        <cfvo type="min"/>
        <cfvo type="max"/>
        <color rgb="FFFF555A"/>
      </dataBar>
    </cfRule>
    <cfRule type="cellIs" priority="24" operator="between" dxfId="0">
      <formula>2000</formula>
      <formula>7600</formula>
    </cfRule>
    <cfRule type="cellIs" priority="25" operator="greaterThan" dxfId="1">
      <formula>7600</formula>
    </cfRule>
  </conditionalFormatting>
  <conditionalFormatting sqref="G28:G30">
    <cfRule type="dataBar" priority="8">
      <dataBar>
        <cfvo type="min"/>
        <cfvo type="max"/>
        <color rgb="FFFF555A"/>
      </dataBar>
    </cfRule>
    <cfRule type="cellIs" priority="26" operator="between" dxfId="0">
      <formula>2000</formula>
      <formula>7600</formula>
    </cfRule>
    <cfRule type="cellIs" priority="27" operator="greaterThan" dxfId="1">
      <formula>7600</formula>
    </cfRule>
  </conditionalFormatting>
  <conditionalFormatting sqref="G23:G26">
    <cfRule type="dataBar" priority="9">
      <dataBar>
        <cfvo type="min"/>
        <cfvo type="max"/>
        <color rgb="FFFF555A"/>
      </dataBar>
    </cfRule>
    <cfRule type="cellIs" priority="28" operator="between" dxfId="0">
      <formula>2000</formula>
      <formula>7600</formula>
    </cfRule>
    <cfRule type="cellIs" priority="29" operator="greaterThan" dxfId="1">
      <formula>7600</formula>
    </cfRule>
  </conditionalFormatting>
  <conditionalFormatting sqref="G17:G21">
    <cfRule type="dataBar" priority="10">
      <dataBar>
        <cfvo type="min"/>
        <cfvo type="max"/>
        <color rgb="FFFF555A"/>
      </dataBar>
    </cfRule>
    <cfRule type="cellIs" priority="39" operator="between" dxfId="0">
      <formula>2000</formula>
      <formula>7600</formula>
    </cfRule>
    <cfRule type="cellIs" priority="40" operator="greaterThan" dxfId="1">
      <formula>7600</formula>
    </cfRule>
  </conditionalFormatting>
  <conditionalFormatting sqref="G11:G15">
    <cfRule type="dataBar" priority="11">
      <dataBar>
        <cfvo type="min"/>
        <cfvo type="max"/>
        <color rgb="FFFF555A"/>
      </dataBar>
    </cfRule>
    <cfRule type="cellIs" priority="54" operator="between" dxfId="0">
      <formula>2000</formula>
      <formula>7600</formula>
    </cfRule>
    <cfRule type="cellIs" priority="55" operator="greaterThan" dxfId="1">
      <formula>7600</formula>
    </cfRule>
  </conditionalFormatting>
  <conditionalFormatting sqref="G45:G47">
    <cfRule type="cellIs" priority="12" operator="between" dxfId="0">
      <formula>2000</formula>
      <formula>7600</formula>
    </cfRule>
    <cfRule type="cellIs" priority="13" operator="greaterThan" dxfId="1">
      <formula>7600</formula>
    </cfRule>
    <cfRule type="dataBar" priority="14">
      <dataBar>
        <cfvo type="min"/>
        <cfvo type="max"/>
        <color rgb="FF63C384"/>
      </dataBar>
    </cfRule>
  </conditionalFormatting>
  <conditionalFormatting sqref="G42:G43">
    <cfRule type="cellIs" priority="15" operator="between" dxfId="0">
      <formula>2000</formula>
      <formula>7600</formula>
    </cfRule>
    <cfRule type="cellIs" priority="16" operator="greaterThan" dxfId="1">
      <formula>7600</formula>
    </cfRule>
    <cfRule type="dataBar" priority="17">
      <dataBar>
        <cfvo type="min"/>
        <cfvo type="max"/>
        <color rgb="FF63C384"/>
      </dataBar>
    </cfRule>
  </conditionalFormatting>
  <conditionalFormatting sqref="G39:G40">
    <cfRule type="cellIs" priority="18" operator="between" dxfId="0">
      <formula>2000</formula>
      <formula>7600</formula>
    </cfRule>
    <cfRule type="cellIs" priority="19" operator="greaterThan" dxfId="1">
      <formula>7600</formula>
    </cfRule>
    <cfRule type="dataBar" priority="20">
      <dataBar>
        <cfvo type="min"/>
        <cfvo type="max"/>
        <color rgb="FF63C384"/>
      </dataBar>
    </cfRule>
  </conditionalFormatting>
  <conditionalFormatting sqref="G36:G37">
    <cfRule type="cellIs" priority="21" operator="between" dxfId="0">
      <formula>2000</formula>
      <formula>7600</formula>
    </cfRule>
    <cfRule type="cellIs" priority="22" operator="greaterThan" dxfId="1">
      <formula>7600</formula>
    </cfRule>
    <cfRule type="dataBar" priority="23">
      <dataBar>
        <cfvo type="min"/>
        <cfvo type="max"/>
        <color rgb="FF63C384"/>
      </dataBar>
    </cfRule>
  </conditionalFormatting>
  <conditionalFormatting sqref="P50">
    <cfRule type="cellIs" priority="30" operator="greaterThan" dxfId="1">
      <formula>0.5631</formula>
    </cfRule>
  </conditionalFormatting>
  <conditionalFormatting sqref="S45">
    <cfRule type="cellIs" priority="31" operator="greaterThan" dxfId="2">
      <formula>0.5631</formula>
    </cfRule>
  </conditionalFormatting>
  <conditionalFormatting sqref="S42">
    <cfRule type="cellIs" priority="32" operator="greaterThan" dxfId="2">
      <formula>0.5631</formula>
    </cfRule>
  </conditionalFormatting>
  <conditionalFormatting sqref="S39">
    <cfRule type="cellIs" priority="33" operator="greaterThan" dxfId="2">
      <formula>0.5631</formula>
    </cfRule>
  </conditionalFormatting>
  <conditionalFormatting sqref="P42:P43">
    <cfRule type="cellIs" priority="34" operator="greaterThan" dxfId="1">
      <formula>0.5631</formula>
    </cfRule>
  </conditionalFormatting>
  <conditionalFormatting sqref="S36">
    <cfRule type="cellIs" priority="35" operator="greaterThan" dxfId="2">
      <formula>0.5631</formula>
    </cfRule>
  </conditionalFormatting>
  <conditionalFormatting sqref="S32">
    <cfRule type="cellIs" priority="36" operator="greaterThan" dxfId="2">
      <formula>0.5631</formula>
    </cfRule>
  </conditionalFormatting>
  <conditionalFormatting sqref="P32:P34">
    <cfRule type="cellIs" priority="37" operator="greaterThan" dxfId="1">
      <formula>0.5631</formula>
    </cfRule>
  </conditionalFormatting>
  <conditionalFormatting sqref="S28">
    <cfRule type="cellIs" priority="38" operator="greaterThan" dxfId="2">
      <formula>0.5631</formula>
    </cfRule>
  </conditionalFormatting>
  <conditionalFormatting sqref="P45:P48">
    <cfRule type="cellIs" priority="41" operator="greaterThan" dxfId="1">
      <formula>0.5631</formula>
    </cfRule>
  </conditionalFormatting>
  <conditionalFormatting sqref="P39:P40">
    <cfRule type="cellIs" priority="42" operator="greaterThan" dxfId="1">
      <formula>0.5631</formula>
    </cfRule>
  </conditionalFormatting>
  <conditionalFormatting sqref="P36:P37">
    <cfRule type="cellIs" priority="43" operator="greaterThan" dxfId="1">
      <formula>0.5631</formula>
    </cfRule>
  </conditionalFormatting>
  <conditionalFormatting sqref="P28:P30">
    <cfRule type="cellIs" priority="44" operator="greaterThan" dxfId="1">
      <formula>0.5631</formula>
    </cfRule>
  </conditionalFormatting>
  <conditionalFormatting sqref="P23:P26">
    <cfRule type="cellIs" priority="45" operator="greaterThan" dxfId="1">
      <formula>0.5631</formula>
    </cfRule>
  </conditionalFormatting>
  <conditionalFormatting sqref="S17">
    <cfRule type="cellIs" priority="46" operator="greaterThan" dxfId="2">
      <formula>0.5631</formula>
    </cfRule>
  </conditionalFormatting>
  <conditionalFormatting sqref="O22">
    <cfRule type="cellIs" priority="47" operator="greaterThan" dxfId="1">
      <formula>0.5631</formula>
    </cfRule>
  </conditionalFormatting>
  <conditionalFormatting sqref="R22">
    <cfRule type="cellIs" priority="48" operator="greaterThan" dxfId="2">
      <formula>0.5631</formula>
    </cfRule>
  </conditionalFormatting>
  <conditionalFormatting sqref="P17:P21">
    <cfRule type="cellIs" priority="49" operator="greaterThan" dxfId="1">
      <formula>0.5631</formula>
    </cfRule>
  </conditionalFormatting>
  <conditionalFormatting sqref="S11">
    <cfRule type="cellIs" priority="50" operator="greaterThan" dxfId="2">
      <formula>0.5631</formula>
    </cfRule>
  </conditionalFormatting>
  <conditionalFormatting sqref="O16">
    <cfRule type="cellIs" priority="51" operator="greaterThan" dxfId="1">
      <formula>0.5631</formula>
    </cfRule>
  </conditionalFormatting>
  <conditionalFormatting sqref="R16">
    <cfRule type="cellIs" priority="52" operator="greaterThan" dxfId="2">
      <formula>0.5631</formula>
    </cfRule>
  </conditionalFormatting>
  <conditionalFormatting sqref="P11:P15">
    <cfRule type="cellIs" priority="53" operator="greaterThan" dxfId="1">
      <formula>0.5631</formula>
    </cfRule>
  </conditionalFormatting>
  <conditionalFormatting sqref="O10">
    <cfRule type="cellIs" priority="56" operator="greaterThan" dxfId="1">
      <formula>0.5631</formula>
    </cfRule>
  </conditionalFormatting>
  <conditionalFormatting sqref="R10">
    <cfRule type="cellIs" priority="57" operator="greaterThan" dxfId="2">
      <formula>0.5631</formula>
    </cfRule>
  </conditionalFormatting>
  <conditionalFormatting sqref="P2:P9">
    <cfRule type="cellIs" priority="58" operator="greaterThan" dxfId="1">
      <formula>0.5631</formula>
    </cfRule>
  </conditionalFormatting>
  <conditionalFormatting sqref="K2:K3 M2">
    <cfRule type="cellIs" priority="59" operator="lessThan" dxfId="3">
      <formula>100</formula>
    </cfRule>
  </conditionalFormatting>
  <conditionalFormatting sqref="S4">
    <cfRule type="cellIs" priority="60" operator="greaterThan" dxfId="2">
      <formula>0.5631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width="13" customWidth="1" style="533" min="16" max="16"/>
    <col width="13.625" customWidth="1" style="533" min="17" max="17"/>
    <col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29"/>
  </cols>
  <sheetData>
    <row r="1" ht="20.25" customFormat="1" customHeight="1" s="483">
      <c r="A1" s="754" t="inlineStr">
        <is>
          <t>私人财富管理部折标销售进度表-截止20260306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552" t="inlineStr">
        <is>
          <t>上半年时间进度</t>
        </is>
      </c>
      <c r="X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传统202603</t>
        </is>
      </c>
      <c r="I2" s="506" t="inlineStr">
        <is>
          <t>保险202603</t>
        </is>
      </c>
      <c r="J2" s="506" t="inlineStr">
        <is>
          <t>管理费202603</t>
        </is>
      </c>
      <c r="K2" s="557" t="inlineStr">
        <is>
          <t>2026年
3月折标</t>
        </is>
      </c>
      <c r="L2" s="506" t="inlineStr">
        <is>
          <t>传统202602</t>
        </is>
      </c>
      <c r="M2" s="506" t="inlineStr">
        <is>
          <t>保险202602</t>
        </is>
      </c>
      <c r="N2" s="506" t="inlineStr">
        <is>
          <t>管理费202602</t>
        </is>
      </c>
      <c r="O2" s="557" t="inlineStr">
        <is>
          <t>2026年
2月折标</t>
        </is>
      </c>
      <c r="P2" s="557" t="inlineStr">
        <is>
          <t>2026年
1月折标</t>
        </is>
      </c>
      <c r="Q2" s="634" t="inlineStr">
        <is>
          <t>2026年YTD折标</t>
        </is>
      </c>
      <c r="R2" s="558" t="inlineStr">
        <is>
          <t>2026年
1月销量
[USD]</t>
        </is>
      </c>
      <c r="S2" s="559" t="inlineStr">
        <is>
          <t>月度
完成率</t>
        </is>
      </c>
      <c r="T2" s="554" t="inlineStr">
        <is>
          <t>考核期完成率（累计）</t>
        </is>
      </c>
      <c r="U2" s="560" t="inlineStr">
        <is>
          <t>考核期差距</t>
        </is>
      </c>
      <c r="V2" s="561" t="inlineStr">
        <is>
          <t>财富中心
上半年年任务</t>
        </is>
      </c>
      <c r="W2" s="79" t="inlineStr">
        <is>
          <t>财富中心
上半年任务完成率</t>
        </is>
      </c>
      <c r="X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7596.814194</v>
      </c>
      <c r="H4" s="85" t="n">
        <v>0</v>
      </c>
      <c r="I4" s="85" t="n">
        <v>0</v>
      </c>
      <c r="J4" s="85" t="n">
        <v>0</v>
      </c>
      <c r="K4" s="187">
        <f>SUM(H4:J4)</f>
        <v/>
      </c>
      <c r="L4" s="85" t="n">
        <v>454.800547</v>
      </c>
      <c r="M4" s="85" t="n">
        <v>0</v>
      </c>
      <c r="N4" s="85" t="n">
        <v>0</v>
      </c>
      <c r="O4" s="187">
        <f>SUM(L4:N4)</f>
        <v/>
      </c>
      <c r="P4" s="187" t="n">
        <v>3311.566531</v>
      </c>
      <c r="Q4" s="187">
        <f>SUM(K4+O4+P4)</f>
        <v/>
      </c>
      <c r="R4" s="566" t="inlineStr"/>
      <c r="S4" s="91">
        <f>K4/(F4/((YEAR(E4)*12+MONTH(E4))-(YEAR(D4)*12+MONTH(D4))+1))</f>
        <v/>
      </c>
      <c r="T4" s="91">
        <f>G4/F4</f>
        <v/>
      </c>
      <c r="U4" s="567">
        <f>F4-G4</f>
        <v/>
      </c>
      <c r="V4" s="203" t="n">
        <v>141926.4</v>
      </c>
      <c r="W4" s="91">
        <f>W10</f>
        <v/>
      </c>
      <c r="X4" s="569">
        <f>X10</f>
        <v/>
      </c>
      <c r="AA4" s="570" t="inlineStr">
        <is>
          <t>开始日期</t>
        </is>
      </c>
      <c r="AB4" s="570" t="inlineStr">
        <is>
          <t>结束日期</t>
        </is>
      </c>
      <c r="AC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33918.926019</v>
      </c>
      <c r="H5" s="85" t="n">
        <v>0</v>
      </c>
      <c r="I5" s="85" t="n">
        <v>0</v>
      </c>
      <c r="J5" s="85" t="n">
        <v>0</v>
      </c>
      <c r="K5" s="187">
        <f>SUM(H5:J5)</f>
        <v/>
      </c>
      <c r="L5" s="85" t="n">
        <v>9688.821542</v>
      </c>
      <c r="M5" s="85" t="n">
        <v>0</v>
      </c>
      <c r="N5" s="85" t="n">
        <v>0</v>
      </c>
      <c r="O5" s="187">
        <f>SUM(L5:N5)</f>
        <v/>
      </c>
      <c r="P5" s="188" t="n">
        <v>13116.995922</v>
      </c>
      <c r="Q5" s="187">
        <f>SUM(K5+O5+P5)</f>
        <v/>
      </c>
      <c r="R5" s="500" t="n"/>
      <c r="S5" s="91">
        <f>K5/(F5/((YEAR(E5)*12+MONTH(E5))-(YEAR(D5)*12+MONTH(D5))+1))</f>
        <v/>
      </c>
      <c r="T5" s="91">
        <f>G5/F5</f>
        <v/>
      </c>
      <c r="U5" s="567">
        <f>F5-G5</f>
        <v/>
      </c>
      <c r="V5" s="500" t="n"/>
      <c r="W5" s="500" t="n"/>
      <c r="X5" s="500" t="n"/>
      <c r="AA5" s="94" t="n">
        <v>46023</v>
      </c>
      <c r="AB5" s="94" t="n">
        <v>46203</v>
      </c>
      <c r="AC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2618.988896</v>
      </c>
      <c r="H6" s="85" t="n">
        <v>0</v>
      </c>
      <c r="I6" s="85" t="n">
        <v>0</v>
      </c>
      <c r="J6" s="85" t="n">
        <v>0</v>
      </c>
      <c r="K6" s="187">
        <f>SUM(H6:J6)</f>
        <v/>
      </c>
      <c r="L6" s="85" t="n">
        <v>267.1032</v>
      </c>
      <c r="M6" s="85" t="n">
        <v>0</v>
      </c>
      <c r="N6" s="85" t="n">
        <v>0</v>
      </c>
      <c r="O6" s="187">
        <f>SUM(L6:N6)</f>
        <v/>
      </c>
      <c r="P6" s="187" t="n">
        <v>2351.885696</v>
      </c>
      <c r="Q6" s="187">
        <f>SUM(K6+O6+P6)</f>
        <v/>
      </c>
      <c r="R6" s="500" t="n"/>
      <c r="S6" s="91">
        <f>K6/(F6/((YEAR(E6)*12+MONTH(E6))-(YEAR(D6)*12+MONTH(D6))+1))</f>
        <v/>
      </c>
      <c r="T6" s="91">
        <f>G6/F6</f>
        <v/>
      </c>
      <c r="U6" s="567">
        <f>F6-G6</f>
        <v/>
      </c>
      <c r="V6" s="500" t="n"/>
      <c r="W6" s="500" t="n"/>
      <c r="X6" s="500" t="n"/>
      <c r="AA6" s="570" t="inlineStr">
        <is>
          <t>计算日期</t>
        </is>
      </c>
      <c r="AB6" s="570">
        <f>X5-W5</f>
        <v/>
      </c>
      <c r="AC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5603.591088</v>
      </c>
      <c r="H7" s="85" t="n">
        <v>0</v>
      </c>
      <c r="I7" s="85" t="n">
        <v>0</v>
      </c>
      <c r="J7" s="85" t="n">
        <v>0</v>
      </c>
      <c r="K7" s="187">
        <f>SUM(H7:J7)</f>
        <v/>
      </c>
      <c r="L7" s="85" t="n">
        <v>1402.304143</v>
      </c>
      <c r="M7" s="85" t="n">
        <v>742.65048</v>
      </c>
      <c r="N7" s="85" t="n">
        <v>0</v>
      </c>
      <c r="O7" s="187">
        <f>SUM(L7:N7)</f>
        <v/>
      </c>
      <c r="P7" s="187" t="n">
        <v>3458.636465</v>
      </c>
      <c r="Q7" s="187">
        <f>SUM(K7+O7+P7)</f>
        <v/>
      </c>
      <c r="R7" s="500" t="n"/>
      <c r="S7" s="91">
        <f>K7/(F7/((YEAR(E7)*12+MONTH(E7))-(YEAR(D7)*12+MONTH(D7))+1))</f>
        <v/>
      </c>
      <c r="T7" s="91">
        <f>G7/F7</f>
        <v/>
      </c>
      <c r="U7" s="567">
        <f>F7-G7</f>
        <v/>
      </c>
      <c r="V7" s="500" t="n"/>
      <c r="W7" s="500" t="n"/>
      <c r="X7" s="500" t="n"/>
      <c r="AA7" s="94" t="n">
        <v>46087</v>
      </c>
      <c r="AB7" s="204">
        <f>AB5-AA5+1</f>
        <v/>
      </c>
      <c r="AC7" s="70">
        <f>(AA7-AA5+1)/AB7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924.422927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41.2776</v>
      </c>
      <c r="M8" s="85" t="n">
        <v>0</v>
      </c>
      <c r="N8" s="85" t="n">
        <v>0</v>
      </c>
      <c r="O8" s="187">
        <f>SUM(L8:N8)</f>
        <v/>
      </c>
      <c r="P8" s="187" t="n">
        <v>746.88392</v>
      </c>
      <c r="Q8" s="187">
        <f>SUM(K8+O8+P8)</f>
        <v/>
      </c>
      <c r="R8" s="500" t="n"/>
      <c r="S8" s="91">
        <f>K8/(F8/((YEAR(E8)*12+MONTH(E8))-(YEAR(D8)*12+MONTH(D8))+1))</f>
        <v/>
      </c>
      <c r="T8" s="91">
        <f>G8/F8</f>
        <v/>
      </c>
      <c r="U8" s="567">
        <f>F8-G8</f>
        <v/>
      </c>
      <c r="V8" s="500" t="n"/>
      <c r="W8" s="500" t="n"/>
      <c r="X8" s="500" t="n"/>
      <c r="AA8" s="570" t="inlineStr"/>
      <c r="AB8" s="570" t="inlineStr"/>
      <c r="AC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85" t="n">
        <v>0</v>
      </c>
      <c r="M9" s="85" t="n">
        <v>0</v>
      </c>
      <c r="N9" s="100" t="n">
        <v>0</v>
      </c>
      <c r="O9" s="187">
        <f>SUM(L9:N9)</f>
        <v/>
      </c>
      <c r="P9" s="190" t="n">
        <v>0</v>
      </c>
      <c r="Q9" s="187">
        <f>SUM(K9+O9+P9)</f>
        <v/>
      </c>
      <c r="R9" s="501" t="n"/>
      <c r="S9" s="205">
        <f>K9/(F9/((YEAR(E9)*12+MONTH(E9))-(YEAR(D9)*12+MONTH(D9))+1))</f>
        <v/>
      </c>
      <c r="T9" s="205">
        <f>G9/F9</f>
        <v/>
      </c>
      <c r="U9" s="576">
        <f>F9-G9</f>
        <v/>
      </c>
      <c r="V9" s="501" t="n"/>
      <c r="W9" s="501" t="n"/>
      <c r="X9" s="501" t="n"/>
      <c r="AA9" s="570" t="inlineStr">
        <is>
          <t>计算日期</t>
        </is>
      </c>
      <c r="AB9" s="570" t="n">
        <v>365</v>
      </c>
      <c r="AC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SUM(K10+O10+P10)</f>
        <v/>
      </c>
      <c r="R10" s="109" t="inlineStr"/>
      <c r="S10" s="207">
        <f>K10/(F10/((YEAR(E4)*12+MONTH(E4))-(YEAR(D4)*12+MONTH(D4))+1))</f>
        <v/>
      </c>
      <c r="T10" s="207">
        <f>G10/F10</f>
        <v/>
      </c>
      <c r="U10" s="580">
        <f>F10-G10</f>
        <v/>
      </c>
      <c r="V10" s="208">
        <f>V4</f>
        <v/>
      </c>
      <c r="W10" s="209">
        <f>Q10/V4</f>
        <v/>
      </c>
      <c r="X10" s="650">
        <f>V4-Q10</f>
        <v/>
      </c>
      <c r="Y10" s="651" t="inlineStr"/>
      <c r="Z10" s="651" t="inlineStr"/>
      <c r="AA10" s="212" t="n">
        <v>46087</v>
      </c>
      <c r="AB10" s="651" t="inlineStr"/>
      <c r="AC10" s="213">
        <f>(AA10-DATE(YEAR(AA10),1,1)+1)/AB9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8285.11198</v>
      </c>
      <c r="H11" s="589" t="n">
        <v>1802.916024</v>
      </c>
      <c r="I11" s="589" t="n">
        <v>0</v>
      </c>
      <c r="J11" s="589" t="n">
        <v>0</v>
      </c>
      <c r="K11" s="589">
        <f>SUM(H11:J11)</f>
        <v/>
      </c>
      <c r="L11" s="118" t="n">
        <v>0</v>
      </c>
      <c r="M11" s="118" t="n">
        <v>0</v>
      </c>
      <c r="N11" s="118" t="n">
        <v>0</v>
      </c>
      <c r="O11" s="118">
        <f>SUM(L11:N11)</f>
        <v/>
      </c>
      <c r="P11" s="118" t="n">
        <v>6482.195956</v>
      </c>
      <c r="Q11" s="187">
        <f>SUM(K11+O11+P11)</f>
        <v/>
      </c>
      <c r="R11" s="526" t="inlineStr"/>
      <c r="S11" s="122">
        <f>K11/(F11/((YEAR(E11)*12+MONTH(E11))-(YEAR(D11)*12+MONTH(D11))+1))</f>
        <v/>
      </c>
      <c r="T11" s="122">
        <f>G11/F11</f>
        <v/>
      </c>
      <c r="U11" s="587">
        <f>F11-G11</f>
        <v/>
      </c>
      <c r="V11" s="214" t="n">
        <v>84476.32000000001</v>
      </c>
      <c r="W11" s="122">
        <f>W16</f>
        <v/>
      </c>
      <c r="X11" s="652">
        <f>X16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3683.181304</v>
      </c>
      <c r="H12" s="85" t="n">
        <v>0</v>
      </c>
      <c r="I12" s="85" t="n">
        <v>0</v>
      </c>
      <c r="J12" s="85" t="n">
        <v>0</v>
      </c>
      <c r="K12" s="85">
        <f>SUM(H12:J12)</f>
        <v/>
      </c>
      <c r="L12" s="85" t="n">
        <v>641.804579</v>
      </c>
      <c r="M12" s="85" t="n">
        <v>0</v>
      </c>
      <c r="N12" s="85" t="n">
        <v>0</v>
      </c>
      <c r="O12" s="85">
        <f>SUM(L12:N12)</f>
        <v/>
      </c>
      <c r="P12" s="85" t="n">
        <v>3041.376725</v>
      </c>
      <c r="Q12" s="187">
        <f>SUM(K12+O12+P12)</f>
        <v/>
      </c>
      <c r="R12" s="500" t="n"/>
      <c r="S12" s="91">
        <f>K12/(F12/((YEAR(E12)*12+MONTH(E12))-(YEAR(D12)*12+MONTH(D12))+1))</f>
        <v/>
      </c>
      <c r="T12" s="91">
        <f>G12/F12</f>
        <v/>
      </c>
      <c r="U12" s="567">
        <f>F12-G12</f>
        <v/>
      </c>
      <c r="V12" s="500" t="n"/>
      <c r="W12" s="500" t="n"/>
      <c r="X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0</v>
      </c>
      <c r="M13" s="85" t="n">
        <v>0</v>
      </c>
      <c r="N13" s="85" t="n">
        <v>0</v>
      </c>
      <c r="O13" s="85">
        <f>SUM(L13:N13)</f>
        <v/>
      </c>
      <c r="P13" s="85" t="n">
        <v>0</v>
      </c>
      <c r="Q13" s="187">
        <f>SUM(K13+O13+P13)</f>
        <v/>
      </c>
      <c r="R13" s="500" t="n"/>
      <c r="S13" s="91">
        <f>K13/(F13/((YEAR(E13)*12+MONTH(E13))-(YEAR(D13)*12+MONTH(D13))+1))</f>
        <v/>
      </c>
      <c r="T13" s="91">
        <f>G13/F13</f>
        <v/>
      </c>
      <c r="U13" s="567">
        <f>F13-G13</f>
        <v/>
      </c>
      <c r="V13" s="500" t="n"/>
      <c r="W13" s="500" t="n"/>
      <c r="X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12602.2</v>
      </c>
      <c r="G14" s="565" t="n">
        <v>1475.145378</v>
      </c>
      <c r="H14" s="85" t="n">
        <v>0</v>
      </c>
      <c r="I14" s="85" t="n">
        <v>0</v>
      </c>
      <c r="J14" s="85" t="n">
        <v>0</v>
      </c>
      <c r="K14" s="85">
        <f>SUM(H14:J14)</f>
        <v/>
      </c>
      <c r="L14" s="85" t="n">
        <v>1475.145378</v>
      </c>
      <c r="M14" s="85" t="n">
        <v>0</v>
      </c>
      <c r="N14" s="85" t="n">
        <v>0</v>
      </c>
      <c r="O14" s="85">
        <f>SUM(L14:N14)</f>
        <v/>
      </c>
      <c r="P14" s="85" t="n">
        <v>271.694319</v>
      </c>
      <c r="Q14" s="187">
        <f>SUM(K14+O14+P14)</f>
        <v/>
      </c>
      <c r="R14" s="500" t="n"/>
      <c r="S14" s="91">
        <f>K14/(F14/((YEAR(E14)*12+MONTH(E14))-(YEAR(D14)*12+MONTH(D14))+1))</f>
        <v/>
      </c>
      <c r="T14" s="91">
        <f>G14/F14</f>
        <v/>
      </c>
      <c r="U14" s="567">
        <f>F14-G14</f>
        <v/>
      </c>
      <c r="V14" s="500" t="n"/>
      <c r="W14" s="500" t="n"/>
      <c r="X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0</v>
      </c>
      <c r="N15" s="100" t="n">
        <v>0</v>
      </c>
      <c r="O15" s="100">
        <f>SUM(L15:N15)</f>
        <v/>
      </c>
      <c r="P15" s="100" t="n">
        <v>0</v>
      </c>
      <c r="Q15" s="187">
        <f>SUM(K15+O15+P15)</f>
        <v/>
      </c>
      <c r="R15" s="501" t="n"/>
      <c r="S15" s="205">
        <f>K15/(F15/((YEAR(E15)*12+MONTH(E15))-(YEAR(D15)*12+MONTH(D15))+1))</f>
        <v/>
      </c>
      <c r="T15" s="205">
        <f>G15/F15</f>
        <v/>
      </c>
      <c r="U15" s="576">
        <f>F15-G15</f>
        <v/>
      </c>
      <c r="V15" s="501" t="n"/>
      <c r="W15" s="501" t="n"/>
      <c r="X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SUM(K16+O16+P16)</f>
        <v/>
      </c>
      <c r="R16" s="109" t="inlineStr"/>
      <c r="S16" s="207">
        <f>K16/(F16/((YEAR(E11)*12+MONTH(E11))-(YEAR(D11)*12+MONTH(D11))+1))</f>
        <v/>
      </c>
      <c r="T16" s="207">
        <f>G16/F16</f>
        <v/>
      </c>
      <c r="U16" s="580">
        <f>F16-G16</f>
        <v/>
      </c>
      <c r="V16" s="208">
        <f>V11</f>
        <v/>
      </c>
      <c r="W16" s="209">
        <f>Q16/V11</f>
        <v/>
      </c>
      <c r="X16" s="650">
        <f>V11-Q16</f>
        <v/>
      </c>
      <c r="Y16" s="651" t="inlineStr"/>
      <c r="Z16" s="651" t="inlineStr"/>
      <c r="AA16" s="651" t="inlineStr"/>
      <c r="AB16" s="651" t="inlineStr"/>
      <c r="AC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45901</v>
      </c>
      <c r="E17" s="638" t="n">
        <v>46053</v>
      </c>
      <c r="F17" s="116" t="n">
        <v>28222.5</v>
      </c>
      <c r="G17" s="586" t="n">
        <v>21256.428803</v>
      </c>
      <c r="H17" s="589" t="n">
        <v>0</v>
      </c>
      <c r="I17" s="589" t="n">
        <v>0</v>
      </c>
      <c r="J17" s="589" t="n">
        <v>0</v>
      </c>
      <c r="K17" s="589">
        <f>SUM(H17:J17)</f>
        <v/>
      </c>
      <c r="L17" s="118" t="n">
        <v>3557.362586</v>
      </c>
      <c r="M17" s="118" t="n">
        <v>0</v>
      </c>
      <c r="N17" s="118" t="n">
        <v>0</v>
      </c>
      <c r="O17" s="118">
        <f>SUM(L17:N17)</f>
        <v/>
      </c>
      <c r="P17" s="118" t="n">
        <v>8988.571889000001</v>
      </c>
      <c r="Q17" s="187">
        <f>SUM(K17+O17+P17)</f>
        <v/>
      </c>
      <c r="R17" s="526" t="inlineStr"/>
      <c r="S17" s="122">
        <f>K17/(F17/((YEAR(E17)*12+MONTH(E17))-(YEAR(D17)*12+MONTH(D17))+1))</f>
        <v/>
      </c>
      <c r="T17" s="122">
        <f>G17/F17</f>
        <v/>
      </c>
      <c r="U17" s="587">
        <f>F17-G17</f>
        <v/>
      </c>
      <c r="V17" s="214" t="n">
        <v>62089.5</v>
      </c>
      <c r="W17" s="122">
        <f>W22</f>
        <v/>
      </c>
      <c r="X17" s="652">
        <f>X22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2630.55</v>
      </c>
      <c r="H18" s="85" t="n">
        <v>0</v>
      </c>
      <c r="I18" s="85" t="n">
        <v>0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0</v>
      </c>
      <c r="O18" s="85">
        <f>SUM(L18:N18)</f>
        <v/>
      </c>
      <c r="P18" s="85" t="n">
        <v>2630.55</v>
      </c>
      <c r="Q18" s="187">
        <f>SUM(K18+O18+P18)</f>
        <v/>
      </c>
      <c r="R18" s="500" t="n"/>
      <c r="S18" s="91">
        <f>K18/(F18/((YEAR(E18)*12+MONTH(E18))-(YEAR(D18)*12+MONTH(D18))+1))</f>
        <v/>
      </c>
      <c r="T18" s="91">
        <f>G18/F18</f>
        <v/>
      </c>
      <c r="U18" s="567">
        <f>F18-G18</f>
        <v/>
      </c>
      <c r="V18" s="500" t="n"/>
      <c r="W18" s="500" t="n"/>
      <c r="X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0</v>
      </c>
      <c r="O19" s="85">
        <f>SUM(L19:N19)</f>
        <v/>
      </c>
      <c r="P19" s="85" t="n">
        <v>9.587089000000001</v>
      </c>
      <c r="Q19" s="187">
        <f>SUM(K19+O19+P19)</f>
        <v/>
      </c>
      <c r="R19" s="500" t="n"/>
      <c r="S19" s="91">
        <f>K19/(F19/((YEAR(E19)*12+MONTH(E19))-(YEAR(D19)*12+MONTH(D19))+1))</f>
        <v/>
      </c>
      <c r="T19" s="91">
        <f>G19/F19</f>
        <v/>
      </c>
      <c r="U19" s="567">
        <f>F19-G19</f>
        <v/>
      </c>
      <c r="V19" s="500" t="n"/>
      <c r="W19" s="500" t="n"/>
      <c r="X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25.0224</v>
      </c>
      <c r="M20" s="85" t="n">
        <v>1050.9408</v>
      </c>
      <c r="N20" s="85" t="n">
        <v>0</v>
      </c>
      <c r="O20" s="85">
        <f>SUM(L20:N20)</f>
        <v/>
      </c>
      <c r="P20" s="85" t="n">
        <v>125.112</v>
      </c>
      <c r="Q20" s="187">
        <f>SUM(K20+O20+P20)</f>
        <v/>
      </c>
      <c r="R20" s="500" t="n"/>
      <c r="S20" s="91">
        <f>K20/(F20/((YEAR(E20)*12+MONTH(E20))-(YEAR(D20)*12+MONTH(D20))+1))</f>
        <v/>
      </c>
      <c r="T20" s="91">
        <f>G20/F20</f>
        <v/>
      </c>
      <c r="U20" s="567">
        <f>F20-G20</f>
        <v/>
      </c>
      <c r="V20" s="500" t="n"/>
      <c r="W20" s="500" t="n"/>
      <c r="X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87">
        <f>SUM(K21+O21+P21)</f>
        <v/>
      </c>
      <c r="R21" s="501" t="n"/>
      <c r="S21" s="205">
        <f>K21/(F21/((YEAR(E21)*12+MONTH(E21))-(YEAR(D21)*12+MONTH(D21))+1))</f>
        <v/>
      </c>
      <c r="T21" s="205">
        <f>G21/F21</f>
        <v/>
      </c>
      <c r="U21" s="576">
        <f>F21-G21</f>
        <v/>
      </c>
      <c r="V21" s="501" t="n"/>
      <c r="W21" s="501" t="n"/>
      <c r="X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SUM(K22+O22+P22)</f>
        <v/>
      </c>
      <c r="R22" s="109" t="inlineStr"/>
      <c r="S22" s="207">
        <f>K22/(F22/((YEAR(E17)*12+MONTH(E17))-(YEAR(D17)*12+MONTH(D17))+1))</f>
        <v/>
      </c>
      <c r="T22" s="207">
        <f>G22/F22</f>
        <v/>
      </c>
      <c r="U22" s="580">
        <f>F22-G22</f>
        <v/>
      </c>
      <c r="V22" s="208">
        <f>V17</f>
        <v/>
      </c>
      <c r="W22" s="209">
        <f>Q22/V17</f>
        <v/>
      </c>
      <c r="X22" s="650">
        <f>V17-Q22</f>
        <v/>
      </c>
      <c r="Y22" s="651" t="inlineStr"/>
      <c r="Z22" s="651" t="inlineStr"/>
      <c r="AA22" s="651" t="inlineStr"/>
      <c r="AB22" s="651" t="inlineStr"/>
      <c r="AC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481.994614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118" t="n">
        <v>190.944681</v>
      </c>
      <c r="M23" s="118" t="n">
        <v>0</v>
      </c>
      <c r="N23" s="123" t="n">
        <v>0</v>
      </c>
      <c r="O23" s="118">
        <f>SUM(L23:N23)</f>
        <v/>
      </c>
      <c r="P23" s="118" t="n">
        <v>291.049933</v>
      </c>
      <c r="Q23" s="187">
        <f>SUM(K23+O23+P23)</f>
        <v/>
      </c>
      <c r="R23" s="526" t="inlineStr"/>
      <c r="S23" s="122">
        <f>K23/(F23/((YEAR(E23)*12+MONTH(E23))-(YEAR(D23)*12+MONTH(D23))+1))</f>
        <v/>
      </c>
      <c r="T23" s="122">
        <f>G23/F23</f>
        <v/>
      </c>
      <c r="U23" s="587">
        <f>F23-G23</f>
        <v/>
      </c>
      <c r="V23" s="217" t="n">
        <v>64020.88</v>
      </c>
      <c r="W23" s="218">
        <f>W27</f>
        <v/>
      </c>
      <c r="X23" s="652">
        <f>X27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4616.023944</v>
      </c>
      <c r="H24" s="126" t="n">
        <v>0</v>
      </c>
      <c r="I24" s="126" t="n">
        <v>0</v>
      </c>
      <c r="J24" s="126" t="n">
        <v>0</v>
      </c>
      <c r="K24" s="85">
        <f>SUM(H24:J24)</f>
        <v/>
      </c>
      <c r="L24" s="85" t="n">
        <v>0.8469</v>
      </c>
      <c r="M24" s="85" t="n">
        <v>4558.0158</v>
      </c>
      <c r="N24" s="126" t="n">
        <v>0</v>
      </c>
      <c r="O24" s="85">
        <f>SUM(L24:N24)</f>
        <v/>
      </c>
      <c r="P24" s="85" t="n">
        <v>21.644177</v>
      </c>
      <c r="Q24" s="187">
        <f>SUM(K24+O24+P24)</f>
        <v/>
      </c>
      <c r="R24" s="500" t="n"/>
      <c r="S24" s="91">
        <f>K24/(F24/((YEAR(E24)*12+MONTH(E24))-(YEAR(D24)*12+MONTH(D24))+1))</f>
        <v/>
      </c>
      <c r="T24" s="91">
        <f>G24/F24</f>
        <v/>
      </c>
      <c r="U24" s="567">
        <f>F24-G24</f>
        <v/>
      </c>
      <c r="V24" s="500" t="n"/>
      <c r="W24" s="500" t="n"/>
      <c r="X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6387.626401</v>
      </c>
      <c r="H25" s="126" t="n">
        <v>0</v>
      </c>
      <c r="I25" s="126" t="n">
        <v>0</v>
      </c>
      <c r="J25" s="126" t="n">
        <v>0</v>
      </c>
      <c r="K25" s="85">
        <f>SUM(H25:J25)</f>
        <v/>
      </c>
      <c r="L25" s="85" t="n">
        <v>3847.561596</v>
      </c>
      <c r="M25" s="85" t="n">
        <v>0</v>
      </c>
      <c r="N25" s="126" t="n">
        <v>0</v>
      </c>
      <c r="O25" s="85">
        <f>SUM(L25:N25)</f>
        <v/>
      </c>
      <c r="P25" s="85" t="n">
        <v>2540.064804</v>
      </c>
      <c r="Q25" s="187">
        <f>SUM(K25+O25+P25)</f>
        <v/>
      </c>
      <c r="R25" s="500" t="n"/>
      <c r="S25" s="91">
        <f>K25/(F25/((YEAR(E25)*12+MONTH(E25))-(YEAR(D25)*12+MONTH(D25))+1))</f>
        <v/>
      </c>
      <c r="T25" s="91">
        <f>G25/F25</f>
        <v/>
      </c>
      <c r="U25" s="567">
        <f>F25-G25</f>
        <v/>
      </c>
      <c r="V25" s="500" t="n"/>
      <c r="W25" s="500" t="n"/>
      <c r="X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00" t="n">
        <v>0</v>
      </c>
      <c r="M26" s="100" t="n">
        <v>0</v>
      </c>
      <c r="N26" s="127" t="n">
        <v>0</v>
      </c>
      <c r="O26" s="100">
        <f>SUM(L26:N26)</f>
        <v/>
      </c>
      <c r="P26" s="100" t="n">
        <v>0</v>
      </c>
      <c r="Q26" s="187">
        <f>SUM(K26+O26+P26)</f>
        <v/>
      </c>
      <c r="R26" s="501" t="n"/>
      <c r="S26" s="91">
        <f>K26/(F26/((YEAR(E26)*12+MONTH(E26))-(YEAR(D26)*12+MONTH(D26))+1))</f>
        <v/>
      </c>
      <c r="T26" s="91">
        <f>G26/F26</f>
        <v/>
      </c>
      <c r="U26" s="567">
        <f>F26-G26</f>
        <v/>
      </c>
      <c r="V26" s="513" t="n"/>
      <c r="W26" s="513" t="n"/>
      <c r="X26" s="501" t="n"/>
      <c r="AA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0">
        <f>SUM(L23:L26)</f>
        <v/>
      </c>
      <c r="M27" s="590">
        <f>SUM(M23:M26)</f>
        <v/>
      </c>
      <c r="N27" s="591">
        <f>SUM(N23:N26)</f>
        <v/>
      </c>
      <c r="O27" s="579">
        <f>SUM(O23:O26)</f>
        <v/>
      </c>
      <c r="P27" s="579">
        <f>SUM(P23:P26)</f>
        <v/>
      </c>
      <c r="Q27" s="580">
        <f>SUM(K27+O27+P27)</f>
        <v/>
      </c>
      <c r="R27" s="579" t="inlineStr"/>
      <c r="S27" s="220">
        <f>K27/(F27/((YEAR(E23)*12+MONTH(E23))-(YEAR(D23)*12+MONTH(D23))+1))</f>
        <v/>
      </c>
      <c r="T27" s="221">
        <f>G27/F27</f>
        <v/>
      </c>
      <c r="U27" s="579">
        <f>F27-G27</f>
        <v/>
      </c>
      <c r="V27" s="222">
        <f>V23</f>
        <v/>
      </c>
      <c r="W27" s="220">
        <f>Q27/V23</f>
        <v/>
      </c>
      <c r="X27" s="654">
        <f>V23-Q27</f>
        <v/>
      </c>
      <c r="Y27" s="651" t="inlineStr"/>
      <c r="Z27" s="651" t="inlineStr"/>
      <c r="AA27" s="651" t="inlineStr"/>
      <c r="AB27" s="651" t="inlineStr"/>
      <c r="AC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2180.872159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118" t="n">
        <v>153.11976</v>
      </c>
      <c r="M28" s="118" t="n">
        <v>0</v>
      </c>
      <c r="N28" s="118" t="n">
        <v>0</v>
      </c>
      <c r="O28" s="118">
        <f>SUM(L28:N28)</f>
        <v/>
      </c>
      <c r="P28" s="118" t="n">
        <v>2027.752399</v>
      </c>
      <c r="Q28" s="187">
        <f>SUM(K28+O28+P28)</f>
        <v/>
      </c>
      <c r="R28" s="526" t="inlineStr"/>
      <c r="S28" s="122">
        <f>K28/(F28/((YEAR(E28)*12+MONTH(E28))-(YEAR(D28)*12+MONTH(D28))+1))</f>
        <v/>
      </c>
      <c r="T28" s="122">
        <f>G28/F28</f>
        <v/>
      </c>
      <c r="U28" s="587">
        <f>F28-G28</f>
        <v/>
      </c>
      <c r="V28" s="214" t="n">
        <v>39429.22</v>
      </c>
      <c r="W28" s="122">
        <f>W31</f>
        <v/>
      </c>
      <c r="X28" s="652">
        <f>X31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25020.250123</v>
      </c>
      <c r="H29" s="85" t="n">
        <v>0</v>
      </c>
      <c r="I29" s="85" t="n">
        <v>0</v>
      </c>
      <c r="J29" s="85" t="n">
        <v>0</v>
      </c>
      <c r="K29" s="85">
        <f>SUM(H29:J29)</f>
        <v/>
      </c>
      <c r="L29" s="85" t="n">
        <v>425.23962</v>
      </c>
      <c r="M29" s="85" t="n">
        <v>0</v>
      </c>
      <c r="N29" s="85" t="n">
        <v>0</v>
      </c>
      <c r="O29" s="85">
        <f>SUM(L29:N29)</f>
        <v/>
      </c>
      <c r="P29" s="85" t="n">
        <v>24595.010503</v>
      </c>
      <c r="Q29" s="187">
        <f>SUM(K29+O29+P29)</f>
        <v/>
      </c>
      <c r="R29" s="500" t="n"/>
      <c r="S29" s="91">
        <f>K29/(F29/((YEAR(E29)*12+MONTH(E29))-(YEAR(D29)*12+MONTH(D29))+1))</f>
        <v/>
      </c>
      <c r="T29" s="91">
        <f>G29/F29</f>
        <v/>
      </c>
      <c r="U29" s="567">
        <f>F29-G29</f>
        <v/>
      </c>
      <c r="V29" s="500" t="n"/>
      <c r="W29" s="500" t="n"/>
      <c r="X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1134.89025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0</v>
      </c>
      <c r="O30" s="100">
        <f>SUM(L30:N30)</f>
        <v/>
      </c>
      <c r="P30" s="100" t="n">
        <v>66.75825</v>
      </c>
      <c r="Q30" s="187">
        <f>SUM(K30+O30+P30)</f>
        <v/>
      </c>
      <c r="R30" s="501" t="n"/>
      <c r="S30" s="205">
        <f>K30/(F30/((YEAR(E30)*12+MONTH(E30))-(YEAR(D30)*12+MONTH(D30))+1))</f>
        <v/>
      </c>
      <c r="T30" s="205">
        <f>G30/F30</f>
        <v/>
      </c>
      <c r="U30" s="576">
        <f>F30-G30</f>
        <v/>
      </c>
      <c r="V30" s="501" t="n"/>
      <c r="W30" s="501" t="n"/>
      <c r="X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0">
        <f>SUM(L28:L30)</f>
        <v/>
      </c>
      <c r="M31" s="590">
        <f>SUM(M28:M30)</f>
        <v/>
      </c>
      <c r="N31" s="591">
        <f>SUM(N28:N30)</f>
        <v/>
      </c>
      <c r="O31" s="579">
        <f>SUM(O28:O30)</f>
        <v/>
      </c>
      <c r="P31" s="579">
        <f>SUM(P28:P30)</f>
        <v/>
      </c>
      <c r="Q31" s="580">
        <f>SUM(K31+O31+P31)</f>
        <v/>
      </c>
      <c r="R31" s="579" t="inlineStr"/>
      <c r="S31" s="220">
        <f>K31/(F31/((YEAR(E28)*12+MONTH(E28))-(YEAR(D28)*12+MONTH(D28))+1))</f>
        <v/>
      </c>
      <c r="T31" s="221">
        <f>G31/F31</f>
        <v/>
      </c>
      <c r="U31" s="579">
        <f>F31-G31</f>
        <v/>
      </c>
      <c r="V31" s="222">
        <f>V28</f>
        <v/>
      </c>
      <c r="W31" s="220">
        <f>Q31/V28</f>
        <v/>
      </c>
      <c r="X31" s="654">
        <f>V28-Q31</f>
        <v/>
      </c>
      <c r="Y31" s="651" t="inlineStr"/>
      <c r="Z31" s="651" t="inlineStr"/>
      <c r="AA31" s="651" t="inlineStr"/>
      <c r="AB31" s="651" t="inlineStr"/>
      <c r="AC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45931</v>
      </c>
      <c r="E32" s="638" t="n">
        <v>46081</v>
      </c>
      <c r="F32" s="116" t="n">
        <v>2767.6</v>
      </c>
      <c r="G32" s="565" t="n">
        <v>1511.772776</v>
      </c>
      <c r="H32" s="653" t="n">
        <v>0</v>
      </c>
      <c r="I32" s="653" t="n">
        <v>0</v>
      </c>
      <c r="J32" s="653" t="n">
        <v>0</v>
      </c>
      <c r="K32" s="653">
        <f>SUM(H32:J32)</f>
        <v/>
      </c>
      <c r="L32" s="118" t="n">
        <v>51.706393</v>
      </c>
      <c r="M32" s="118" t="n">
        <v>0</v>
      </c>
      <c r="N32" s="118" t="n">
        <v>0</v>
      </c>
      <c r="O32" s="118">
        <f>SUM(L32:N32)</f>
        <v/>
      </c>
      <c r="P32" s="118" t="n">
        <v>193.330405</v>
      </c>
      <c r="Q32" s="187">
        <f>SUM(K32+O32+P32)</f>
        <v/>
      </c>
      <c r="R32" s="526" t="inlineStr"/>
      <c r="S32" s="122">
        <f>K32/(F32/((YEAR(E32)*12+MONTH(E32))-(YEAR(D32)*12+MONTH(D32))+1))</f>
        <v/>
      </c>
      <c r="T32" s="122">
        <f>G32/F32</f>
        <v/>
      </c>
      <c r="U32" s="587">
        <f>F32-G32</f>
        <v/>
      </c>
      <c r="V32" s="214" t="n">
        <v>24216.5</v>
      </c>
      <c r="W32" s="122">
        <f>W35</f>
        <v/>
      </c>
      <c r="X32" s="652">
        <f>X35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6057.965556</v>
      </c>
      <c r="H33" s="85" t="n">
        <v>0</v>
      </c>
      <c r="I33" s="85" t="n">
        <v>0</v>
      </c>
      <c r="J33" s="85" t="n">
        <v>0</v>
      </c>
      <c r="K33" s="85">
        <f>SUM(H33:J33)</f>
        <v/>
      </c>
      <c r="L33" s="85" t="n">
        <v>4987.997414</v>
      </c>
      <c r="M33" s="85" t="n">
        <v>0</v>
      </c>
      <c r="N33" s="85" t="n">
        <v>0</v>
      </c>
      <c r="O33" s="85">
        <f>SUM(L33:N33)</f>
        <v/>
      </c>
      <c r="P33" s="85" t="n">
        <v>1069.968142</v>
      </c>
      <c r="Q33" s="187">
        <f>SUM(K33+O33+P33)</f>
        <v/>
      </c>
      <c r="R33" s="500" t="n"/>
      <c r="S33" s="91">
        <f>K33/(F33/((YEAR(E33)*12+MONTH(E33))-(YEAR(D33)*12+MONTH(D33))+1))</f>
        <v/>
      </c>
      <c r="T33" s="91">
        <f>G33/F33</f>
        <v/>
      </c>
      <c r="U33" s="567">
        <f>F33-G33</f>
        <v/>
      </c>
      <c r="V33" s="500" t="n"/>
      <c r="W33" s="500" t="n"/>
      <c r="X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1616.108121</v>
      </c>
      <c r="H34" s="100" t="n">
        <v>0</v>
      </c>
      <c r="I34" s="100" t="n">
        <v>0</v>
      </c>
      <c r="J34" s="100" t="n">
        <v>0</v>
      </c>
      <c r="K34" s="100">
        <f>SUM(H34:J34)</f>
        <v/>
      </c>
      <c r="L34" s="100" t="n">
        <v>474.6456</v>
      </c>
      <c r="M34" s="100" t="n">
        <v>0</v>
      </c>
      <c r="N34" s="100" t="n">
        <v>0</v>
      </c>
      <c r="O34" s="100">
        <f>SUM(L34:N34)</f>
        <v/>
      </c>
      <c r="P34" s="100" t="n">
        <v>1141.462521</v>
      </c>
      <c r="Q34" s="187">
        <f>SUM(K34+O34+P34)</f>
        <v/>
      </c>
      <c r="R34" s="501" t="n"/>
      <c r="S34" s="205">
        <f>K34/(F34/((YEAR(E34)*12+MONTH(E34))-(YEAR(D34)*12+MONTH(D34))+1))</f>
        <v/>
      </c>
      <c r="T34" s="205">
        <f>G34/F34</f>
        <v/>
      </c>
      <c r="U34" s="576">
        <f>F34-G34</f>
        <v/>
      </c>
      <c r="V34" s="501" t="n"/>
      <c r="W34" s="501" t="n"/>
      <c r="X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597">
        <f>SUM(O32:O34)</f>
        <v/>
      </c>
      <c r="P35" s="641">
        <f>SUM(P32:P34)</f>
        <v/>
      </c>
      <c r="Q35" s="580">
        <f>SUM(K35+O35+P35)</f>
        <v/>
      </c>
      <c r="R35" s="598" t="inlineStr"/>
      <c r="S35" s="226">
        <f>K35/(F35/((YEAR(E32)*12+MONTH(E32))-(YEAR(D32)*12+MONTH(D32))+1))</f>
        <v/>
      </c>
      <c r="T35" s="227">
        <f>G35/F35</f>
        <v/>
      </c>
      <c r="U35" s="598">
        <f>F35-G35</f>
        <v/>
      </c>
      <c r="V35" s="228">
        <f>V32</f>
        <v/>
      </c>
      <c r="W35" s="226">
        <f>Q35/V32</f>
        <v/>
      </c>
      <c r="X35" s="655">
        <f>V32-Q35</f>
        <v/>
      </c>
      <c r="Y35" s="651" t="inlineStr"/>
      <c r="Z35" s="651" t="inlineStr"/>
      <c r="AA35" s="651" t="inlineStr"/>
      <c r="AB35" s="651" t="inlineStr"/>
      <c r="AC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17026.013744</v>
      </c>
      <c r="H36" s="142" t="n">
        <v>187.9956</v>
      </c>
      <c r="I36" s="142" t="n">
        <v>0</v>
      </c>
      <c r="J36" s="142" t="n">
        <v>0</v>
      </c>
      <c r="K36" s="197">
        <f>SUM(H36:J36)</f>
        <v/>
      </c>
      <c r="L36" s="142" t="n">
        <v>6594.535422</v>
      </c>
      <c r="M36" s="142" t="n">
        <v>0</v>
      </c>
      <c r="N36" s="142" t="n">
        <v>0</v>
      </c>
      <c r="O36" s="197">
        <f>SUM(L36:N36)</f>
        <v/>
      </c>
      <c r="P36" s="197" t="n">
        <v>10243.482722</v>
      </c>
      <c r="Q36" s="187">
        <f>SUM(K36+O36+P36)</f>
        <v/>
      </c>
      <c r="R36" s="644" t="inlineStr"/>
      <c r="S36" s="148">
        <f>K36/(F36/((YEAR(E36)*12+MONTH(E36))-(YEAR(D36)*12+MONTH(D36))+1))</f>
        <v/>
      </c>
      <c r="T36" s="148">
        <f>G36/F36</f>
        <v/>
      </c>
      <c r="U36" s="604">
        <f>F36-G36</f>
        <v/>
      </c>
      <c r="V36" s="230" t="n">
        <v>30127.5</v>
      </c>
      <c r="W36" s="148">
        <f>W38</f>
        <v/>
      </c>
      <c r="X36" s="656">
        <f>X38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440.8209</v>
      </c>
      <c r="M37" s="154" t="n">
        <v>0</v>
      </c>
      <c r="N37" s="154" t="n">
        <v>0</v>
      </c>
      <c r="O37" s="154">
        <f>SUM(L37:N37)</f>
        <v/>
      </c>
      <c r="P37" s="154" t="n">
        <v>0</v>
      </c>
      <c r="Q37" s="187">
        <f>SUM(K37+O37+P37)</f>
        <v/>
      </c>
      <c r="R37" s="501" t="n"/>
      <c r="S37" s="232">
        <f>K37/(F37/((YEAR(E37)*12+MONTH(E37))-(YEAR(D37)*12+MONTH(D37))+1))</f>
        <v/>
      </c>
      <c r="T37" s="232">
        <f>G37/F37</f>
        <v/>
      </c>
      <c r="U37" s="611">
        <f>F37-G37</f>
        <v/>
      </c>
      <c r="V37" s="607" t="n"/>
      <c r="W37" s="501" t="n"/>
      <c r="X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614">
        <f>SUM(L36:L37)</f>
        <v/>
      </c>
      <c r="M38" s="614">
        <f>SUM(M36:M37)</f>
        <v/>
      </c>
      <c r="N38" s="614">
        <f>SUM(N36:N37)</f>
        <v/>
      </c>
      <c r="O38" s="614">
        <f>SUM(O36:O37)</f>
        <v/>
      </c>
      <c r="P38" s="614">
        <f>SUM(P36:P37)</f>
        <v/>
      </c>
      <c r="Q38" s="580">
        <f>SUM(K38+O38+P38)</f>
        <v/>
      </c>
      <c r="R38" s="614" t="inlineStr"/>
      <c r="S38" s="234">
        <f>K38/(F38/((YEAR(E36)*12+MONTH(E36))-(YEAR(D36)*12+MONTH(D36))+1))</f>
        <v/>
      </c>
      <c r="T38" s="235">
        <f>G38/F38</f>
        <v/>
      </c>
      <c r="U38" s="615">
        <f>F38-G38</f>
        <v/>
      </c>
      <c r="V38" s="236">
        <f>V36</f>
        <v/>
      </c>
      <c r="W38" s="234">
        <f>Q38/V36</f>
        <v/>
      </c>
      <c r="X38" s="657">
        <f>V36-Q38</f>
        <v/>
      </c>
      <c r="Y38" s="651" t="inlineStr"/>
      <c r="Z38" s="651" t="inlineStr"/>
      <c r="AA38" s="651" t="inlineStr"/>
      <c r="AB38" s="651" t="inlineStr"/>
      <c r="AC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1951.460797</v>
      </c>
      <c r="H39" s="142" t="n">
        <v>213.2559</v>
      </c>
      <c r="I39" s="142" t="n">
        <v>0</v>
      </c>
      <c r="J39" s="142" t="n">
        <v>0</v>
      </c>
      <c r="K39" s="142">
        <f>SUM(H39:J39)</f>
        <v/>
      </c>
      <c r="L39" s="142" t="n">
        <v>1738.204897</v>
      </c>
      <c r="M39" s="142" t="n">
        <v>0</v>
      </c>
      <c r="N39" s="142" t="n">
        <v>0</v>
      </c>
      <c r="O39" s="142">
        <f>SUM(L39:N39)</f>
        <v/>
      </c>
      <c r="P39" s="142" t="n">
        <v>1538.222074</v>
      </c>
      <c r="Q39" s="187">
        <f>SUM(K39+O39+P39)</f>
        <v/>
      </c>
      <c r="R39" s="644" t="inlineStr"/>
      <c r="S39" s="148">
        <f>K39/(F39/((YEAR(E39)*12+MONTH(E39))-(YEAR(D39)*12+MONTH(D39))+1))</f>
        <v/>
      </c>
      <c r="T39" s="148">
        <f>G39/F39</f>
        <v/>
      </c>
      <c r="U39" s="616">
        <f>F39-G39</f>
        <v/>
      </c>
      <c r="V39" s="230" t="n">
        <v>26246.88</v>
      </c>
      <c r="W39" s="148">
        <f>W41</f>
        <v/>
      </c>
      <c r="X39" s="656">
        <f>X41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178.005273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176.20858</v>
      </c>
      <c r="M40" s="154" t="n">
        <v>0</v>
      </c>
      <c r="N40" s="154" t="n">
        <v>0</v>
      </c>
      <c r="O40" s="154">
        <f>SUM(L40:N40)</f>
        <v/>
      </c>
      <c r="P40" s="154" t="n">
        <v>0</v>
      </c>
      <c r="Q40" s="187">
        <f>SUM(K40+O40+P40)</f>
        <v/>
      </c>
      <c r="R40" s="501" t="n"/>
      <c r="S40" s="232">
        <f>K40/(F40/((YEAR(E40)*12+MONTH(E40))-(YEAR(D40)*12+MONTH(D40))+1))</f>
        <v/>
      </c>
      <c r="T40" s="232">
        <f>G40/F40</f>
        <v/>
      </c>
      <c r="U40" s="617">
        <f>F40-G40</f>
        <v/>
      </c>
      <c r="V40" s="607" t="n"/>
      <c r="W40" s="501" t="n"/>
      <c r="X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621">
        <f>SUM(L39:L40)</f>
        <v/>
      </c>
      <c r="M41" s="621">
        <f>SUM(M39:M40)</f>
        <v/>
      </c>
      <c r="N41" s="621">
        <f>SUM(N39:N40)</f>
        <v/>
      </c>
      <c r="O41" s="621">
        <f>SUM(O39:O40)</f>
        <v/>
      </c>
      <c r="P41" s="621">
        <f>SUM(P39:P40)</f>
        <v/>
      </c>
      <c r="Q41" s="580">
        <f>SUM(K41+O41+P41)</f>
        <v/>
      </c>
      <c r="R41" s="621" t="inlineStr"/>
      <c r="S41" s="239">
        <f>K41/(F41/((YEAR(E39)*12+MONTH(E39))-(YEAR(D39)*12+MONTH(D39))+1))</f>
        <v/>
      </c>
      <c r="T41" s="240">
        <f>G41/F41</f>
        <v/>
      </c>
      <c r="U41" s="621">
        <f>F41-G41</f>
        <v/>
      </c>
      <c r="V41" s="241">
        <f>V39</f>
        <v/>
      </c>
      <c r="W41" s="242">
        <f>Q41/V39</f>
        <v/>
      </c>
      <c r="X41" s="658">
        <f>V39-Q41</f>
        <v/>
      </c>
      <c r="Y41" s="651" t="inlineStr"/>
      <c r="Z41" s="651" t="inlineStr"/>
      <c r="AA41" s="651" t="inlineStr"/>
      <c r="AB41" s="651" t="inlineStr"/>
      <c r="AC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5745.205148</v>
      </c>
      <c r="H42" s="142" t="n">
        <v>2265.867156</v>
      </c>
      <c r="I42" s="142" t="n">
        <v>0</v>
      </c>
      <c r="J42" s="142" t="n">
        <v>0</v>
      </c>
      <c r="K42" s="142">
        <f>SUM(H42:J42)</f>
        <v/>
      </c>
      <c r="L42" s="142" t="n">
        <v>1081.878995</v>
      </c>
      <c r="M42" s="142" t="n">
        <v>523.50012</v>
      </c>
      <c r="N42" s="142" t="n">
        <v>0</v>
      </c>
      <c r="O42" s="142">
        <f>SUM(L42:N42)</f>
        <v/>
      </c>
      <c r="P42" s="142" t="n">
        <v>1873.958877</v>
      </c>
      <c r="Q42" s="187">
        <f>SUM(K42+O42+P42)</f>
        <v/>
      </c>
      <c r="R42" s="644" t="inlineStr"/>
      <c r="S42" s="148">
        <f>K42/(F42/((YEAR(E42)*12+MONTH(E42))-(YEAR(D42)*12+MONTH(D42))+1))</f>
        <v/>
      </c>
      <c r="T42" s="148">
        <f>G42/F42</f>
        <v/>
      </c>
      <c r="U42" s="616">
        <f>F42-G42</f>
        <v/>
      </c>
      <c r="V42" s="230" t="n">
        <v>32744.18</v>
      </c>
      <c r="W42" s="148">
        <f>W44</f>
        <v/>
      </c>
      <c r="X42" s="656">
        <f>X44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524.574731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524.574731</v>
      </c>
      <c r="M43" s="154" t="n">
        <v>0</v>
      </c>
      <c r="N43" s="154" t="n">
        <v>0</v>
      </c>
      <c r="O43" s="154">
        <f>SUM(L43:N43)</f>
        <v/>
      </c>
      <c r="P43" s="154" t="n">
        <v>0</v>
      </c>
      <c r="Q43" s="187">
        <f>SUM(K43+O43+P43)</f>
        <v/>
      </c>
      <c r="R43" s="501" t="n"/>
      <c r="S43" s="232">
        <f>K43/(F43/((YEAR(E43)*12+MONTH(E43))-(YEAR(D43)*12+MONTH(D43))+1))</f>
        <v/>
      </c>
      <c r="T43" s="232">
        <f>G43/F43</f>
        <v/>
      </c>
      <c r="U43" s="617">
        <f>F43-G43</f>
        <v/>
      </c>
      <c r="V43" s="607" t="n"/>
      <c r="W43" s="501" t="n"/>
      <c r="X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621">
        <f>SUM(L42:L43)</f>
        <v/>
      </c>
      <c r="M44" s="621">
        <f>SUM(M42:M43)</f>
        <v/>
      </c>
      <c r="N44" s="621">
        <f>SUM(N42:N43)</f>
        <v/>
      </c>
      <c r="O44" s="621">
        <f>SUM(O42:O43)</f>
        <v/>
      </c>
      <c r="P44" s="621">
        <f>SUM(P42:P43)</f>
        <v/>
      </c>
      <c r="Q44" s="580">
        <f>SUM(K44+O44+P44)</f>
        <v/>
      </c>
      <c r="R44" s="621" t="inlineStr"/>
      <c r="S44" s="239">
        <f>K44/(F44/((YEAR(E42)*12+MONTH(E42))-(YEAR(D42)*12+MONTH(D42))+1))</f>
        <v/>
      </c>
      <c r="T44" s="240">
        <f>G44/F44</f>
        <v/>
      </c>
      <c r="U44" s="621">
        <f>F44-G44</f>
        <v/>
      </c>
      <c r="V44" s="241">
        <f>V42</f>
        <v/>
      </c>
      <c r="W44" s="242">
        <f>Q44/V42</f>
        <v/>
      </c>
      <c r="X44" s="658">
        <f>V42-Q44</f>
        <v/>
      </c>
      <c r="Y44" s="651" t="inlineStr"/>
      <c r="Z44" s="651" t="inlineStr"/>
      <c r="AA44" s="651" t="inlineStr"/>
      <c r="AB44" s="651" t="inlineStr"/>
      <c r="AC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1396.194268</v>
      </c>
      <c r="H45" s="589" t="n">
        <v>0</v>
      </c>
      <c r="I45" s="589" t="n">
        <v>0</v>
      </c>
      <c r="J45" s="589" t="n">
        <v>0</v>
      </c>
      <c r="K45" s="589">
        <f>SUM(H45:J45)</f>
        <v/>
      </c>
      <c r="L45" s="118" t="n">
        <v>1396.194268</v>
      </c>
      <c r="M45" s="118" t="n">
        <v>0</v>
      </c>
      <c r="N45" s="118" t="n">
        <v>0</v>
      </c>
      <c r="O45" s="118">
        <f>SUM(L45:N45)</f>
        <v/>
      </c>
      <c r="P45" s="118" t="n">
        <v>7197.089118</v>
      </c>
      <c r="Q45" s="187">
        <f>SUM(K45+O45+P45)</f>
        <v/>
      </c>
      <c r="R45" s="526" t="inlineStr"/>
      <c r="S45" s="122">
        <f>K45/(F45/((YEAR(E45)*12+MONTH(E45))-(YEAR(D45)*12+MONTH(D45))+1))</f>
        <v/>
      </c>
      <c r="T45" s="122">
        <f>G45/F45</f>
        <v/>
      </c>
      <c r="U45" s="587">
        <f>F45-G45</f>
        <v/>
      </c>
      <c r="V45" s="244" t="n">
        <v>125710</v>
      </c>
      <c r="W45" s="171">
        <f>W49</f>
        <v/>
      </c>
      <c r="X45" s="659">
        <f>X49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5955.979557</v>
      </c>
      <c r="H46" s="85" t="n">
        <v>56.01375</v>
      </c>
      <c r="I46" s="85" t="n">
        <v>0</v>
      </c>
      <c r="J46" s="85" t="n">
        <v>0</v>
      </c>
      <c r="K46" s="85">
        <f>SUM(H46:J46)</f>
        <v/>
      </c>
      <c r="L46" s="85" t="n">
        <v>1566.390968</v>
      </c>
      <c r="M46" s="85" t="n">
        <v>0</v>
      </c>
      <c r="N46" s="85" t="n">
        <v>0</v>
      </c>
      <c r="O46" s="118">
        <f>SUM(L46:N46)</f>
        <v/>
      </c>
      <c r="P46" s="118" t="n">
        <v>4333.574839</v>
      </c>
      <c r="Q46" s="187">
        <f>SUM(K46+O46+P46)</f>
        <v/>
      </c>
      <c r="R46" s="500" t="n"/>
      <c r="S46" s="91">
        <f>K46/(F46/((YEAR(E46)*12+MONTH(E46))-(YEAR(D46)*12+MONTH(D46))+1))</f>
        <v/>
      </c>
      <c r="T46" s="91">
        <f>G46/F46</f>
        <v/>
      </c>
      <c r="U46" s="567">
        <f>F46-G46</f>
        <v/>
      </c>
      <c r="V46" s="626" t="n"/>
      <c r="W46" s="500" t="n"/>
      <c r="X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8605.980422000001</v>
      </c>
      <c r="H47" s="85" t="n">
        <v>668.1285</v>
      </c>
      <c r="I47" s="85" t="n">
        <v>0</v>
      </c>
      <c r="J47" s="85" t="n">
        <v>0</v>
      </c>
      <c r="K47" s="85">
        <f>SUM(H47:J47)</f>
        <v/>
      </c>
      <c r="L47" s="85" t="n">
        <v>3065.24731</v>
      </c>
      <c r="M47" s="85" t="n">
        <v>0</v>
      </c>
      <c r="N47" s="85" t="n">
        <v>0</v>
      </c>
      <c r="O47" s="85">
        <f>SUM(L47:N47)</f>
        <v/>
      </c>
      <c r="P47" s="85" t="n">
        <v>4872.604612</v>
      </c>
      <c r="Q47" s="187">
        <f>SUM(K47+O47+P47)</f>
        <v/>
      </c>
      <c r="R47" s="500" t="n"/>
      <c r="S47" s="91">
        <f>K47/(F47/((YEAR(E47)*12+MONTH(E47))-(YEAR(D47)*12+MONTH(D47))+1))</f>
        <v/>
      </c>
      <c r="T47" s="91">
        <f>G47/F47</f>
        <v/>
      </c>
      <c r="U47" s="567">
        <f>F47-G47</f>
        <v/>
      </c>
      <c r="V47" s="626" t="n"/>
      <c r="W47" s="500" t="n"/>
      <c r="X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451.152</v>
      </c>
      <c r="I48" s="100" t="n">
        <v>0</v>
      </c>
      <c r="J48" s="100" t="n">
        <v>0</v>
      </c>
      <c r="K48" s="100">
        <f>SUM(H48:J48)</f>
        <v/>
      </c>
      <c r="L48" s="100" t="n">
        <v>2837.047697</v>
      </c>
      <c r="M48" s="100" t="n">
        <v>0</v>
      </c>
      <c r="N48" s="100" t="n">
        <v>0</v>
      </c>
      <c r="O48" s="100">
        <f>SUM(L48:N48)</f>
        <v/>
      </c>
      <c r="P48" s="100" t="n">
        <v>2546.32274</v>
      </c>
      <c r="Q48" s="187">
        <f>SUM(K48+O48+P48)</f>
        <v/>
      </c>
      <c r="R48" s="501" t="n"/>
      <c r="S48" s="103" t="inlineStr"/>
      <c r="T48" s="205">
        <f>G48/F48</f>
        <v/>
      </c>
      <c r="U48" s="576">
        <f>F48-G48</f>
        <v/>
      </c>
      <c r="V48" s="628" t="n"/>
      <c r="W48" s="513" t="n"/>
      <c r="X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0">
        <f>SUM(L45:L48)</f>
        <v/>
      </c>
      <c r="M49" s="590">
        <f>SUM(M45:M48)</f>
        <v/>
      </c>
      <c r="N49" s="591">
        <f>SUM(N45:N48)</f>
        <v/>
      </c>
      <c r="O49" s="579">
        <f>SUM(O45:O48)</f>
        <v/>
      </c>
      <c r="P49" s="579">
        <f>SUM(P45:P48)</f>
        <v/>
      </c>
      <c r="Q49" s="646">
        <f>SUM(K49+O49+P49)</f>
        <v/>
      </c>
      <c r="R49" s="579" t="inlineStr"/>
      <c r="S49" s="220">
        <f>K49/(F49/((YEAR(E45)*12+MONTH(E45))-(YEAR(D45)*12+MONTH(D45))+1))</f>
        <v/>
      </c>
      <c r="T49" s="221">
        <f>G49/F49</f>
        <v/>
      </c>
      <c r="U49" s="598">
        <f>F49-G49</f>
        <v/>
      </c>
      <c r="V49" s="228">
        <f>V45</f>
        <v/>
      </c>
      <c r="W49" s="226">
        <f>Q49/V45</f>
        <v/>
      </c>
      <c r="X49" s="655">
        <f>V45-Q49</f>
        <v/>
      </c>
      <c r="Y49" s="651" t="inlineStr"/>
      <c r="Z49" s="651" t="inlineStr"/>
      <c r="AA49" s="651" t="inlineStr"/>
      <c r="AB49" s="651" t="inlineStr"/>
      <c r="AC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0">
        <f>O10+O16+O22+O27+O31+O35+O38+O41+O44+O49</f>
        <v/>
      </c>
      <c r="P50" s="661">
        <f>P10+P16+P22+P27+P31+P35+P38+P41+P44+P49</f>
        <v/>
      </c>
      <c r="Q50" s="662">
        <f>Q10+Q16+Q22+Q27+Q31+Q35+Q38+Q41+Q44+Q49</f>
        <v/>
      </c>
      <c r="R50" s="632" t="inlineStr"/>
      <c r="S50" s="249">
        <f>K50/(F50/((YEAR(E4)*12+MONTH(E4))-(YEAR(D4)*12+MONTH(D4))+1))</f>
        <v/>
      </c>
      <c r="T50" s="250">
        <f>G50/F50</f>
        <v/>
      </c>
      <c r="U50" s="663">
        <f>F50-G50</f>
        <v/>
      </c>
      <c r="V50" s="663">
        <f>V10+V16+V22+V27+V31+V35+V38+V41+V44+V49</f>
        <v/>
      </c>
      <c r="W50" s="252">
        <f>Q50/V50</f>
        <v/>
      </c>
      <c r="X50" s="663">
        <f>V50-Q50</f>
        <v/>
      </c>
      <c r="Y50" s="664" t="inlineStr"/>
      <c r="Z50" s="664" t="inlineStr"/>
      <c r="AA50" s="664" t="inlineStr"/>
      <c r="AB50" s="664" t="inlineStr"/>
      <c r="AC50" s="664" t="inlineStr"/>
    </row>
    <row r="51" ht="24" customFormat="1" customHeight="1" s="483">
      <c r="U51" s="633" t="inlineStr">
        <is>
          <t>公司目标</t>
        </is>
      </c>
      <c r="V51" s="633" t="n">
        <v>630987.38</v>
      </c>
      <c r="W51" s="252">
        <f>IF(V51&lt;&gt;0,Q50/V51,"")</f>
        <v/>
      </c>
      <c r="X51" s="663">
        <f>V51-Q50</f>
        <v/>
      </c>
    </row>
  </sheetData>
  <mergeCells count="85">
    <mergeCell ref="A45:A48"/>
    <mergeCell ref="U2:U3"/>
    <mergeCell ref="W45:W48"/>
    <mergeCell ref="R17:R21"/>
    <mergeCell ref="A2:A3"/>
    <mergeCell ref="C2:C3"/>
    <mergeCell ref="R42:R43"/>
    <mergeCell ref="E2:E3"/>
    <mergeCell ref="V36:V37"/>
    <mergeCell ref="W2:W3"/>
    <mergeCell ref="X11:X15"/>
    <mergeCell ref="V45:V48"/>
    <mergeCell ref="W42:W43"/>
    <mergeCell ref="X45:X48"/>
    <mergeCell ref="X4:X9"/>
    <mergeCell ref="V2:V3"/>
    <mergeCell ref="X2:X3"/>
    <mergeCell ref="R32:R34"/>
    <mergeCell ref="X23:X26"/>
    <mergeCell ref="A49:E49"/>
    <mergeCell ref="A32:A34"/>
    <mergeCell ref="N2:N3"/>
    <mergeCell ref="V23:V26"/>
    <mergeCell ref="F2:F3"/>
    <mergeCell ref="P2:P3"/>
    <mergeCell ref="H2:H3"/>
    <mergeCell ref="R36:R37"/>
    <mergeCell ref="X42:X43"/>
    <mergeCell ref="K2:K3"/>
    <mergeCell ref="V39:V40"/>
    <mergeCell ref="A23:A26"/>
    <mergeCell ref="O2:O3"/>
    <mergeCell ref="Q2:Q3"/>
    <mergeCell ref="V17:V21"/>
    <mergeCell ref="V28:V30"/>
    <mergeCell ref="X17:X21"/>
    <mergeCell ref="X28:X30"/>
    <mergeCell ref="A4:A9"/>
    <mergeCell ref="A38:E38"/>
    <mergeCell ref="A39:A40"/>
    <mergeCell ref="A31:E31"/>
    <mergeCell ref="S2:S3"/>
    <mergeCell ref="X39:X40"/>
    <mergeCell ref="V11:V15"/>
    <mergeCell ref="A36:A37"/>
    <mergeCell ref="B2:B3"/>
    <mergeCell ref="D2:D3"/>
    <mergeCell ref="V32:V34"/>
    <mergeCell ref="A17:A21"/>
    <mergeCell ref="R4:R9"/>
    <mergeCell ref="A16:E16"/>
    <mergeCell ref="V4:V9"/>
    <mergeCell ref="A28:A30"/>
    <mergeCell ref="W11:W15"/>
    <mergeCell ref="T2:T3"/>
    <mergeCell ref="A50:E50"/>
    <mergeCell ref="A11:A15"/>
    <mergeCell ref="R28:R30"/>
    <mergeCell ref="A22:E22"/>
    <mergeCell ref="W23:W26"/>
    <mergeCell ref="A44:E44"/>
    <mergeCell ref="V42:V43"/>
    <mergeCell ref="G2:G3"/>
    <mergeCell ref="X36:X37"/>
    <mergeCell ref="I2:I3"/>
    <mergeCell ref="R39:R40"/>
    <mergeCell ref="R23:R26"/>
    <mergeCell ref="W4:W9"/>
    <mergeCell ref="W36:W37"/>
    <mergeCell ref="M2:M3"/>
    <mergeCell ref="W17:W21"/>
    <mergeCell ref="A41:E41"/>
    <mergeCell ref="R45:R48"/>
    <mergeCell ref="A27:E27"/>
    <mergeCell ref="W28:W30"/>
    <mergeCell ref="A42:A43"/>
    <mergeCell ref="R11:R15"/>
    <mergeCell ref="X32:X34"/>
    <mergeCell ref="R2:R3"/>
    <mergeCell ref="J2:J3"/>
    <mergeCell ref="L2:L3"/>
    <mergeCell ref="A35:E35"/>
    <mergeCell ref="W39:W40"/>
    <mergeCell ref="A10:E10"/>
    <mergeCell ref="W32:W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width="13" customWidth="1" style="533" min="16" max="16"/>
    <col width="13.625" customWidth="1" style="533" min="17" max="17"/>
    <col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29"/>
  </cols>
  <sheetData>
    <row r="1" ht="20.25" customFormat="1" customHeight="1" s="483">
      <c r="A1" s="754" t="inlineStr">
        <is>
          <t>私人财富管理部折标销售进度表-截止20260313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552" t="inlineStr">
        <is>
          <t>上半年时间进度</t>
        </is>
      </c>
      <c r="X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传统202603</t>
        </is>
      </c>
      <c r="I2" s="506" t="inlineStr">
        <is>
          <t>保险202603</t>
        </is>
      </c>
      <c r="J2" s="506" t="inlineStr">
        <is>
          <t>管理费202603</t>
        </is>
      </c>
      <c r="K2" s="557" t="inlineStr">
        <is>
          <t>2026年
3月折标</t>
        </is>
      </c>
      <c r="L2" s="506" t="inlineStr">
        <is>
          <t>传统202602</t>
        </is>
      </c>
      <c r="M2" s="506" t="inlineStr">
        <is>
          <t>保险202602</t>
        </is>
      </c>
      <c r="N2" s="506" t="inlineStr">
        <is>
          <t>管理费202602</t>
        </is>
      </c>
      <c r="O2" s="557" t="inlineStr">
        <is>
          <t>2026年
2月折标</t>
        </is>
      </c>
      <c r="P2" s="557" t="inlineStr">
        <is>
          <t>2026年
1月折标</t>
        </is>
      </c>
      <c r="Q2" s="634" t="inlineStr">
        <is>
          <t>2026年YTD折标</t>
        </is>
      </c>
      <c r="R2" s="558" t="inlineStr">
        <is>
          <t>2026年
1月销量
[USD]</t>
        </is>
      </c>
      <c r="S2" s="559" t="inlineStr">
        <is>
          <t>月度
完成率</t>
        </is>
      </c>
      <c r="T2" s="554" t="inlineStr">
        <is>
          <t>考核期完成率（累计）</t>
        </is>
      </c>
      <c r="U2" s="560" t="inlineStr">
        <is>
          <t>考核期差距</t>
        </is>
      </c>
      <c r="V2" s="561" t="inlineStr">
        <is>
          <t>财富中心
上半年年任务</t>
        </is>
      </c>
      <c r="W2" s="79" t="inlineStr">
        <is>
          <t>财富中心
上半年任务完成率</t>
        </is>
      </c>
      <c r="X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7820.016328</v>
      </c>
      <c r="H4" s="85" t="n">
        <v>98.8416</v>
      </c>
      <c r="I4" s="85" t="n">
        <v>0</v>
      </c>
      <c r="J4" s="85" t="n">
        <v>0</v>
      </c>
      <c r="K4" s="187">
        <f>SUM(H4:J4)</f>
        <v/>
      </c>
      <c r="L4" s="85" t="n">
        <v>454.800547</v>
      </c>
      <c r="M4" s="85" t="n">
        <v>0</v>
      </c>
      <c r="N4" s="85" t="n">
        <v>124.360534</v>
      </c>
      <c r="O4" s="187">
        <f>SUM(L4:N4)</f>
        <v/>
      </c>
      <c r="P4" s="187" t="n">
        <v>3311.566531</v>
      </c>
      <c r="Q4" s="187">
        <f>SUM(K4+O4+P4)</f>
        <v/>
      </c>
      <c r="R4" s="566" t="inlineStr"/>
      <c r="S4" s="91">
        <f>K4/(F4/((YEAR(E4)*12+MONTH(E4))-(YEAR(D4)*12+MONTH(D4))+1))</f>
        <v/>
      </c>
      <c r="T4" s="91">
        <f>G4/F4</f>
        <v/>
      </c>
      <c r="U4" s="567">
        <f>F4-G4</f>
        <v/>
      </c>
      <c r="V4" s="203" t="n">
        <v>141926.4</v>
      </c>
      <c r="W4" s="91">
        <f>W10</f>
        <v/>
      </c>
      <c r="X4" s="569">
        <f>X10</f>
        <v/>
      </c>
      <c r="AA4" s="570" t="inlineStr">
        <is>
          <t>开始日期</t>
        </is>
      </c>
      <c r="AB4" s="570" t="inlineStr">
        <is>
          <t>结束日期</t>
        </is>
      </c>
      <c r="AC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34438.836604</v>
      </c>
      <c r="H5" s="85" t="n">
        <v>155.8557</v>
      </c>
      <c r="I5" s="85" t="n">
        <v>0</v>
      </c>
      <c r="J5" s="85" t="n">
        <v>0</v>
      </c>
      <c r="K5" s="187">
        <f>SUM(H5:J5)</f>
        <v/>
      </c>
      <c r="L5" s="85" t="n">
        <v>9688.821542</v>
      </c>
      <c r="M5" s="85" t="n">
        <v>0</v>
      </c>
      <c r="N5" s="85" t="n">
        <v>364.054885</v>
      </c>
      <c r="O5" s="187">
        <f>SUM(L5:N5)</f>
        <v/>
      </c>
      <c r="P5" s="188" t="n">
        <v>13116.995922</v>
      </c>
      <c r="Q5" s="187">
        <f>SUM(K5+O5+P5)</f>
        <v/>
      </c>
      <c r="R5" s="500" t="n"/>
      <c r="S5" s="91">
        <f>K5/(F5/((YEAR(E5)*12+MONTH(E5))-(YEAR(D5)*12+MONTH(D5))+1))</f>
        <v/>
      </c>
      <c r="T5" s="91">
        <f>G5/F5</f>
        <v/>
      </c>
      <c r="U5" s="567">
        <f>F5-G5</f>
        <v/>
      </c>
      <c r="V5" s="500" t="n"/>
      <c r="W5" s="500" t="n"/>
      <c r="X5" s="500" t="n"/>
      <c r="AA5" s="94" t="n">
        <v>46023</v>
      </c>
      <c r="AB5" s="94" t="n">
        <v>46203</v>
      </c>
      <c r="AC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3144.634313</v>
      </c>
      <c r="H6" s="85" t="n">
        <v>500.150742</v>
      </c>
      <c r="I6" s="85" t="n">
        <v>0</v>
      </c>
      <c r="J6" s="85" t="n">
        <v>0</v>
      </c>
      <c r="K6" s="187">
        <f>SUM(H6:J6)</f>
        <v/>
      </c>
      <c r="L6" s="85" t="n">
        <v>267.1032</v>
      </c>
      <c r="M6" s="85" t="n">
        <v>0</v>
      </c>
      <c r="N6" s="85" t="n">
        <v>25.494675</v>
      </c>
      <c r="O6" s="187">
        <f>SUM(L6:N6)</f>
        <v/>
      </c>
      <c r="P6" s="187" t="n">
        <v>2351.885696</v>
      </c>
      <c r="Q6" s="187">
        <f>SUM(K6+O6+P6)</f>
        <v/>
      </c>
      <c r="R6" s="500" t="n"/>
      <c r="S6" s="91">
        <f>K6/(F6/((YEAR(E6)*12+MONTH(E6))-(YEAR(D6)*12+MONTH(D6))+1))</f>
        <v/>
      </c>
      <c r="T6" s="91">
        <f>G6/F6</f>
        <v/>
      </c>
      <c r="U6" s="567">
        <f>F6-G6</f>
        <v/>
      </c>
      <c r="V6" s="500" t="n"/>
      <c r="W6" s="500" t="n"/>
      <c r="X6" s="500" t="n"/>
      <c r="AA6" s="570" t="inlineStr">
        <is>
          <t>计算日期</t>
        </is>
      </c>
      <c r="AB6" s="570">
        <f>X5-W5</f>
        <v/>
      </c>
      <c r="AC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12367.546202</v>
      </c>
      <c r="H7" s="85" t="n">
        <v>6332.945217</v>
      </c>
      <c r="I7" s="85" t="n">
        <v>0</v>
      </c>
      <c r="J7" s="85" t="n">
        <v>0</v>
      </c>
      <c r="K7" s="187">
        <f>SUM(H7:J7)</f>
        <v/>
      </c>
      <c r="L7" s="85" t="n">
        <v>1402.304143</v>
      </c>
      <c r="M7" s="85" t="n">
        <v>742.65048</v>
      </c>
      <c r="N7" s="85" t="n">
        <v>430.381249</v>
      </c>
      <c r="O7" s="187">
        <f>SUM(L7:N7)</f>
        <v/>
      </c>
      <c r="P7" s="187" t="n">
        <v>3459.265113</v>
      </c>
      <c r="Q7" s="187">
        <f>SUM(K7+O7+P7)</f>
        <v/>
      </c>
      <c r="R7" s="500" t="n"/>
      <c r="S7" s="91">
        <f>K7/(F7/((YEAR(E7)*12+MONTH(E7))-(YEAR(D7)*12+MONTH(D7))+1))</f>
        <v/>
      </c>
      <c r="T7" s="91">
        <f>G7/F7</f>
        <v/>
      </c>
      <c r="U7" s="567">
        <f>F7-G7</f>
        <v/>
      </c>
      <c r="V7" s="500" t="n"/>
      <c r="W7" s="500" t="n"/>
      <c r="X7" s="500" t="n"/>
      <c r="AA7" s="94" t="n">
        <v>46094</v>
      </c>
      <c r="AB7" s="204">
        <f>AB5-AA5+1</f>
        <v/>
      </c>
      <c r="AC7" s="70">
        <f>(AA7-AA5+1)/AB7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946.207931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41.2776</v>
      </c>
      <c r="M8" s="85" t="n">
        <v>0</v>
      </c>
      <c r="N8" s="85" t="n">
        <v>21.785005</v>
      </c>
      <c r="O8" s="187">
        <f>SUM(L8:N8)</f>
        <v/>
      </c>
      <c r="P8" s="187" t="n">
        <v>746.88392</v>
      </c>
      <c r="Q8" s="187">
        <f>SUM(K8+O8+P8)</f>
        <v/>
      </c>
      <c r="R8" s="500" t="n"/>
      <c r="S8" s="91">
        <f>K8/(F8/((YEAR(E8)*12+MONTH(E8))-(YEAR(D8)*12+MONTH(D8))+1))</f>
        <v/>
      </c>
      <c r="T8" s="91">
        <f>G8/F8</f>
        <v/>
      </c>
      <c r="U8" s="567">
        <f>F8-G8</f>
        <v/>
      </c>
      <c r="V8" s="500" t="n"/>
      <c r="W8" s="500" t="n"/>
      <c r="X8" s="500" t="n"/>
      <c r="AA8" s="570" t="inlineStr"/>
      <c r="AB8" s="570" t="inlineStr"/>
      <c r="AC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85" t="n">
        <v>0</v>
      </c>
      <c r="M9" s="85" t="n">
        <v>0</v>
      </c>
      <c r="N9" s="100" t="n">
        <v>0</v>
      </c>
      <c r="O9" s="187">
        <f>SUM(L9:N9)</f>
        <v/>
      </c>
      <c r="P9" s="190" t="n">
        <v>0</v>
      </c>
      <c r="Q9" s="187">
        <f>SUM(K9+O9+P9)</f>
        <v/>
      </c>
      <c r="R9" s="501" t="n"/>
      <c r="S9" s="205">
        <f>K9/(F9/((YEAR(E9)*12+MONTH(E9))-(YEAR(D9)*12+MONTH(D9))+1))</f>
        <v/>
      </c>
      <c r="T9" s="205">
        <f>G9/F9</f>
        <v/>
      </c>
      <c r="U9" s="576">
        <f>F9-G9</f>
        <v/>
      </c>
      <c r="V9" s="501" t="n"/>
      <c r="W9" s="501" t="n"/>
      <c r="X9" s="501" t="n"/>
      <c r="AA9" s="570" t="inlineStr">
        <is>
          <t>计算日期</t>
        </is>
      </c>
      <c r="AB9" s="570" t="n">
        <v>365</v>
      </c>
      <c r="AC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SUM(K10+O10+P10)</f>
        <v/>
      </c>
      <c r="R10" s="109" t="inlineStr"/>
      <c r="S10" s="207">
        <f>K10/(F10/((YEAR(E4)*12+MONTH(E4))-(YEAR(D4)*12+MONTH(D4))+1))</f>
        <v/>
      </c>
      <c r="T10" s="207">
        <f>G10/F10</f>
        <v/>
      </c>
      <c r="U10" s="580">
        <f>F10-G10</f>
        <v/>
      </c>
      <c r="V10" s="208">
        <f>V4</f>
        <v/>
      </c>
      <c r="W10" s="209">
        <f>Q10/V4</f>
        <v/>
      </c>
      <c r="X10" s="650">
        <f>V4-Q10</f>
        <v/>
      </c>
      <c r="Y10" s="651" t="inlineStr"/>
      <c r="Z10" s="651" t="inlineStr"/>
      <c r="AA10" s="212" t="n">
        <v>46094</v>
      </c>
      <c r="AB10" s="651" t="inlineStr"/>
      <c r="AC10" s="213">
        <f>(AA10-DATE(YEAR(AA10),1,1)+1)/AB9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8429.269157000001</v>
      </c>
      <c r="H11" s="589" t="n">
        <v>1802.916024</v>
      </c>
      <c r="I11" s="589" t="n">
        <v>0</v>
      </c>
      <c r="J11" s="589" t="n">
        <v>0</v>
      </c>
      <c r="K11" s="589">
        <f>SUM(H11:J11)</f>
        <v/>
      </c>
      <c r="L11" s="118" t="n">
        <v>0</v>
      </c>
      <c r="M11" s="118" t="n">
        <v>0</v>
      </c>
      <c r="N11" s="118" t="n">
        <v>144.157177</v>
      </c>
      <c r="O11" s="118">
        <f>SUM(L11:N11)</f>
        <v/>
      </c>
      <c r="P11" s="118" t="n">
        <v>6482.195956</v>
      </c>
      <c r="Q11" s="187">
        <f>SUM(K11+O11+P11)</f>
        <v/>
      </c>
      <c r="R11" s="526" t="inlineStr"/>
      <c r="S11" s="122">
        <f>K11/(F11/((YEAR(E11)*12+MONTH(E11))-(YEAR(D11)*12+MONTH(D11))+1))</f>
        <v/>
      </c>
      <c r="T11" s="122">
        <f>G11/F11</f>
        <v/>
      </c>
      <c r="U11" s="587">
        <f>F11-G11</f>
        <v/>
      </c>
      <c r="V11" s="214" t="n">
        <v>84476.32000000001</v>
      </c>
      <c r="W11" s="122">
        <f>W16</f>
        <v/>
      </c>
      <c r="X11" s="652">
        <f>X16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6970.36871</v>
      </c>
      <c r="H12" s="85" t="n">
        <v>886.045542</v>
      </c>
      <c r="I12" s="85" t="n">
        <v>0</v>
      </c>
      <c r="J12" s="85" t="n">
        <v>0</v>
      </c>
      <c r="K12" s="85">
        <f>SUM(H12:J12)</f>
        <v/>
      </c>
      <c r="L12" s="85" t="n">
        <v>641.804579</v>
      </c>
      <c r="M12" s="85" t="n">
        <v>2330.36622</v>
      </c>
      <c r="N12" s="85" t="n">
        <v>69.316558</v>
      </c>
      <c r="O12" s="85">
        <f>SUM(L12:N12)</f>
        <v/>
      </c>
      <c r="P12" s="85" t="n">
        <v>3042.835811</v>
      </c>
      <c r="Q12" s="187">
        <f>SUM(K12+O12+P12)</f>
        <v/>
      </c>
      <c r="R12" s="500" t="n"/>
      <c r="S12" s="91">
        <f>K12/(F12/((YEAR(E12)*12+MONTH(E12))-(YEAR(D12)*12+MONTH(D12))+1))</f>
        <v/>
      </c>
      <c r="T12" s="91">
        <f>G12/F12</f>
        <v/>
      </c>
      <c r="U12" s="567">
        <f>F12-G12</f>
        <v/>
      </c>
      <c r="V12" s="500" t="n"/>
      <c r="W12" s="500" t="n"/>
      <c r="X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0</v>
      </c>
      <c r="M13" s="85" t="n">
        <v>0</v>
      </c>
      <c r="N13" s="85" t="n">
        <v>0</v>
      </c>
      <c r="O13" s="85">
        <f>SUM(L13:N13)</f>
        <v/>
      </c>
      <c r="P13" s="85" t="n">
        <v>0</v>
      </c>
      <c r="Q13" s="187">
        <f>SUM(K13+O13+P13)</f>
        <v/>
      </c>
      <c r="R13" s="500" t="n"/>
      <c r="S13" s="91">
        <f>K13/(F13/((YEAR(E13)*12+MONTH(E13))-(YEAR(D13)*12+MONTH(D13))+1))</f>
        <v/>
      </c>
      <c r="T13" s="91">
        <f>G13/F13</f>
        <v/>
      </c>
      <c r="U13" s="567">
        <f>F13-G13</f>
        <v/>
      </c>
      <c r="V13" s="500" t="n"/>
      <c r="W13" s="500" t="n"/>
      <c r="X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12602.2</v>
      </c>
      <c r="G14" s="565" t="n">
        <v>2420.847671</v>
      </c>
      <c r="H14" s="85" t="n">
        <v>876.7044</v>
      </c>
      <c r="I14" s="85" t="n">
        <v>0</v>
      </c>
      <c r="J14" s="85" t="n">
        <v>0</v>
      </c>
      <c r="K14" s="85">
        <f>SUM(H14:J14)</f>
        <v/>
      </c>
      <c r="L14" s="85" t="n">
        <v>1475.145378</v>
      </c>
      <c r="M14" s="85" t="n">
        <v>0</v>
      </c>
      <c r="N14" s="85" t="n">
        <v>68.997893</v>
      </c>
      <c r="O14" s="85">
        <f>SUM(L14:N14)</f>
        <v/>
      </c>
      <c r="P14" s="85" t="n">
        <v>271.694319</v>
      </c>
      <c r="Q14" s="187">
        <f>SUM(K14+O14+P14)</f>
        <v/>
      </c>
      <c r="R14" s="500" t="n"/>
      <c r="S14" s="91">
        <f>K14/(F14/((YEAR(E14)*12+MONTH(E14))-(YEAR(D14)*12+MONTH(D14))+1))</f>
        <v/>
      </c>
      <c r="T14" s="91">
        <f>G14/F14</f>
        <v/>
      </c>
      <c r="U14" s="567">
        <f>F14-G14</f>
        <v/>
      </c>
      <c r="V14" s="500" t="n"/>
      <c r="W14" s="500" t="n"/>
      <c r="X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0</v>
      </c>
      <c r="N15" s="100" t="n">
        <v>0</v>
      </c>
      <c r="O15" s="100">
        <f>SUM(L15:N15)</f>
        <v/>
      </c>
      <c r="P15" s="100" t="n">
        <v>0</v>
      </c>
      <c r="Q15" s="187">
        <f>SUM(K15+O15+P15)</f>
        <v/>
      </c>
      <c r="R15" s="501" t="n"/>
      <c r="S15" s="205">
        <f>K15/(F15/((YEAR(E15)*12+MONTH(E15))-(YEAR(D15)*12+MONTH(D15))+1))</f>
        <v/>
      </c>
      <c r="T15" s="205">
        <f>G15/F15</f>
        <v/>
      </c>
      <c r="U15" s="576">
        <f>F15-G15</f>
        <v/>
      </c>
      <c r="V15" s="501" t="n"/>
      <c r="W15" s="501" t="n"/>
      <c r="X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SUM(K16+O16+P16)</f>
        <v/>
      </c>
      <c r="R16" s="109" t="inlineStr"/>
      <c r="S16" s="207">
        <f>K16/(F16/((YEAR(E11)*12+MONTH(E11))-(YEAR(D11)*12+MONTH(D11))+1))</f>
        <v/>
      </c>
      <c r="T16" s="207">
        <f>G16/F16</f>
        <v/>
      </c>
      <c r="U16" s="580">
        <f>F16-G16</f>
        <v/>
      </c>
      <c r="V16" s="208">
        <f>V11</f>
        <v/>
      </c>
      <c r="W16" s="209">
        <f>Q16/V11</f>
        <v/>
      </c>
      <c r="X16" s="650">
        <f>V11-Q16</f>
        <v/>
      </c>
      <c r="Y16" s="651" t="inlineStr"/>
      <c r="Z16" s="651" t="inlineStr"/>
      <c r="AA16" s="651" t="inlineStr"/>
      <c r="AB16" s="651" t="inlineStr"/>
      <c r="AC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45901</v>
      </c>
      <c r="E17" s="638" t="n">
        <v>46053</v>
      </c>
      <c r="F17" s="116" t="n">
        <v>28222.5</v>
      </c>
      <c r="G17" s="586" t="n">
        <v>21256.428803</v>
      </c>
      <c r="H17" s="589" t="n">
        <v>964.897924</v>
      </c>
      <c r="I17" s="589" t="n">
        <v>0</v>
      </c>
      <c r="J17" s="589" t="n">
        <v>0</v>
      </c>
      <c r="K17" s="589">
        <f>SUM(H17:J17)</f>
        <v/>
      </c>
      <c r="L17" s="118" t="n">
        <v>3557.362586</v>
      </c>
      <c r="M17" s="118" t="n">
        <v>0</v>
      </c>
      <c r="N17" s="118" t="n">
        <v>237.980087</v>
      </c>
      <c r="O17" s="118">
        <f>SUM(L17:N17)</f>
        <v/>
      </c>
      <c r="P17" s="118" t="n">
        <v>8988.571889000001</v>
      </c>
      <c r="Q17" s="187">
        <f>SUM(K17+O17+P17)</f>
        <v/>
      </c>
      <c r="R17" s="526" t="inlineStr"/>
      <c r="S17" s="122">
        <f>K17/(F17/((YEAR(E17)*12+MONTH(E17))-(YEAR(D17)*12+MONTH(D17))+1))</f>
        <v/>
      </c>
      <c r="T17" s="122">
        <f>G17/F17</f>
        <v/>
      </c>
      <c r="U17" s="587">
        <f>F17-G17</f>
        <v/>
      </c>
      <c r="V17" s="214" t="n">
        <v>62089.5</v>
      </c>
      <c r="W17" s="122">
        <f>W22</f>
        <v/>
      </c>
      <c r="X17" s="652">
        <f>X22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3040.310421</v>
      </c>
      <c r="H18" s="85" t="n">
        <v>394.5825</v>
      </c>
      <c r="I18" s="85" t="n">
        <v>0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15.177921</v>
      </c>
      <c r="O18" s="85">
        <f>SUM(L18:N18)</f>
        <v/>
      </c>
      <c r="P18" s="85" t="n">
        <v>2630.55</v>
      </c>
      <c r="Q18" s="187">
        <f>SUM(K18+O18+P18)</f>
        <v/>
      </c>
      <c r="R18" s="500" t="n"/>
      <c r="S18" s="91">
        <f>K18/(F18/((YEAR(E18)*12+MONTH(E18))-(YEAR(D18)*12+MONTH(D18))+1))</f>
        <v/>
      </c>
      <c r="T18" s="91">
        <f>G18/F18</f>
        <v/>
      </c>
      <c r="U18" s="567">
        <f>F18-G18</f>
        <v/>
      </c>
      <c r="V18" s="500" t="n"/>
      <c r="W18" s="500" t="n"/>
      <c r="X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8.706657</v>
      </c>
      <c r="O19" s="85">
        <f>SUM(L19:N19)</f>
        <v/>
      </c>
      <c r="P19" s="85" t="n">
        <v>9.587089000000001</v>
      </c>
      <c r="Q19" s="187">
        <f>SUM(K19+O19+P19)</f>
        <v/>
      </c>
      <c r="R19" s="500" t="n"/>
      <c r="S19" s="91">
        <f>K19/(F19/((YEAR(E19)*12+MONTH(E19))-(YEAR(D19)*12+MONTH(D19))+1))</f>
        <v/>
      </c>
      <c r="T19" s="91">
        <f>G19/F19</f>
        <v/>
      </c>
      <c r="U19" s="567">
        <f>F19-G19</f>
        <v/>
      </c>
      <c r="V19" s="500" t="n"/>
      <c r="W19" s="500" t="n"/>
      <c r="X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25.0224</v>
      </c>
      <c r="M20" s="85" t="n">
        <v>1050.9408</v>
      </c>
      <c r="N20" s="85" t="n">
        <v>3.667668</v>
      </c>
      <c r="O20" s="85">
        <f>SUM(L20:N20)</f>
        <v/>
      </c>
      <c r="P20" s="85" t="n">
        <v>125.112</v>
      </c>
      <c r="Q20" s="187">
        <f>SUM(K20+O20+P20)</f>
        <v/>
      </c>
      <c r="R20" s="500" t="n"/>
      <c r="S20" s="91">
        <f>K20/(F20/((YEAR(E20)*12+MONTH(E20))-(YEAR(D20)*12+MONTH(D20))+1))</f>
        <v/>
      </c>
      <c r="T20" s="91">
        <f>G20/F20</f>
        <v/>
      </c>
      <c r="U20" s="567">
        <f>F20-G20</f>
        <v/>
      </c>
      <c r="V20" s="500" t="n"/>
      <c r="W20" s="500" t="n"/>
      <c r="X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87">
        <f>SUM(K21+O21+P21)</f>
        <v/>
      </c>
      <c r="R21" s="501" t="n"/>
      <c r="S21" s="205">
        <f>K21/(F21/((YEAR(E21)*12+MONTH(E21))-(YEAR(D21)*12+MONTH(D21))+1))</f>
        <v/>
      </c>
      <c r="T21" s="205">
        <f>G21/F21</f>
        <v/>
      </c>
      <c r="U21" s="576">
        <f>F21-G21</f>
        <v/>
      </c>
      <c r="V21" s="501" t="n"/>
      <c r="W21" s="501" t="n"/>
      <c r="X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SUM(K22+O22+P22)</f>
        <v/>
      </c>
      <c r="R22" s="109" t="inlineStr"/>
      <c r="S22" s="207">
        <f>K22/(F22/((YEAR(E17)*12+MONTH(E17))-(YEAR(D17)*12+MONTH(D17))+1))</f>
        <v/>
      </c>
      <c r="T22" s="207">
        <f>G22/F22</f>
        <v/>
      </c>
      <c r="U22" s="580">
        <f>F22-G22</f>
        <v/>
      </c>
      <c r="V22" s="208">
        <f>V17</f>
        <v/>
      </c>
      <c r="W22" s="209">
        <f>Q22/V17</f>
        <v/>
      </c>
      <c r="X22" s="650">
        <f>V17-Q22</f>
        <v/>
      </c>
      <c r="Y22" s="651" t="inlineStr"/>
      <c r="Z22" s="651" t="inlineStr"/>
      <c r="AA22" s="651" t="inlineStr"/>
      <c r="AB22" s="651" t="inlineStr"/>
      <c r="AC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553.815261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118" t="n">
        <v>190.944681</v>
      </c>
      <c r="M23" s="118" t="n">
        <v>0</v>
      </c>
      <c r="N23" s="123" t="n">
        <v>71.82064699999999</v>
      </c>
      <c r="O23" s="118">
        <f>SUM(L23:N23)</f>
        <v/>
      </c>
      <c r="P23" s="118" t="n">
        <v>291.049933</v>
      </c>
      <c r="Q23" s="187">
        <f>SUM(K23+O23+P23)</f>
        <v/>
      </c>
      <c r="R23" s="526" t="inlineStr"/>
      <c r="S23" s="122">
        <f>K23/(F23/((YEAR(E23)*12+MONTH(E23))-(YEAR(D23)*12+MONTH(D23))+1))</f>
        <v/>
      </c>
      <c r="T23" s="122">
        <f>G23/F23</f>
        <v/>
      </c>
      <c r="U23" s="587">
        <f>F23-G23</f>
        <v/>
      </c>
      <c r="V23" s="217" t="n">
        <v>64020.88</v>
      </c>
      <c r="W23" s="218">
        <f>W27</f>
        <v/>
      </c>
      <c r="X23" s="652">
        <f>X27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4635.412992</v>
      </c>
      <c r="H24" s="126" t="n">
        <v>0</v>
      </c>
      <c r="I24" s="126" t="n">
        <v>0</v>
      </c>
      <c r="J24" s="126" t="n">
        <v>0</v>
      </c>
      <c r="K24" s="85">
        <f>SUM(H24:J24)</f>
        <v/>
      </c>
      <c r="L24" s="85" t="n">
        <v>0.8469</v>
      </c>
      <c r="M24" s="85" t="n">
        <v>4558.0158</v>
      </c>
      <c r="N24" s="126" t="n">
        <v>19.389048</v>
      </c>
      <c r="O24" s="85">
        <f>SUM(L24:N24)</f>
        <v/>
      </c>
      <c r="P24" s="85" t="n">
        <v>21.644177</v>
      </c>
      <c r="Q24" s="187">
        <f>SUM(K24+O24+P24)</f>
        <v/>
      </c>
      <c r="R24" s="500" t="n"/>
      <c r="S24" s="91">
        <f>K24/(F24/((YEAR(E24)*12+MONTH(E24))-(YEAR(D24)*12+MONTH(D24))+1))</f>
        <v/>
      </c>
      <c r="T24" s="91">
        <f>G24/F24</f>
        <v/>
      </c>
      <c r="U24" s="567">
        <f>F24-G24</f>
        <v/>
      </c>
      <c r="V24" s="500" t="n"/>
      <c r="W24" s="500" t="n"/>
      <c r="X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6425.996526</v>
      </c>
      <c r="H25" s="126" t="n">
        <v>0</v>
      </c>
      <c r="I25" s="126" t="n">
        <v>0</v>
      </c>
      <c r="J25" s="126" t="n">
        <v>0</v>
      </c>
      <c r="K25" s="85">
        <f>SUM(H25:J25)</f>
        <v/>
      </c>
      <c r="L25" s="85" t="n">
        <v>3847.561596</v>
      </c>
      <c r="M25" s="85" t="n">
        <v>0</v>
      </c>
      <c r="N25" s="126" t="n">
        <v>38.370126</v>
      </c>
      <c r="O25" s="85">
        <f>SUM(L25:N25)</f>
        <v/>
      </c>
      <c r="P25" s="85" t="n">
        <v>2540.064804</v>
      </c>
      <c r="Q25" s="187">
        <f>SUM(K25+O25+P25)</f>
        <v/>
      </c>
      <c r="R25" s="500" t="n"/>
      <c r="S25" s="91">
        <f>K25/(F25/((YEAR(E25)*12+MONTH(E25))-(YEAR(D25)*12+MONTH(D25))+1))</f>
        <v/>
      </c>
      <c r="T25" s="91">
        <f>G25/F25</f>
        <v/>
      </c>
      <c r="U25" s="567">
        <f>F25-G25</f>
        <v/>
      </c>
      <c r="V25" s="500" t="n"/>
      <c r="W25" s="500" t="n"/>
      <c r="X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00" t="n">
        <v>0</v>
      </c>
      <c r="M26" s="100" t="n">
        <v>0</v>
      </c>
      <c r="N26" s="127" t="n">
        <v>0</v>
      </c>
      <c r="O26" s="100">
        <f>SUM(L26:N26)</f>
        <v/>
      </c>
      <c r="P26" s="100" t="n">
        <v>0</v>
      </c>
      <c r="Q26" s="187">
        <f>SUM(K26+O26+P26)</f>
        <v/>
      </c>
      <c r="R26" s="501" t="n"/>
      <c r="S26" s="91">
        <f>K26/(F26/((YEAR(E26)*12+MONTH(E26))-(YEAR(D26)*12+MONTH(D26))+1))</f>
        <v/>
      </c>
      <c r="T26" s="91">
        <f>G26/F26</f>
        <v/>
      </c>
      <c r="U26" s="567">
        <f>F26-G26</f>
        <v/>
      </c>
      <c r="V26" s="513" t="n"/>
      <c r="W26" s="513" t="n"/>
      <c r="X26" s="501" t="n"/>
      <c r="AA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0">
        <f>SUM(L23:L26)</f>
        <v/>
      </c>
      <c r="M27" s="590">
        <f>SUM(M23:M26)</f>
        <v/>
      </c>
      <c r="N27" s="591">
        <f>SUM(N23:N26)</f>
        <v/>
      </c>
      <c r="O27" s="579">
        <f>SUM(O23:O26)</f>
        <v/>
      </c>
      <c r="P27" s="579">
        <f>SUM(P23:P26)</f>
        <v/>
      </c>
      <c r="Q27" s="580">
        <f>SUM(K27+O27+P27)</f>
        <v/>
      </c>
      <c r="R27" s="579" t="inlineStr"/>
      <c r="S27" s="220">
        <f>K27/(F27/((YEAR(E23)*12+MONTH(E23))-(YEAR(D23)*12+MONTH(D23))+1))</f>
        <v/>
      </c>
      <c r="T27" s="221">
        <f>G27/F27</f>
        <v/>
      </c>
      <c r="U27" s="579">
        <f>F27-G27</f>
        <v/>
      </c>
      <c r="V27" s="222">
        <f>V23</f>
        <v/>
      </c>
      <c r="W27" s="220">
        <f>Q27/V23</f>
        <v/>
      </c>
      <c r="X27" s="654">
        <f>V23-Q27</f>
        <v/>
      </c>
      <c r="Y27" s="651" t="inlineStr"/>
      <c r="Z27" s="651" t="inlineStr"/>
      <c r="AA27" s="651" t="inlineStr"/>
      <c r="AB27" s="651" t="inlineStr"/>
      <c r="AC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2734.42947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118" t="n">
        <v>153.11976</v>
      </c>
      <c r="M28" s="118" t="n">
        <v>0</v>
      </c>
      <c r="N28" s="118" t="n">
        <v>551.791169</v>
      </c>
      <c r="O28" s="118">
        <f>SUM(L28:N28)</f>
        <v/>
      </c>
      <c r="P28" s="118" t="n">
        <v>2029.518541</v>
      </c>
      <c r="Q28" s="187">
        <f>SUM(K28+O28+P28)</f>
        <v/>
      </c>
      <c r="R28" s="526" t="inlineStr"/>
      <c r="S28" s="122">
        <f>K28/(F28/((YEAR(E28)*12+MONTH(E28))-(YEAR(D28)*12+MONTH(D28))+1))</f>
        <v/>
      </c>
      <c r="T28" s="122">
        <f>G28/F28</f>
        <v/>
      </c>
      <c r="U28" s="587">
        <f>F28-G28</f>
        <v/>
      </c>
      <c r="V28" s="214" t="n">
        <v>39429.22</v>
      </c>
      <c r="W28" s="122">
        <f>W31</f>
        <v/>
      </c>
      <c r="X28" s="652">
        <f>X31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25207.667313</v>
      </c>
      <c r="H29" s="85" t="n">
        <v>0</v>
      </c>
      <c r="I29" s="85" t="n">
        <v>0</v>
      </c>
      <c r="J29" s="85" t="n">
        <v>0</v>
      </c>
      <c r="K29" s="85">
        <f>SUM(H29:J29)</f>
        <v/>
      </c>
      <c r="L29" s="85" t="n">
        <v>425.23962</v>
      </c>
      <c r="M29" s="85" t="n">
        <v>0</v>
      </c>
      <c r="N29" s="85" t="n">
        <v>187.41719</v>
      </c>
      <c r="O29" s="85">
        <f>SUM(L29:N29)</f>
        <v/>
      </c>
      <c r="P29" s="85" t="n">
        <v>24595.010503</v>
      </c>
      <c r="Q29" s="187">
        <f>SUM(K29+O29+P29)</f>
        <v/>
      </c>
      <c r="R29" s="500" t="n"/>
      <c r="S29" s="91">
        <f>K29/(F29/((YEAR(E29)*12+MONTH(E29))-(YEAR(D29)*12+MONTH(D29))+1))</f>
        <v/>
      </c>
      <c r="T29" s="91">
        <f>G29/F29</f>
        <v/>
      </c>
      <c r="U29" s="567">
        <f>F29-G29</f>
        <v/>
      </c>
      <c r="V29" s="500" t="n"/>
      <c r="W29" s="500" t="n"/>
      <c r="X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68.239735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1.481485</v>
      </c>
      <c r="O30" s="100">
        <f>SUM(L30:N30)</f>
        <v/>
      </c>
      <c r="P30" s="100" t="n">
        <v>66.75825</v>
      </c>
      <c r="Q30" s="187">
        <f>SUM(K30+O30+P30)</f>
        <v/>
      </c>
      <c r="R30" s="501" t="n"/>
      <c r="S30" s="205">
        <f>K30/(F30/((YEAR(E30)*12+MONTH(E30))-(YEAR(D30)*12+MONTH(D30))+1))</f>
        <v/>
      </c>
      <c r="T30" s="205">
        <f>G30/F30</f>
        <v/>
      </c>
      <c r="U30" s="576">
        <f>F30-G30</f>
        <v/>
      </c>
      <c r="V30" s="501" t="n"/>
      <c r="W30" s="501" t="n"/>
      <c r="X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0">
        <f>SUM(L28:L30)</f>
        <v/>
      </c>
      <c r="M31" s="590">
        <f>SUM(M28:M30)</f>
        <v/>
      </c>
      <c r="N31" s="591">
        <f>SUM(N28:N30)</f>
        <v/>
      </c>
      <c r="O31" s="579">
        <f>SUM(O28:O30)</f>
        <v/>
      </c>
      <c r="P31" s="579">
        <f>SUM(P28:P30)</f>
        <v/>
      </c>
      <c r="Q31" s="580">
        <f>SUM(K31+O31+P31)</f>
        <v/>
      </c>
      <c r="R31" s="579" t="inlineStr"/>
      <c r="S31" s="220">
        <f>K31/(F31/((YEAR(E28)*12+MONTH(E28))-(YEAR(D28)*12+MONTH(D28))+1))</f>
        <v/>
      </c>
      <c r="T31" s="221">
        <f>G31/F31</f>
        <v/>
      </c>
      <c r="U31" s="579">
        <f>F31-G31</f>
        <v/>
      </c>
      <c r="V31" s="222">
        <f>V28</f>
        <v/>
      </c>
      <c r="W31" s="220">
        <f>Q31/V28</f>
        <v/>
      </c>
      <c r="X31" s="654">
        <f>V28-Q31</f>
        <v/>
      </c>
      <c r="Y31" s="651" t="inlineStr"/>
      <c r="Z31" s="651" t="inlineStr"/>
      <c r="AA31" s="651" t="inlineStr"/>
      <c r="AB31" s="651" t="inlineStr"/>
      <c r="AC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45931</v>
      </c>
      <c r="E32" s="638" t="n">
        <v>46081</v>
      </c>
      <c r="F32" s="116" t="n">
        <v>2767.6</v>
      </c>
      <c r="G32" s="565" t="n">
        <v>1525.882731</v>
      </c>
      <c r="H32" s="653" t="n">
        <v>0</v>
      </c>
      <c r="I32" s="653" t="n">
        <v>0</v>
      </c>
      <c r="J32" s="653" t="n">
        <v>0</v>
      </c>
      <c r="K32" s="653">
        <f>SUM(H32:J32)</f>
        <v/>
      </c>
      <c r="L32" s="118" t="n">
        <v>51.706393</v>
      </c>
      <c r="M32" s="118" t="n">
        <v>0</v>
      </c>
      <c r="N32" s="118" t="n">
        <v>14.109955</v>
      </c>
      <c r="O32" s="118">
        <f>SUM(L32:N32)</f>
        <v/>
      </c>
      <c r="P32" s="118" t="n">
        <v>193.330405</v>
      </c>
      <c r="Q32" s="187">
        <f>SUM(K32+O32+P32)</f>
        <v/>
      </c>
      <c r="R32" s="526" t="inlineStr"/>
      <c r="S32" s="122">
        <f>K32/(F32/((YEAR(E32)*12+MONTH(E32))-(YEAR(D32)*12+MONTH(D32))+1))</f>
        <v/>
      </c>
      <c r="T32" s="122">
        <f>G32/F32</f>
        <v/>
      </c>
      <c r="U32" s="587">
        <f>F32-G32</f>
        <v/>
      </c>
      <c r="V32" s="214" t="n">
        <v>24216.5</v>
      </c>
      <c r="W32" s="122">
        <f>W35</f>
        <v/>
      </c>
      <c r="X32" s="652">
        <f>X35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6283.840182</v>
      </c>
      <c r="H33" s="85" t="n">
        <v>0</v>
      </c>
      <c r="I33" s="85" t="n">
        <v>0</v>
      </c>
      <c r="J33" s="85" t="n">
        <v>0</v>
      </c>
      <c r="K33" s="85">
        <f>SUM(H33:J33)</f>
        <v/>
      </c>
      <c r="L33" s="85" t="n">
        <v>4987.997414</v>
      </c>
      <c r="M33" s="85" t="n">
        <v>0</v>
      </c>
      <c r="N33" s="85" t="n">
        <v>225.874626</v>
      </c>
      <c r="O33" s="85">
        <f>SUM(L33:N33)</f>
        <v/>
      </c>
      <c r="P33" s="85" t="n">
        <v>1069.968142</v>
      </c>
      <c r="Q33" s="187">
        <f>SUM(K33+O33+P33)</f>
        <v/>
      </c>
      <c r="R33" s="500" t="n"/>
      <c r="S33" s="91">
        <f>K33/(F33/((YEAR(E33)*12+MONTH(E33))-(YEAR(D33)*12+MONTH(D33))+1))</f>
        <v/>
      </c>
      <c r="T33" s="91">
        <f>G33/F33</f>
        <v/>
      </c>
      <c r="U33" s="567">
        <f>F33-G33</f>
        <v/>
      </c>
      <c r="V33" s="500" t="n"/>
      <c r="W33" s="500" t="n"/>
      <c r="X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1922.06833</v>
      </c>
      <c r="H34" s="100" t="n">
        <v>180.602651</v>
      </c>
      <c r="I34" s="100" t="n">
        <v>0</v>
      </c>
      <c r="J34" s="100" t="n">
        <v>0</v>
      </c>
      <c r="K34" s="100">
        <f>SUM(H34:J34)</f>
        <v/>
      </c>
      <c r="L34" s="100" t="n">
        <v>474.6456</v>
      </c>
      <c r="M34" s="100" t="n">
        <v>0</v>
      </c>
      <c r="N34" s="100" t="n">
        <v>122.035472</v>
      </c>
      <c r="O34" s="100">
        <f>SUM(L34:N34)</f>
        <v/>
      </c>
      <c r="P34" s="100" t="n">
        <v>1144.784607</v>
      </c>
      <c r="Q34" s="187">
        <f>SUM(K34+O34+P34)</f>
        <v/>
      </c>
      <c r="R34" s="501" t="n"/>
      <c r="S34" s="205">
        <f>K34/(F34/((YEAR(E34)*12+MONTH(E34))-(YEAR(D34)*12+MONTH(D34))+1))</f>
        <v/>
      </c>
      <c r="T34" s="205">
        <f>G34/F34</f>
        <v/>
      </c>
      <c r="U34" s="576">
        <f>F34-G34</f>
        <v/>
      </c>
      <c r="V34" s="501" t="n"/>
      <c r="W34" s="501" t="n"/>
      <c r="X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597">
        <f>SUM(O32:O34)</f>
        <v/>
      </c>
      <c r="P35" s="641">
        <f>SUM(P32:P34)</f>
        <v/>
      </c>
      <c r="Q35" s="580">
        <f>SUM(K35+O35+P35)</f>
        <v/>
      </c>
      <c r="R35" s="598" t="inlineStr"/>
      <c r="S35" s="226">
        <f>K35/(F35/((YEAR(E32)*12+MONTH(E32))-(YEAR(D32)*12+MONTH(D32))+1))</f>
        <v/>
      </c>
      <c r="T35" s="227">
        <f>G35/F35</f>
        <v/>
      </c>
      <c r="U35" s="598">
        <f>F35-G35</f>
        <v/>
      </c>
      <c r="V35" s="228">
        <f>V32</f>
        <v/>
      </c>
      <c r="W35" s="226">
        <f>Q35/V32</f>
        <v/>
      </c>
      <c r="X35" s="655">
        <f>V32-Q35</f>
        <v/>
      </c>
      <c r="Y35" s="651" t="inlineStr"/>
      <c r="Z35" s="651" t="inlineStr"/>
      <c r="AA35" s="651" t="inlineStr"/>
      <c r="AB35" s="651" t="inlineStr"/>
      <c r="AC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22653.621594</v>
      </c>
      <c r="H36" s="142" t="n">
        <v>6738.34979</v>
      </c>
      <c r="I36" s="142" t="n">
        <v>0</v>
      </c>
      <c r="J36" s="142" t="n">
        <v>0</v>
      </c>
      <c r="K36" s="197">
        <f>SUM(H36:J36)</f>
        <v/>
      </c>
      <c r="L36" s="142" t="n">
        <v>6594.535422</v>
      </c>
      <c r="M36" s="142" t="n">
        <v>0</v>
      </c>
      <c r="N36" s="142" t="n">
        <v>205.22726</v>
      </c>
      <c r="O36" s="197">
        <f>SUM(L36:N36)</f>
        <v/>
      </c>
      <c r="P36" s="197" t="n">
        <v>9115.509121999999</v>
      </c>
      <c r="Q36" s="187">
        <f>SUM(K36+O36+P36)</f>
        <v/>
      </c>
      <c r="R36" s="644" t="inlineStr"/>
      <c r="S36" s="148">
        <f>K36/(F36/((YEAR(E36)*12+MONTH(E36))-(YEAR(D36)*12+MONTH(D36))+1))</f>
        <v/>
      </c>
      <c r="T36" s="148">
        <f>G36/F36</f>
        <v/>
      </c>
      <c r="U36" s="604">
        <f>F36-G36</f>
        <v/>
      </c>
      <c r="V36" s="230" t="n">
        <v>30127.5</v>
      </c>
      <c r="W36" s="148">
        <f>W38</f>
        <v/>
      </c>
      <c r="X36" s="656">
        <f>X38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440.8209</v>
      </c>
      <c r="M37" s="154" t="n">
        <v>0</v>
      </c>
      <c r="N37" s="154" t="n">
        <v>0</v>
      </c>
      <c r="O37" s="154">
        <f>SUM(L37:N37)</f>
        <v/>
      </c>
      <c r="P37" s="154" t="n">
        <v>0</v>
      </c>
      <c r="Q37" s="187">
        <f>SUM(K37+O37+P37)</f>
        <v/>
      </c>
      <c r="R37" s="501" t="n"/>
      <c r="S37" s="232">
        <f>K37/(F37/((YEAR(E37)*12+MONTH(E37))-(YEAR(D37)*12+MONTH(D37))+1))</f>
        <v/>
      </c>
      <c r="T37" s="232">
        <f>G37/F37</f>
        <v/>
      </c>
      <c r="U37" s="611">
        <f>F37-G37</f>
        <v/>
      </c>
      <c r="V37" s="607" t="n"/>
      <c r="W37" s="501" t="n"/>
      <c r="X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614">
        <f>SUM(L36:L37)</f>
        <v/>
      </c>
      <c r="M38" s="614">
        <f>SUM(M36:M37)</f>
        <v/>
      </c>
      <c r="N38" s="614">
        <f>SUM(N36:N37)</f>
        <v/>
      </c>
      <c r="O38" s="614">
        <f>SUM(O36:O37)</f>
        <v/>
      </c>
      <c r="P38" s="614">
        <f>SUM(P36:P37)</f>
        <v/>
      </c>
      <c r="Q38" s="580">
        <f>SUM(K38+O38+P38)</f>
        <v/>
      </c>
      <c r="R38" s="614" t="inlineStr"/>
      <c r="S38" s="234">
        <f>K38/(F38/((YEAR(E36)*12+MONTH(E36))-(YEAR(D36)*12+MONTH(D36))+1))</f>
        <v/>
      </c>
      <c r="T38" s="235">
        <f>G38/F38</f>
        <v/>
      </c>
      <c r="U38" s="615">
        <f>F38-G38</f>
        <v/>
      </c>
      <c r="V38" s="236">
        <f>V36</f>
        <v/>
      </c>
      <c r="W38" s="234">
        <f>Q38/V36</f>
        <v/>
      </c>
      <c r="X38" s="657">
        <f>V36-Q38</f>
        <v/>
      </c>
      <c r="Y38" s="651" t="inlineStr"/>
      <c r="Z38" s="651" t="inlineStr"/>
      <c r="AA38" s="651" t="inlineStr"/>
      <c r="AB38" s="651" t="inlineStr"/>
      <c r="AC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2343.921892</v>
      </c>
      <c r="H39" s="142" t="n">
        <v>360.984078</v>
      </c>
      <c r="I39" s="142" t="n">
        <v>0</v>
      </c>
      <c r="J39" s="142" t="n">
        <v>0</v>
      </c>
      <c r="K39" s="142">
        <f>SUM(H39:J39)</f>
        <v/>
      </c>
      <c r="L39" s="142" t="n">
        <v>1738.204897</v>
      </c>
      <c r="M39" s="142" t="n">
        <v>0</v>
      </c>
      <c r="N39" s="142" t="n">
        <v>244.732916</v>
      </c>
      <c r="O39" s="142">
        <f>SUM(L39:N39)</f>
        <v/>
      </c>
      <c r="P39" s="142" t="n">
        <v>1538.392041</v>
      </c>
      <c r="Q39" s="187">
        <f>SUM(K39+O39+P39)</f>
        <v/>
      </c>
      <c r="R39" s="644" t="inlineStr"/>
      <c r="S39" s="148">
        <f>K39/(F39/((YEAR(E39)*12+MONTH(E39))-(YEAR(D39)*12+MONTH(D39))+1))</f>
        <v/>
      </c>
      <c r="T39" s="148">
        <f>G39/F39</f>
        <v/>
      </c>
      <c r="U39" s="616">
        <f>F39-G39</f>
        <v/>
      </c>
      <c r="V39" s="230" t="n">
        <v>26246.88</v>
      </c>
      <c r="W39" s="148">
        <f>W41</f>
        <v/>
      </c>
      <c r="X39" s="656">
        <f>X41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178.005273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176.20858</v>
      </c>
      <c r="M40" s="154" t="n">
        <v>0</v>
      </c>
      <c r="N40" s="154" t="n">
        <v>0</v>
      </c>
      <c r="O40" s="154">
        <f>SUM(L40:N40)</f>
        <v/>
      </c>
      <c r="P40" s="154" t="n">
        <v>0</v>
      </c>
      <c r="Q40" s="187">
        <f>SUM(K40+O40+P40)</f>
        <v/>
      </c>
      <c r="R40" s="501" t="n"/>
      <c r="S40" s="232">
        <f>K40/(F40/((YEAR(E40)*12+MONTH(E40))-(YEAR(D40)*12+MONTH(D40))+1))</f>
        <v/>
      </c>
      <c r="T40" s="232">
        <f>G40/F40</f>
        <v/>
      </c>
      <c r="U40" s="617">
        <f>F40-G40</f>
        <v/>
      </c>
      <c r="V40" s="607" t="n"/>
      <c r="W40" s="501" t="n"/>
      <c r="X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621">
        <f>SUM(L39:L40)</f>
        <v/>
      </c>
      <c r="M41" s="621">
        <f>SUM(M39:M40)</f>
        <v/>
      </c>
      <c r="N41" s="621">
        <f>SUM(N39:N40)</f>
        <v/>
      </c>
      <c r="O41" s="621">
        <f>SUM(O39:O40)</f>
        <v/>
      </c>
      <c r="P41" s="621">
        <f>SUM(P39:P40)</f>
        <v/>
      </c>
      <c r="Q41" s="580">
        <f>SUM(K41+O41+P41)</f>
        <v/>
      </c>
      <c r="R41" s="621" t="inlineStr"/>
      <c r="S41" s="239">
        <f>K41/(F41/((YEAR(E39)*12+MONTH(E39))-(YEAR(D39)*12+MONTH(D39))+1))</f>
        <v/>
      </c>
      <c r="T41" s="240">
        <f>G41/F41</f>
        <v/>
      </c>
      <c r="U41" s="621">
        <f>F41-G41</f>
        <v/>
      </c>
      <c r="V41" s="241">
        <f>V39</f>
        <v/>
      </c>
      <c r="W41" s="242">
        <f>Q41/V39</f>
        <v/>
      </c>
      <c r="X41" s="658">
        <f>V39-Q41</f>
        <v/>
      </c>
      <c r="Y41" s="651" t="inlineStr"/>
      <c r="Z41" s="651" t="inlineStr"/>
      <c r="AA41" s="651" t="inlineStr"/>
      <c r="AB41" s="651" t="inlineStr"/>
      <c r="AC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8751.715393</v>
      </c>
      <c r="H42" s="142" t="n">
        <v>3435.810606</v>
      </c>
      <c r="I42" s="142" t="n">
        <v>1752.93222</v>
      </c>
      <c r="J42" s="142" t="n">
        <v>0</v>
      </c>
      <c r="K42" s="142">
        <f>SUM(H42:J42)</f>
        <v/>
      </c>
      <c r="L42" s="142" t="n">
        <v>1081.878995</v>
      </c>
      <c r="M42" s="142" t="n">
        <v>523.50012</v>
      </c>
      <c r="N42" s="142" t="n">
        <v>83.634575</v>
      </c>
      <c r="O42" s="142">
        <f>SUM(L42:N42)</f>
        <v/>
      </c>
      <c r="P42" s="142" t="n">
        <v>1873.958877</v>
      </c>
      <c r="Q42" s="187">
        <f>SUM(K42+O42+P42)</f>
        <v/>
      </c>
      <c r="R42" s="644" t="inlineStr"/>
      <c r="S42" s="148">
        <f>K42/(F42/((YEAR(E42)*12+MONTH(E42))-(YEAR(D42)*12+MONTH(D42))+1))</f>
        <v/>
      </c>
      <c r="T42" s="148">
        <f>G42/F42</f>
        <v/>
      </c>
      <c r="U42" s="616">
        <f>F42-G42</f>
        <v/>
      </c>
      <c r="V42" s="230" t="n">
        <v>32744.18</v>
      </c>
      <c r="W42" s="148">
        <f>W44</f>
        <v/>
      </c>
      <c r="X42" s="656">
        <f>X44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525.791212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524.574731</v>
      </c>
      <c r="M43" s="154" t="n">
        <v>0</v>
      </c>
      <c r="N43" s="154" t="n">
        <v>1.216481</v>
      </c>
      <c r="O43" s="154">
        <f>SUM(L43:N43)</f>
        <v/>
      </c>
      <c r="P43" s="154" t="n">
        <v>0</v>
      </c>
      <c r="Q43" s="187">
        <f>SUM(K43+O43+P43)</f>
        <v/>
      </c>
      <c r="R43" s="501" t="n"/>
      <c r="S43" s="232">
        <f>K43/(F43/((YEAR(E43)*12+MONTH(E43))-(YEAR(D43)*12+MONTH(D43))+1))</f>
        <v/>
      </c>
      <c r="T43" s="232">
        <f>G43/F43</f>
        <v/>
      </c>
      <c r="U43" s="617">
        <f>F43-G43</f>
        <v/>
      </c>
      <c r="V43" s="607" t="n"/>
      <c r="W43" s="501" t="n"/>
      <c r="X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621">
        <f>SUM(L42:L43)</f>
        <v/>
      </c>
      <c r="M44" s="621">
        <f>SUM(M42:M43)</f>
        <v/>
      </c>
      <c r="N44" s="621">
        <f>SUM(N42:N43)</f>
        <v/>
      </c>
      <c r="O44" s="621">
        <f>SUM(O42:O43)</f>
        <v/>
      </c>
      <c r="P44" s="621">
        <f>SUM(P42:P43)</f>
        <v/>
      </c>
      <c r="Q44" s="580">
        <f>SUM(K44+O44+P44)</f>
        <v/>
      </c>
      <c r="R44" s="621" t="inlineStr"/>
      <c r="S44" s="239">
        <f>K44/(F44/((YEAR(E42)*12+MONTH(E42))-(YEAR(D42)*12+MONTH(D42))+1))</f>
        <v/>
      </c>
      <c r="T44" s="240">
        <f>G44/F44</f>
        <v/>
      </c>
      <c r="U44" s="621">
        <f>F44-G44</f>
        <v/>
      </c>
      <c r="V44" s="241">
        <f>V42</f>
        <v/>
      </c>
      <c r="W44" s="242">
        <f>Q44/V42</f>
        <v/>
      </c>
      <c r="X44" s="658">
        <f>V42-Q44</f>
        <v/>
      </c>
      <c r="Y44" s="651" t="inlineStr"/>
      <c r="Z44" s="651" t="inlineStr"/>
      <c r="AA44" s="651" t="inlineStr"/>
      <c r="AB44" s="651" t="inlineStr"/>
      <c r="AC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2651.170211</v>
      </c>
      <c r="H45" s="589" t="n">
        <v>0</v>
      </c>
      <c r="I45" s="589" t="n">
        <v>0</v>
      </c>
      <c r="J45" s="589" t="n">
        <v>0</v>
      </c>
      <c r="K45" s="589">
        <f>SUM(H45:J45)</f>
        <v/>
      </c>
      <c r="L45" s="118" t="n">
        <v>1396.194268</v>
      </c>
      <c r="M45" s="118" t="n">
        <v>0</v>
      </c>
      <c r="N45" s="118" t="n">
        <v>1254.975943</v>
      </c>
      <c r="O45" s="118">
        <f>SUM(L45:N45)</f>
        <v/>
      </c>
      <c r="P45" s="118" t="n">
        <v>7197.089118</v>
      </c>
      <c r="Q45" s="187">
        <f>SUM(K45+O45+P45)</f>
        <v/>
      </c>
      <c r="R45" s="526" t="inlineStr"/>
      <c r="S45" s="122">
        <f>K45/(F45/((YEAR(E45)*12+MONTH(E45))-(YEAR(D45)*12+MONTH(D45))+1))</f>
        <v/>
      </c>
      <c r="T45" s="122">
        <f>G45/F45</f>
        <v/>
      </c>
      <c r="U45" s="587">
        <f>F45-G45</f>
        <v/>
      </c>
      <c r="V45" s="244" t="n">
        <v>125710</v>
      </c>
      <c r="W45" s="171">
        <f>W49</f>
        <v/>
      </c>
      <c r="X45" s="659">
        <f>X49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7643.706699</v>
      </c>
      <c r="H46" s="85" t="n">
        <v>1432.08607</v>
      </c>
      <c r="I46" s="85" t="n">
        <v>0</v>
      </c>
      <c r="J46" s="85" t="n">
        <v>0</v>
      </c>
      <c r="K46" s="85">
        <f>SUM(H46:J46)</f>
        <v/>
      </c>
      <c r="L46" s="85" t="n">
        <v>1566.390968</v>
      </c>
      <c r="M46" s="85" t="n">
        <v>0</v>
      </c>
      <c r="N46" s="85" t="n">
        <v>311.654822</v>
      </c>
      <c r="O46" s="118">
        <f>SUM(L46:N46)</f>
        <v/>
      </c>
      <c r="P46" s="118" t="n">
        <v>4333.574839</v>
      </c>
      <c r="Q46" s="187">
        <f>SUM(K46+O46+P46)</f>
        <v/>
      </c>
      <c r="R46" s="500" t="n"/>
      <c r="S46" s="91">
        <f>K46/(F46/((YEAR(E46)*12+MONTH(E46))-(YEAR(D46)*12+MONTH(D46))+1))</f>
        <v/>
      </c>
      <c r="T46" s="91">
        <f>G46/F46</f>
        <v/>
      </c>
      <c r="U46" s="567">
        <f>F46-G46</f>
        <v/>
      </c>
      <c r="V46" s="626" t="n"/>
      <c r="W46" s="500" t="n"/>
      <c r="X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10493.809427</v>
      </c>
      <c r="H47" s="85" t="n">
        <v>1726.871076</v>
      </c>
      <c r="I47" s="85" t="n">
        <v>0</v>
      </c>
      <c r="J47" s="85" t="n">
        <v>0</v>
      </c>
      <c r="K47" s="85">
        <f>SUM(H47:J47)</f>
        <v/>
      </c>
      <c r="L47" s="85" t="n">
        <v>3065.24731</v>
      </c>
      <c r="M47" s="85" t="n">
        <v>0</v>
      </c>
      <c r="N47" s="85" t="n">
        <v>819.932281</v>
      </c>
      <c r="O47" s="85">
        <f>SUM(L47:N47)</f>
        <v/>
      </c>
      <c r="P47" s="85" t="n">
        <v>4881.758761</v>
      </c>
      <c r="Q47" s="187">
        <f>SUM(K47+O47+P47)</f>
        <v/>
      </c>
      <c r="R47" s="500" t="n"/>
      <c r="S47" s="91">
        <f>K47/(F47/((YEAR(E47)*12+MONTH(E47))-(YEAR(D47)*12+MONTH(D47))+1))</f>
        <v/>
      </c>
      <c r="T47" s="91">
        <f>G47/F47</f>
        <v/>
      </c>
      <c r="U47" s="567">
        <f>F47-G47</f>
        <v/>
      </c>
      <c r="V47" s="626" t="n"/>
      <c r="W47" s="500" t="n"/>
      <c r="X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451.152</v>
      </c>
      <c r="I48" s="100" t="n">
        <v>0</v>
      </c>
      <c r="J48" s="100" t="n">
        <v>0</v>
      </c>
      <c r="K48" s="100">
        <f>SUM(H48:J48)</f>
        <v/>
      </c>
      <c r="L48" s="100" t="n">
        <v>2837.047697</v>
      </c>
      <c r="M48" s="100" t="n">
        <v>0</v>
      </c>
      <c r="N48" s="100" t="n">
        <v>460.414785</v>
      </c>
      <c r="O48" s="100">
        <f>SUM(L48:N48)</f>
        <v/>
      </c>
      <c r="P48" s="100" t="n">
        <v>2547.377488</v>
      </c>
      <c r="Q48" s="187">
        <f>SUM(K48+O48+P48)</f>
        <v/>
      </c>
      <c r="R48" s="501" t="n"/>
      <c r="S48" s="103" t="inlineStr"/>
      <c r="T48" s="205">
        <f>G48/F48</f>
        <v/>
      </c>
      <c r="U48" s="576">
        <f>F48-G48</f>
        <v/>
      </c>
      <c r="V48" s="628" t="n"/>
      <c r="W48" s="513" t="n"/>
      <c r="X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0">
        <f>SUM(L45:L48)</f>
        <v/>
      </c>
      <c r="M49" s="590">
        <f>SUM(M45:M48)</f>
        <v/>
      </c>
      <c r="N49" s="591">
        <f>SUM(N45:N48)</f>
        <v/>
      </c>
      <c r="O49" s="579">
        <f>SUM(O45:O48)</f>
        <v/>
      </c>
      <c r="P49" s="579">
        <f>SUM(P45:P48)</f>
        <v/>
      </c>
      <c r="Q49" s="646">
        <f>SUM(K49+O49+P49)</f>
        <v/>
      </c>
      <c r="R49" s="579" t="inlineStr"/>
      <c r="S49" s="220">
        <f>K49/(F49/((YEAR(E45)*12+MONTH(E45))-(YEAR(D45)*12+MONTH(D45))+1))</f>
        <v/>
      </c>
      <c r="T49" s="221">
        <f>G49/F49</f>
        <v/>
      </c>
      <c r="U49" s="598">
        <f>F49-G49</f>
        <v/>
      </c>
      <c r="V49" s="228">
        <f>V45</f>
        <v/>
      </c>
      <c r="W49" s="226">
        <f>Q49/V45</f>
        <v/>
      </c>
      <c r="X49" s="655">
        <f>V45-Q49</f>
        <v/>
      </c>
      <c r="Y49" s="651" t="inlineStr"/>
      <c r="Z49" s="651" t="inlineStr"/>
      <c r="AA49" s="651" t="inlineStr"/>
      <c r="AB49" s="651" t="inlineStr"/>
      <c r="AC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0">
        <f>O10+O16+O22+O27+O31+O35+O38+O41+O44+O49</f>
        <v/>
      </c>
      <c r="P50" s="661">
        <f>P10+P16+P22+P27+P31+P35+P38+P41+P44+P49</f>
        <v/>
      </c>
      <c r="Q50" s="662">
        <f>Q10+Q16+Q22+Q27+Q31+Q35+Q38+Q41+Q44+Q49</f>
        <v/>
      </c>
      <c r="R50" s="632" t="inlineStr"/>
      <c r="S50" s="249">
        <f>K50/(F50/((YEAR(E4)*12+MONTH(E4))-(YEAR(D4)*12+MONTH(D4))+1))</f>
        <v/>
      </c>
      <c r="T50" s="250">
        <f>G50/F50</f>
        <v/>
      </c>
      <c r="U50" s="663">
        <f>F50-G50</f>
        <v/>
      </c>
      <c r="V50" s="663">
        <f>V10+V16+V22+V27+V31+V35+V38+V41+V44+V49</f>
        <v/>
      </c>
      <c r="W50" s="252">
        <f>Q50/V50</f>
        <v/>
      </c>
      <c r="X50" s="663">
        <f>V50-Q50</f>
        <v/>
      </c>
      <c r="Y50" s="664" t="inlineStr"/>
      <c r="Z50" s="664" t="inlineStr"/>
      <c r="AA50" s="664" t="inlineStr"/>
      <c r="AB50" s="664" t="inlineStr"/>
      <c r="AC50" s="664" t="inlineStr"/>
    </row>
    <row r="51" ht="24" customFormat="1" customHeight="1" s="483">
      <c r="U51" s="633" t="inlineStr">
        <is>
          <t>公司目标</t>
        </is>
      </c>
      <c r="V51" s="633" t="n">
        <v>630987.38</v>
      </c>
      <c r="W51" s="252">
        <f>IF(V51&lt;&gt;0,Q50/V51,"")</f>
        <v/>
      </c>
      <c r="X51" s="663">
        <f>V51-Q50</f>
        <v/>
      </c>
    </row>
  </sheetData>
  <mergeCells count="85">
    <mergeCell ref="A45:A48"/>
    <mergeCell ref="U2:U3"/>
    <mergeCell ref="W45:W48"/>
    <mergeCell ref="R17:R21"/>
    <mergeCell ref="A2:A3"/>
    <mergeCell ref="C2:C3"/>
    <mergeCell ref="R42:R43"/>
    <mergeCell ref="E2:E3"/>
    <mergeCell ref="V36:V37"/>
    <mergeCell ref="W2:W3"/>
    <mergeCell ref="X11:X15"/>
    <mergeCell ref="V45:V48"/>
    <mergeCell ref="W42:W43"/>
    <mergeCell ref="X45:X48"/>
    <mergeCell ref="X4:X9"/>
    <mergeCell ref="V2:V3"/>
    <mergeCell ref="X2:X3"/>
    <mergeCell ref="R32:R34"/>
    <mergeCell ref="X23:X26"/>
    <mergeCell ref="A49:E49"/>
    <mergeCell ref="A32:A34"/>
    <mergeCell ref="N2:N3"/>
    <mergeCell ref="V23:V26"/>
    <mergeCell ref="F2:F3"/>
    <mergeCell ref="P2:P3"/>
    <mergeCell ref="H2:H3"/>
    <mergeCell ref="R36:R37"/>
    <mergeCell ref="X42:X43"/>
    <mergeCell ref="K2:K3"/>
    <mergeCell ref="V39:V40"/>
    <mergeCell ref="A23:A26"/>
    <mergeCell ref="O2:O3"/>
    <mergeCell ref="Q2:Q3"/>
    <mergeCell ref="V17:V21"/>
    <mergeCell ref="V28:V30"/>
    <mergeCell ref="X17:X21"/>
    <mergeCell ref="X28:X30"/>
    <mergeCell ref="A4:A9"/>
    <mergeCell ref="A38:E38"/>
    <mergeCell ref="A39:A40"/>
    <mergeCell ref="A31:E31"/>
    <mergeCell ref="S2:S3"/>
    <mergeCell ref="X39:X40"/>
    <mergeCell ref="V11:V15"/>
    <mergeCell ref="A36:A37"/>
    <mergeCell ref="B2:B3"/>
    <mergeCell ref="D2:D3"/>
    <mergeCell ref="V32:V34"/>
    <mergeCell ref="A17:A21"/>
    <mergeCell ref="R4:R9"/>
    <mergeCell ref="A16:E16"/>
    <mergeCell ref="V4:V9"/>
    <mergeCell ref="A28:A30"/>
    <mergeCell ref="W11:W15"/>
    <mergeCell ref="T2:T3"/>
    <mergeCell ref="A50:E50"/>
    <mergeCell ref="A11:A15"/>
    <mergeCell ref="R28:R30"/>
    <mergeCell ref="A22:E22"/>
    <mergeCell ref="W23:W26"/>
    <mergeCell ref="A44:E44"/>
    <mergeCell ref="V42:V43"/>
    <mergeCell ref="G2:G3"/>
    <mergeCell ref="X36:X37"/>
    <mergeCell ref="I2:I3"/>
    <mergeCell ref="R39:R40"/>
    <mergeCell ref="R23:R26"/>
    <mergeCell ref="W4:W9"/>
    <mergeCell ref="W36:W37"/>
    <mergeCell ref="M2:M3"/>
    <mergeCell ref="W17:W21"/>
    <mergeCell ref="A41:E41"/>
    <mergeCell ref="R45:R48"/>
    <mergeCell ref="A27:E27"/>
    <mergeCell ref="W28:W30"/>
    <mergeCell ref="A42:A43"/>
    <mergeCell ref="R11:R15"/>
    <mergeCell ref="X32:X34"/>
    <mergeCell ref="R2:R3"/>
    <mergeCell ref="J2:J3"/>
    <mergeCell ref="L2:L3"/>
    <mergeCell ref="A35:E35"/>
    <mergeCell ref="W39:W40"/>
    <mergeCell ref="A10:E10"/>
    <mergeCell ref="W32:W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width="13" customWidth="1" style="533" min="16" max="16"/>
    <col width="13.625" customWidth="1" style="533" min="17" max="17"/>
    <col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29"/>
  </cols>
  <sheetData>
    <row r="1" ht="20.25" customFormat="1" customHeight="1" s="483">
      <c r="A1" s="754" t="inlineStr">
        <is>
          <t>私人财富管理部折标销售进度表-截止20260320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552" t="inlineStr">
        <is>
          <t>上半年时间进度</t>
        </is>
      </c>
      <c r="X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传统202603</t>
        </is>
      </c>
      <c r="I2" s="506" t="inlineStr">
        <is>
          <t>保险202603</t>
        </is>
      </c>
      <c r="J2" s="506" t="inlineStr">
        <is>
          <t>管理费202603</t>
        </is>
      </c>
      <c r="K2" s="557" t="inlineStr">
        <is>
          <t>2026年
3月折标</t>
        </is>
      </c>
      <c r="L2" s="506" t="inlineStr">
        <is>
          <t>传统202602</t>
        </is>
      </c>
      <c r="M2" s="506" t="inlineStr">
        <is>
          <t>保险202602</t>
        </is>
      </c>
      <c r="N2" s="506" t="inlineStr">
        <is>
          <t>管理费202602</t>
        </is>
      </c>
      <c r="O2" s="557" t="inlineStr">
        <is>
          <t>2026年
2月折标</t>
        </is>
      </c>
      <c r="P2" s="557" t="inlineStr">
        <is>
          <t>2026年
1月折标</t>
        </is>
      </c>
      <c r="Q2" s="634" t="inlineStr">
        <is>
          <t>2026年YTD折标</t>
        </is>
      </c>
      <c r="R2" s="558" t="inlineStr">
        <is>
          <t>2026年
1月销量
[USD]</t>
        </is>
      </c>
      <c r="S2" s="559" t="inlineStr">
        <is>
          <t>月度
完成率</t>
        </is>
      </c>
      <c r="T2" s="554" t="inlineStr">
        <is>
          <t>考核期完成率（累计）</t>
        </is>
      </c>
      <c r="U2" s="560" t="inlineStr">
        <is>
          <t>考核期差距</t>
        </is>
      </c>
      <c r="V2" s="561" t="inlineStr">
        <is>
          <t>财富中心
上半年年任务</t>
        </is>
      </c>
      <c r="W2" s="79" t="inlineStr">
        <is>
          <t>财富中心
上半年任务完成率</t>
        </is>
      </c>
      <c r="X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9219.443192000001</v>
      </c>
      <c r="H4" s="85" t="n">
        <v>1333.511562</v>
      </c>
      <c r="I4" s="85" t="n">
        <v>0</v>
      </c>
      <c r="J4" s="85" t="n">
        <v>0</v>
      </c>
      <c r="K4" s="187">
        <f>SUM(H4:J4)</f>
        <v/>
      </c>
      <c r="L4" s="85" t="n">
        <v>454.800547</v>
      </c>
      <c r="M4" s="85" t="n">
        <v>0</v>
      </c>
      <c r="N4" s="85" t="n">
        <v>289.117436</v>
      </c>
      <c r="O4" s="187">
        <f>SUM(L4:N4)</f>
        <v/>
      </c>
      <c r="P4" s="187" t="n">
        <v>3311.566531</v>
      </c>
      <c r="Q4" s="187">
        <f>SUM(K4+O4+P4)</f>
        <v/>
      </c>
      <c r="R4" s="566" t="inlineStr"/>
      <c r="S4" s="91">
        <f>K4/(F4/((YEAR(E4)*12+MONTH(E4))-(YEAR(D4)*12+MONTH(D4))+1))</f>
        <v/>
      </c>
      <c r="T4" s="91">
        <f>G4/F4</f>
        <v/>
      </c>
      <c r="U4" s="567">
        <f>F4-G4</f>
        <v/>
      </c>
      <c r="V4" s="203" t="n">
        <v>141926.4</v>
      </c>
      <c r="W4" s="91">
        <f>W10</f>
        <v/>
      </c>
      <c r="X4" s="569">
        <f>X10</f>
        <v/>
      </c>
      <c r="AA4" s="570" t="inlineStr">
        <is>
          <t>开始日期</t>
        </is>
      </c>
      <c r="AB4" s="570" t="inlineStr">
        <is>
          <t>结束日期</t>
        </is>
      </c>
      <c r="AC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34681.459382</v>
      </c>
      <c r="H5" s="85" t="n">
        <v>155.8557</v>
      </c>
      <c r="I5" s="85" t="n">
        <v>0</v>
      </c>
      <c r="J5" s="85" t="n">
        <v>0</v>
      </c>
      <c r="K5" s="187">
        <f>SUM(H5:J5)</f>
        <v/>
      </c>
      <c r="L5" s="85" t="n">
        <v>9688.821542</v>
      </c>
      <c r="M5" s="85" t="n">
        <v>0</v>
      </c>
      <c r="N5" s="85" t="n">
        <v>606.6776630000001</v>
      </c>
      <c r="O5" s="187">
        <f>SUM(L5:N5)</f>
        <v/>
      </c>
      <c r="P5" s="188" t="n">
        <v>13116.995922</v>
      </c>
      <c r="Q5" s="187">
        <f>SUM(K5+O5+P5)</f>
        <v/>
      </c>
      <c r="R5" s="500" t="n"/>
      <c r="S5" s="91">
        <f>K5/(F5/((YEAR(E5)*12+MONTH(E5))-(YEAR(D5)*12+MONTH(D5))+1))</f>
        <v/>
      </c>
      <c r="T5" s="91">
        <f>G5/F5</f>
        <v/>
      </c>
      <c r="U5" s="567">
        <f>F5-G5</f>
        <v/>
      </c>
      <c r="V5" s="500" t="n"/>
      <c r="W5" s="500" t="n"/>
      <c r="X5" s="500" t="n"/>
      <c r="AA5" s="94" t="n">
        <v>46023</v>
      </c>
      <c r="AB5" s="94" t="n">
        <v>46203</v>
      </c>
      <c r="AC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3144.634313</v>
      </c>
      <c r="H6" s="85" t="n">
        <v>500.150742</v>
      </c>
      <c r="I6" s="85" t="n">
        <v>0</v>
      </c>
      <c r="J6" s="85" t="n">
        <v>0</v>
      </c>
      <c r="K6" s="187">
        <f>SUM(H6:J6)</f>
        <v/>
      </c>
      <c r="L6" s="85" t="n">
        <v>267.1032</v>
      </c>
      <c r="M6" s="85" t="n">
        <v>0</v>
      </c>
      <c r="N6" s="85" t="n">
        <v>25.494675</v>
      </c>
      <c r="O6" s="187">
        <f>SUM(L6:N6)</f>
        <v/>
      </c>
      <c r="P6" s="187" t="n">
        <v>2351.885696</v>
      </c>
      <c r="Q6" s="187">
        <f>SUM(K6+O6+P6)</f>
        <v/>
      </c>
      <c r="R6" s="500" t="n"/>
      <c r="S6" s="91">
        <f>K6/(F6/((YEAR(E6)*12+MONTH(E6))-(YEAR(D6)*12+MONTH(D6))+1))</f>
        <v/>
      </c>
      <c r="T6" s="91">
        <f>G6/F6</f>
        <v/>
      </c>
      <c r="U6" s="567">
        <f>F6-G6</f>
        <v/>
      </c>
      <c r="V6" s="500" t="n"/>
      <c r="W6" s="500" t="n"/>
      <c r="X6" s="500" t="n"/>
      <c r="AA6" s="570" t="inlineStr">
        <is>
          <t>计算日期</t>
        </is>
      </c>
      <c r="AB6" s="570">
        <f>X5-W5</f>
        <v/>
      </c>
      <c r="AC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14067.196064</v>
      </c>
      <c r="H7" s="85" t="n">
        <v>8032.595078</v>
      </c>
      <c r="I7" s="85" t="n">
        <v>0</v>
      </c>
      <c r="J7" s="85" t="n">
        <v>0</v>
      </c>
      <c r="K7" s="187">
        <f>SUM(H7:J7)</f>
        <v/>
      </c>
      <c r="L7" s="85" t="n">
        <v>1402.304143</v>
      </c>
      <c r="M7" s="85" t="n">
        <v>742.65048</v>
      </c>
      <c r="N7" s="85" t="n">
        <v>430.381249</v>
      </c>
      <c r="O7" s="187">
        <f>SUM(L7:N7)</f>
        <v/>
      </c>
      <c r="P7" s="187" t="n">
        <v>3459.265113</v>
      </c>
      <c r="Q7" s="187">
        <f>SUM(K7+O7+P7)</f>
        <v/>
      </c>
      <c r="R7" s="500" t="n"/>
      <c r="S7" s="91">
        <f>K7/(F7/((YEAR(E7)*12+MONTH(E7))-(YEAR(D7)*12+MONTH(D7))+1))</f>
        <v/>
      </c>
      <c r="T7" s="91">
        <f>G7/F7</f>
        <v/>
      </c>
      <c r="U7" s="567">
        <f>F7-G7</f>
        <v/>
      </c>
      <c r="V7" s="500" t="n"/>
      <c r="W7" s="500" t="n"/>
      <c r="X7" s="500" t="n"/>
      <c r="AA7" s="94" t="n">
        <v>46101</v>
      </c>
      <c r="AB7" s="204">
        <f>AB5-AA5+1</f>
        <v/>
      </c>
      <c r="AC7" s="70">
        <f>(AA7-AA5+1)/AB7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946.207931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41.2776</v>
      </c>
      <c r="M8" s="85" t="n">
        <v>0</v>
      </c>
      <c r="N8" s="85" t="n">
        <v>21.785005</v>
      </c>
      <c r="O8" s="187">
        <f>SUM(L8:N8)</f>
        <v/>
      </c>
      <c r="P8" s="187" t="n">
        <v>746.88392</v>
      </c>
      <c r="Q8" s="187">
        <f>SUM(K8+O8+P8)</f>
        <v/>
      </c>
      <c r="R8" s="500" t="n"/>
      <c r="S8" s="91">
        <f>K8/(F8/((YEAR(E8)*12+MONTH(E8))-(YEAR(D8)*12+MONTH(D8))+1))</f>
        <v/>
      </c>
      <c r="T8" s="91">
        <f>G8/F8</f>
        <v/>
      </c>
      <c r="U8" s="567">
        <f>F8-G8</f>
        <v/>
      </c>
      <c r="V8" s="500" t="n"/>
      <c r="W8" s="500" t="n"/>
      <c r="X8" s="500" t="n"/>
      <c r="AA8" s="570" t="inlineStr"/>
      <c r="AB8" s="570" t="inlineStr"/>
      <c r="AC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85" t="n">
        <v>0</v>
      </c>
      <c r="M9" s="85" t="n">
        <v>0</v>
      </c>
      <c r="N9" s="100" t="n">
        <v>0</v>
      </c>
      <c r="O9" s="187">
        <f>SUM(L9:N9)</f>
        <v/>
      </c>
      <c r="P9" s="190" t="n">
        <v>0</v>
      </c>
      <c r="Q9" s="187">
        <f>SUM(K9+O9+P9)</f>
        <v/>
      </c>
      <c r="R9" s="501" t="n"/>
      <c r="S9" s="205">
        <f>K9/(F9/((YEAR(E9)*12+MONTH(E9))-(YEAR(D9)*12+MONTH(D9))+1))</f>
        <v/>
      </c>
      <c r="T9" s="205">
        <f>G9/F9</f>
        <v/>
      </c>
      <c r="U9" s="576">
        <f>F9-G9</f>
        <v/>
      </c>
      <c r="V9" s="501" t="n"/>
      <c r="W9" s="501" t="n"/>
      <c r="X9" s="501" t="n"/>
      <c r="AA9" s="570" t="inlineStr">
        <is>
          <t>计算日期</t>
        </is>
      </c>
      <c r="AB9" s="570" t="n">
        <v>365</v>
      </c>
      <c r="AC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SUM(K10+O10+P10)</f>
        <v/>
      </c>
      <c r="R10" s="109" t="inlineStr"/>
      <c r="S10" s="207">
        <f>K10/(F10/((YEAR(E4)*12+MONTH(E4))-(YEAR(D4)*12+MONTH(D4))+1))</f>
        <v/>
      </c>
      <c r="T10" s="207">
        <f>G10/F10</f>
        <v/>
      </c>
      <c r="U10" s="580">
        <f>F10-G10</f>
        <v/>
      </c>
      <c r="V10" s="208">
        <f>V4</f>
        <v/>
      </c>
      <c r="W10" s="209">
        <f>Q10/V4</f>
        <v/>
      </c>
      <c r="X10" s="650">
        <f>V4-Q10</f>
        <v/>
      </c>
      <c r="Y10" s="651" t="inlineStr"/>
      <c r="Z10" s="651" t="inlineStr"/>
      <c r="AA10" s="212" t="n">
        <v>46101</v>
      </c>
      <c r="AB10" s="651" t="inlineStr"/>
      <c r="AC10" s="213">
        <f>(AA10-DATE(YEAR(AA10),1,1)+1)/AB9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9286.314093999999</v>
      </c>
      <c r="H11" s="589" t="n">
        <v>2659.960961</v>
      </c>
      <c r="I11" s="589" t="n">
        <v>0</v>
      </c>
      <c r="J11" s="589" t="n">
        <v>0</v>
      </c>
      <c r="K11" s="589">
        <f>SUM(H11:J11)</f>
        <v/>
      </c>
      <c r="L11" s="118" t="n">
        <v>0</v>
      </c>
      <c r="M11" s="118" t="n">
        <v>0</v>
      </c>
      <c r="N11" s="118" t="n">
        <v>144.157177</v>
      </c>
      <c r="O11" s="118">
        <f>SUM(L11:N11)</f>
        <v/>
      </c>
      <c r="P11" s="118" t="n">
        <v>6482.195956</v>
      </c>
      <c r="Q11" s="187">
        <f>SUM(K11+O11+P11)</f>
        <v/>
      </c>
      <c r="R11" s="526" t="inlineStr"/>
      <c r="S11" s="122">
        <f>K11/(F11/((YEAR(E11)*12+MONTH(E11))-(YEAR(D11)*12+MONTH(D11))+1))</f>
        <v/>
      </c>
      <c r="T11" s="122">
        <f>G11/F11</f>
        <v/>
      </c>
      <c r="U11" s="587">
        <f>F11-G11</f>
        <v/>
      </c>
      <c r="V11" s="214" t="n">
        <v>84476.32000000001</v>
      </c>
      <c r="W11" s="122">
        <f>W16</f>
        <v/>
      </c>
      <c r="X11" s="652">
        <f>X16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8432.157621</v>
      </c>
      <c r="H12" s="85" t="n">
        <v>2347.834453</v>
      </c>
      <c r="I12" s="85" t="n">
        <v>0</v>
      </c>
      <c r="J12" s="85" t="n">
        <v>0</v>
      </c>
      <c r="K12" s="85">
        <f>SUM(H12:J12)</f>
        <v/>
      </c>
      <c r="L12" s="85" t="n">
        <v>641.804579</v>
      </c>
      <c r="M12" s="85" t="n">
        <v>2330.36622</v>
      </c>
      <c r="N12" s="85" t="n">
        <v>69.316558</v>
      </c>
      <c r="O12" s="85">
        <f>SUM(L12:N12)</f>
        <v/>
      </c>
      <c r="P12" s="85" t="n">
        <v>3042.835811</v>
      </c>
      <c r="Q12" s="187">
        <f>SUM(K12+O12+P12)</f>
        <v/>
      </c>
      <c r="R12" s="500" t="n"/>
      <c r="S12" s="91">
        <f>K12/(F12/((YEAR(E12)*12+MONTH(E12))-(YEAR(D12)*12+MONTH(D12))+1))</f>
        <v/>
      </c>
      <c r="T12" s="91">
        <f>G12/F12</f>
        <v/>
      </c>
      <c r="U12" s="567">
        <f>F12-G12</f>
        <v/>
      </c>
      <c r="V12" s="500" t="n"/>
      <c r="W12" s="500" t="n"/>
      <c r="X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0</v>
      </c>
      <c r="M13" s="85" t="n">
        <v>0</v>
      </c>
      <c r="N13" s="85" t="n">
        <v>0</v>
      </c>
      <c r="O13" s="85">
        <f>SUM(L13:N13)</f>
        <v/>
      </c>
      <c r="P13" s="85" t="n">
        <v>0</v>
      </c>
      <c r="Q13" s="187">
        <f>SUM(K13+O13+P13)</f>
        <v/>
      </c>
      <c r="R13" s="500" t="n"/>
      <c r="S13" s="91">
        <f>K13/(F13/((YEAR(E13)*12+MONTH(E13))-(YEAR(D13)*12+MONTH(D13))+1))</f>
        <v/>
      </c>
      <c r="T13" s="91">
        <f>G13/F13</f>
        <v/>
      </c>
      <c r="U13" s="567">
        <f>F13-G13</f>
        <v/>
      </c>
      <c r="V13" s="500" t="n"/>
      <c r="W13" s="500" t="n"/>
      <c r="X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12602.2</v>
      </c>
      <c r="G14" s="565" t="n">
        <v>2996.647467</v>
      </c>
      <c r="H14" s="85" t="n">
        <v>1350.92178</v>
      </c>
      <c r="I14" s="85" t="n">
        <v>0</v>
      </c>
      <c r="J14" s="85" t="n">
        <v>0</v>
      </c>
      <c r="K14" s="85">
        <f>SUM(H14:J14)</f>
        <v/>
      </c>
      <c r="L14" s="85" t="n">
        <v>1475.145378</v>
      </c>
      <c r="M14" s="85" t="n">
        <v>0</v>
      </c>
      <c r="N14" s="85" t="n">
        <v>170.580309</v>
      </c>
      <c r="O14" s="85">
        <f>SUM(L14:N14)</f>
        <v/>
      </c>
      <c r="P14" s="85" t="n">
        <v>271.694319</v>
      </c>
      <c r="Q14" s="187">
        <f>SUM(K14+O14+P14)</f>
        <v/>
      </c>
      <c r="R14" s="500" t="n"/>
      <c r="S14" s="91">
        <f>K14/(F14/((YEAR(E14)*12+MONTH(E14))-(YEAR(D14)*12+MONTH(D14))+1))</f>
        <v/>
      </c>
      <c r="T14" s="91">
        <f>G14/F14</f>
        <v/>
      </c>
      <c r="U14" s="567">
        <f>F14-G14</f>
        <v/>
      </c>
      <c r="V14" s="500" t="n"/>
      <c r="W14" s="500" t="n"/>
      <c r="X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0</v>
      </c>
      <c r="N15" s="100" t="n">
        <v>0</v>
      </c>
      <c r="O15" s="100">
        <f>SUM(L15:N15)</f>
        <v/>
      </c>
      <c r="P15" s="100" t="n">
        <v>0</v>
      </c>
      <c r="Q15" s="187">
        <f>SUM(K15+O15+P15)</f>
        <v/>
      </c>
      <c r="R15" s="501" t="n"/>
      <c r="S15" s="205">
        <f>K15/(F15/((YEAR(E15)*12+MONTH(E15))-(YEAR(D15)*12+MONTH(D15))+1))</f>
        <v/>
      </c>
      <c r="T15" s="205">
        <f>G15/F15</f>
        <v/>
      </c>
      <c r="U15" s="576">
        <f>F15-G15</f>
        <v/>
      </c>
      <c r="V15" s="501" t="n"/>
      <c r="W15" s="501" t="n"/>
      <c r="X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SUM(K16+O16+P16)</f>
        <v/>
      </c>
      <c r="R16" s="109" t="inlineStr"/>
      <c r="S16" s="207">
        <f>K16/(F16/((YEAR(E11)*12+MONTH(E11))-(YEAR(D11)*12+MONTH(D11))+1))</f>
        <v/>
      </c>
      <c r="T16" s="207">
        <f>G16/F16</f>
        <v/>
      </c>
      <c r="U16" s="580">
        <f>F16-G16</f>
        <v/>
      </c>
      <c r="V16" s="208">
        <f>V11</f>
        <v/>
      </c>
      <c r="W16" s="209">
        <f>Q16/V11</f>
        <v/>
      </c>
      <c r="X16" s="650">
        <f>V11-Q16</f>
        <v/>
      </c>
      <c r="Y16" s="651" t="inlineStr"/>
      <c r="Z16" s="651" t="inlineStr"/>
      <c r="AA16" s="651" t="inlineStr"/>
      <c r="AB16" s="651" t="inlineStr"/>
      <c r="AC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45901</v>
      </c>
      <c r="E17" s="638" t="n">
        <v>46053</v>
      </c>
      <c r="F17" s="116" t="n">
        <v>28222.5</v>
      </c>
      <c r="G17" s="586" t="n">
        <v>21256.428803</v>
      </c>
      <c r="H17" s="589" t="n">
        <v>1264.282204</v>
      </c>
      <c r="I17" s="589" t="n">
        <v>5811.5772</v>
      </c>
      <c r="J17" s="589" t="n">
        <v>0</v>
      </c>
      <c r="K17" s="589">
        <f>SUM(H17:J17)</f>
        <v/>
      </c>
      <c r="L17" s="118" t="n">
        <v>3557.362586</v>
      </c>
      <c r="M17" s="118" t="n">
        <v>0</v>
      </c>
      <c r="N17" s="118" t="n">
        <v>301.023526</v>
      </c>
      <c r="O17" s="118">
        <f>SUM(L17:N17)</f>
        <v/>
      </c>
      <c r="P17" s="118" t="n">
        <v>8988.571889000001</v>
      </c>
      <c r="Q17" s="187">
        <f>SUM(K17+O17+P17)</f>
        <v/>
      </c>
      <c r="R17" s="526" t="inlineStr"/>
      <c r="S17" s="122">
        <f>K17/(F17/((YEAR(E17)*12+MONTH(E17))-(YEAR(D17)*12+MONTH(D17))+1))</f>
        <v/>
      </c>
      <c r="T17" s="122">
        <f>G17/F17</f>
        <v/>
      </c>
      <c r="U17" s="587">
        <f>F17-G17</f>
        <v/>
      </c>
      <c r="V17" s="214" t="n">
        <v>62089.5</v>
      </c>
      <c r="W17" s="122">
        <f>W22</f>
        <v/>
      </c>
      <c r="X17" s="652">
        <f>X22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4218.796821</v>
      </c>
      <c r="H18" s="85" t="n">
        <v>394.5825</v>
      </c>
      <c r="I18" s="85" t="n">
        <v>1178.4864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15.177921</v>
      </c>
      <c r="O18" s="85">
        <f>SUM(L18:N18)</f>
        <v/>
      </c>
      <c r="P18" s="85" t="n">
        <v>2630.55</v>
      </c>
      <c r="Q18" s="187">
        <f>SUM(K18+O18+P18)</f>
        <v/>
      </c>
      <c r="R18" s="500" t="n"/>
      <c r="S18" s="91">
        <f>K18/(F18/((YEAR(E18)*12+MONTH(E18))-(YEAR(D18)*12+MONTH(D18))+1))</f>
        <v/>
      </c>
      <c r="T18" s="91">
        <f>G18/F18</f>
        <v/>
      </c>
      <c r="U18" s="567">
        <f>F18-G18</f>
        <v/>
      </c>
      <c r="V18" s="500" t="n"/>
      <c r="W18" s="500" t="n"/>
      <c r="X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8.706657</v>
      </c>
      <c r="O19" s="85">
        <f>SUM(L19:N19)</f>
        <v/>
      </c>
      <c r="P19" s="85" t="n">
        <v>9.587089000000001</v>
      </c>
      <c r="Q19" s="187">
        <f>SUM(K19+O19+P19)</f>
        <v/>
      </c>
      <c r="R19" s="500" t="n"/>
      <c r="S19" s="91">
        <f>K19/(F19/((YEAR(E19)*12+MONTH(E19))-(YEAR(D19)*12+MONTH(D19))+1))</f>
        <v/>
      </c>
      <c r="T19" s="91">
        <f>G19/F19</f>
        <v/>
      </c>
      <c r="U19" s="567">
        <f>F19-G19</f>
        <v/>
      </c>
      <c r="V19" s="500" t="n"/>
      <c r="W19" s="500" t="n"/>
      <c r="X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25.0224</v>
      </c>
      <c r="M20" s="85" t="n">
        <v>1050.9408</v>
      </c>
      <c r="N20" s="85" t="n">
        <v>3.667668</v>
      </c>
      <c r="O20" s="85">
        <f>SUM(L20:N20)</f>
        <v/>
      </c>
      <c r="P20" s="85" t="n">
        <v>125.112</v>
      </c>
      <c r="Q20" s="187">
        <f>SUM(K20+O20+P20)</f>
        <v/>
      </c>
      <c r="R20" s="500" t="n"/>
      <c r="S20" s="91">
        <f>K20/(F20/((YEAR(E20)*12+MONTH(E20))-(YEAR(D20)*12+MONTH(D20))+1))</f>
        <v/>
      </c>
      <c r="T20" s="91">
        <f>G20/F20</f>
        <v/>
      </c>
      <c r="U20" s="567">
        <f>F20-G20</f>
        <v/>
      </c>
      <c r="V20" s="500" t="n"/>
      <c r="W20" s="500" t="n"/>
      <c r="X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87">
        <f>SUM(K21+O21+P21)</f>
        <v/>
      </c>
      <c r="R21" s="501" t="n"/>
      <c r="S21" s="205">
        <f>K21/(F21/((YEAR(E21)*12+MONTH(E21))-(YEAR(D21)*12+MONTH(D21))+1))</f>
        <v/>
      </c>
      <c r="T21" s="205">
        <f>G21/F21</f>
        <v/>
      </c>
      <c r="U21" s="576">
        <f>F21-G21</f>
        <v/>
      </c>
      <c r="V21" s="501" t="n"/>
      <c r="W21" s="501" t="n"/>
      <c r="X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SUM(K22+O22+P22)</f>
        <v/>
      </c>
      <c r="R22" s="109" t="inlineStr"/>
      <c r="S22" s="207">
        <f>K22/(F22/((YEAR(E17)*12+MONTH(E17))-(YEAR(D17)*12+MONTH(D17))+1))</f>
        <v/>
      </c>
      <c r="T22" s="207">
        <f>G22/F22</f>
        <v/>
      </c>
      <c r="U22" s="580">
        <f>F22-G22</f>
        <v/>
      </c>
      <c r="V22" s="208">
        <f>V17</f>
        <v/>
      </c>
      <c r="W22" s="209">
        <f>Q22/V17</f>
        <v/>
      </c>
      <c r="X22" s="650">
        <f>V17-Q22</f>
        <v/>
      </c>
      <c r="Y22" s="651" t="inlineStr"/>
      <c r="Z22" s="651" t="inlineStr"/>
      <c r="AA22" s="651" t="inlineStr"/>
      <c r="AB22" s="651" t="inlineStr"/>
      <c r="AC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553.815261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118" t="n">
        <v>190.944681</v>
      </c>
      <c r="M23" s="118" t="n">
        <v>0</v>
      </c>
      <c r="N23" s="123" t="n">
        <v>71.82064699999999</v>
      </c>
      <c r="O23" s="118">
        <f>SUM(L23:N23)</f>
        <v/>
      </c>
      <c r="P23" s="118" t="n">
        <v>291.049933</v>
      </c>
      <c r="Q23" s="187">
        <f>SUM(K23+O23+P23)</f>
        <v/>
      </c>
      <c r="R23" s="526" t="inlineStr"/>
      <c r="S23" s="122">
        <f>K23/(F23/((YEAR(E23)*12+MONTH(E23))-(YEAR(D23)*12+MONTH(D23))+1))</f>
        <v/>
      </c>
      <c r="T23" s="122">
        <f>G23/F23</f>
        <v/>
      </c>
      <c r="U23" s="587">
        <f>F23-G23</f>
        <v/>
      </c>
      <c r="V23" s="217" t="n">
        <v>64020.88</v>
      </c>
      <c r="W23" s="218">
        <f>W27</f>
        <v/>
      </c>
      <c r="X23" s="652">
        <f>X27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4833.587592</v>
      </c>
      <c r="H24" s="126" t="n">
        <v>198.1746</v>
      </c>
      <c r="I24" s="126" t="n">
        <v>0</v>
      </c>
      <c r="J24" s="126" t="n">
        <v>0</v>
      </c>
      <c r="K24" s="85">
        <f>SUM(H24:J24)</f>
        <v/>
      </c>
      <c r="L24" s="85" t="n">
        <v>0.8469</v>
      </c>
      <c r="M24" s="85" t="n">
        <v>4558.0158</v>
      </c>
      <c r="N24" s="126" t="n">
        <v>19.389048</v>
      </c>
      <c r="O24" s="85">
        <f>SUM(L24:N24)</f>
        <v/>
      </c>
      <c r="P24" s="85" t="n">
        <v>21.644177</v>
      </c>
      <c r="Q24" s="187">
        <f>SUM(K24+O24+P24)</f>
        <v/>
      </c>
      <c r="R24" s="500" t="n"/>
      <c r="S24" s="91">
        <f>K24/(F24/((YEAR(E24)*12+MONTH(E24))-(YEAR(D24)*12+MONTH(D24))+1))</f>
        <v/>
      </c>
      <c r="T24" s="91">
        <f>G24/F24</f>
        <v/>
      </c>
      <c r="U24" s="567">
        <f>F24-G24</f>
        <v/>
      </c>
      <c r="V24" s="500" t="n"/>
      <c r="W24" s="500" t="n"/>
      <c r="X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6425.996526</v>
      </c>
      <c r="H25" s="126" t="n">
        <v>0</v>
      </c>
      <c r="I25" s="126" t="n">
        <v>0</v>
      </c>
      <c r="J25" s="126" t="n">
        <v>0</v>
      </c>
      <c r="K25" s="85">
        <f>SUM(H25:J25)</f>
        <v/>
      </c>
      <c r="L25" s="85" t="n">
        <v>3847.561596</v>
      </c>
      <c r="M25" s="85" t="n">
        <v>0</v>
      </c>
      <c r="N25" s="126" t="n">
        <v>38.370126</v>
      </c>
      <c r="O25" s="85">
        <f>SUM(L25:N25)</f>
        <v/>
      </c>
      <c r="P25" s="85" t="n">
        <v>2540.064804</v>
      </c>
      <c r="Q25" s="187">
        <f>SUM(K25+O25+P25)</f>
        <v/>
      </c>
      <c r="R25" s="500" t="n"/>
      <c r="S25" s="91">
        <f>K25/(F25/((YEAR(E25)*12+MONTH(E25))-(YEAR(D25)*12+MONTH(D25))+1))</f>
        <v/>
      </c>
      <c r="T25" s="91">
        <f>G25/F25</f>
        <v/>
      </c>
      <c r="U25" s="567">
        <f>F25-G25</f>
        <v/>
      </c>
      <c r="V25" s="500" t="n"/>
      <c r="W25" s="500" t="n"/>
      <c r="X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00" t="n">
        <v>0</v>
      </c>
      <c r="M26" s="100" t="n">
        <v>0</v>
      </c>
      <c r="N26" s="127" t="n">
        <v>0</v>
      </c>
      <c r="O26" s="100">
        <f>SUM(L26:N26)</f>
        <v/>
      </c>
      <c r="P26" s="100" t="n">
        <v>0</v>
      </c>
      <c r="Q26" s="187">
        <f>SUM(K26+O26+P26)</f>
        <v/>
      </c>
      <c r="R26" s="501" t="n"/>
      <c r="S26" s="91">
        <f>K26/(F26/((YEAR(E26)*12+MONTH(E26))-(YEAR(D26)*12+MONTH(D26))+1))</f>
        <v/>
      </c>
      <c r="T26" s="91">
        <f>G26/F26</f>
        <v/>
      </c>
      <c r="U26" s="567">
        <f>F26-G26</f>
        <v/>
      </c>
      <c r="V26" s="513" t="n"/>
      <c r="W26" s="513" t="n"/>
      <c r="X26" s="501" t="n"/>
      <c r="AA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0">
        <f>SUM(L23:L26)</f>
        <v/>
      </c>
      <c r="M27" s="590">
        <f>SUM(M23:M26)</f>
        <v/>
      </c>
      <c r="N27" s="591">
        <f>SUM(N23:N26)</f>
        <v/>
      </c>
      <c r="O27" s="579">
        <f>SUM(O23:O26)</f>
        <v/>
      </c>
      <c r="P27" s="579">
        <f>SUM(P23:P26)</f>
        <v/>
      </c>
      <c r="Q27" s="580">
        <f>SUM(K27+O27+P27)</f>
        <v/>
      </c>
      <c r="R27" s="579" t="inlineStr"/>
      <c r="S27" s="220">
        <f>K27/(F27/((YEAR(E23)*12+MONTH(E23))-(YEAR(D23)*12+MONTH(D23))+1))</f>
        <v/>
      </c>
      <c r="T27" s="221">
        <f>G27/F27</f>
        <v/>
      </c>
      <c r="U27" s="579">
        <f>F27-G27</f>
        <v/>
      </c>
      <c r="V27" s="222">
        <f>V23</f>
        <v/>
      </c>
      <c r="W27" s="220">
        <f>Q27/V23</f>
        <v/>
      </c>
      <c r="X27" s="654">
        <f>V23-Q27</f>
        <v/>
      </c>
      <c r="Y27" s="651" t="inlineStr"/>
      <c r="Z27" s="651" t="inlineStr"/>
      <c r="AA27" s="651" t="inlineStr"/>
      <c r="AB27" s="651" t="inlineStr"/>
      <c r="AC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2734.42947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118" t="n">
        <v>153.11976</v>
      </c>
      <c r="M28" s="118" t="n">
        <v>0</v>
      </c>
      <c r="N28" s="118" t="n">
        <v>551.791169</v>
      </c>
      <c r="O28" s="118">
        <f>SUM(L28:N28)</f>
        <v/>
      </c>
      <c r="P28" s="118" t="n">
        <v>2029.518541</v>
      </c>
      <c r="Q28" s="187">
        <f>SUM(K28+O28+P28)</f>
        <v/>
      </c>
      <c r="R28" s="526" t="inlineStr"/>
      <c r="S28" s="122">
        <f>K28/(F28/((YEAR(E28)*12+MONTH(E28))-(YEAR(D28)*12+MONTH(D28))+1))</f>
        <v/>
      </c>
      <c r="T28" s="122">
        <f>G28/F28</f>
        <v/>
      </c>
      <c r="U28" s="587">
        <f>F28-G28</f>
        <v/>
      </c>
      <c r="V28" s="214" t="n">
        <v>39429.22</v>
      </c>
      <c r="W28" s="122">
        <f>W31</f>
        <v/>
      </c>
      <c r="X28" s="652">
        <f>X31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27643.489899</v>
      </c>
      <c r="H29" s="85" t="n">
        <v>190.4058</v>
      </c>
      <c r="I29" s="85" t="n">
        <v>0</v>
      </c>
      <c r="J29" s="85" t="n">
        <v>0</v>
      </c>
      <c r="K29" s="85">
        <f>SUM(H29:J29)</f>
        <v/>
      </c>
      <c r="L29" s="85" t="n">
        <v>2346.171162</v>
      </c>
      <c r="M29" s="85" t="n">
        <v>0</v>
      </c>
      <c r="N29" s="85" t="n">
        <v>187.41719</v>
      </c>
      <c r="O29" s="85">
        <f>SUM(L29:N29)</f>
        <v/>
      </c>
      <c r="P29" s="85" t="n">
        <v>24919.495747</v>
      </c>
      <c r="Q29" s="187">
        <f>SUM(K29+O29+P29)</f>
        <v/>
      </c>
      <c r="R29" s="500" t="n"/>
      <c r="S29" s="91">
        <f>K29/(F29/((YEAR(E29)*12+MONTH(E29))-(YEAR(D29)*12+MONTH(D29))+1))</f>
        <v/>
      </c>
      <c r="T29" s="91">
        <f>G29/F29</f>
        <v/>
      </c>
      <c r="U29" s="567">
        <f>F29-G29</f>
        <v/>
      </c>
      <c r="V29" s="500" t="n"/>
      <c r="W29" s="500" t="n"/>
      <c r="X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1136.371735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1.481485</v>
      </c>
      <c r="O30" s="100">
        <f>SUM(L30:N30)</f>
        <v/>
      </c>
      <c r="P30" s="100" t="n">
        <v>66.75825</v>
      </c>
      <c r="Q30" s="187">
        <f>SUM(K30+O30+P30)</f>
        <v/>
      </c>
      <c r="R30" s="501" t="n"/>
      <c r="S30" s="205">
        <f>K30/(F30/((YEAR(E30)*12+MONTH(E30))-(YEAR(D30)*12+MONTH(D30))+1))</f>
        <v/>
      </c>
      <c r="T30" s="205">
        <f>G30/F30</f>
        <v/>
      </c>
      <c r="U30" s="576">
        <f>F30-G30</f>
        <v/>
      </c>
      <c r="V30" s="501" t="n"/>
      <c r="W30" s="501" t="n"/>
      <c r="X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0">
        <f>SUM(L28:L30)</f>
        <v/>
      </c>
      <c r="M31" s="590">
        <f>SUM(M28:M30)</f>
        <v/>
      </c>
      <c r="N31" s="591">
        <f>SUM(N28:N30)</f>
        <v/>
      </c>
      <c r="O31" s="579">
        <f>SUM(O28:O30)</f>
        <v/>
      </c>
      <c r="P31" s="579">
        <f>SUM(P28:P30)</f>
        <v/>
      </c>
      <c r="Q31" s="580">
        <f>SUM(K31+O31+P31)</f>
        <v/>
      </c>
      <c r="R31" s="579" t="inlineStr"/>
      <c r="S31" s="220">
        <f>K31/(F31/((YEAR(E28)*12+MONTH(E28))-(YEAR(D28)*12+MONTH(D28))+1))</f>
        <v/>
      </c>
      <c r="T31" s="221">
        <f>G31/F31</f>
        <v/>
      </c>
      <c r="U31" s="579">
        <f>F31-G31</f>
        <v/>
      </c>
      <c r="V31" s="222">
        <f>V28</f>
        <v/>
      </c>
      <c r="W31" s="220">
        <f>Q31/V28</f>
        <v/>
      </c>
      <c r="X31" s="654">
        <f>V28-Q31</f>
        <v/>
      </c>
      <c r="Y31" s="651" t="inlineStr"/>
      <c r="Z31" s="651" t="inlineStr"/>
      <c r="AA31" s="651" t="inlineStr"/>
      <c r="AB31" s="651" t="inlineStr"/>
      <c r="AC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45931</v>
      </c>
      <c r="E32" s="638" t="n">
        <v>46081</v>
      </c>
      <c r="F32" s="116" t="n">
        <v>2767.6</v>
      </c>
      <c r="G32" s="565" t="n">
        <v>1525.882731</v>
      </c>
      <c r="H32" s="653" t="n">
        <v>80.95229999999999</v>
      </c>
      <c r="I32" s="653" t="n">
        <v>0</v>
      </c>
      <c r="J32" s="653" t="n">
        <v>0</v>
      </c>
      <c r="K32" s="653">
        <f>SUM(H32:J32)</f>
        <v/>
      </c>
      <c r="L32" s="118" t="n">
        <v>51.706393</v>
      </c>
      <c r="M32" s="118" t="n">
        <v>0</v>
      </c>
      <c r="N32" s="118" t="n">
        <v>14.109955</v>
      </c>
      <c r="O32" s="118">
        <f>SUM(L32:N32)</f>
        <v/>
      </c>
      <c r="P32" s="118" t="n">
        <v>193.330405</v>
      </c>
      <c r="Q32" s="187">
        <f>SUM(K32+O32+P32)</f>
        <v/>
      </c>
      <c r="R32" s="526" t="inlineStr"/>
      <c r="S32" s="122">
        <f>K32/(F32/((YEAR(E32)*12+MONTH(E32))-(YEAR(D32)*12+MONTH(D32))+1))</f>
        <v/>
      </c>
      <c r="T32" s="122">
        <f>G32/F32</f>
        <v/>
      </c>
      <c r="U32" s="587">
        <f>F32-G32</f>
        <v/>
      </c>
      <c r="V32" s="214" t="n">
        <v>24216.5</v>
      </c>
      <c r="W32" s="122">
        <f>W35</f>
        <v/>
      </c>
      <c r="X32" s="652">
        <f>X35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6546.182262</v>
      </c>
      <c r="H33" s="85" t="n">
        <v>262.34208</v>
      </c>
      <c r="I33" s="85" t="n">
        <v>0</v>
      </c>
      <c r="J33" s="85" t="n">
        <v>0</v>
      </c>
      <c r="K33" s="85">
        <f>SUM(H33:J33)</f>
        <v/>
      </c>
      <c r="L33" s="85" t="n">
        <v>4987.997414</v>
      </c>
      <c r="M33" s="85" t="n">
        <v>0</v>
      </c>
      <c r="N33" s="85" t="n">
        <v>225.874626</v>
      </c>
      <c r="O33" s="85">
        <f>SUM(L33:N33)</f>
        <v/>
      </c>
      <c r="P33" s="85" t="n">
        <v>1069.968142</v>
      </c>
      <c r="Q33" s="187">
        <f>SUM(K33+O33+P33)</f>
        <v/>
      </c>
      <c r="R33" s="500" t="n"/>
      <c r="S33" s="91">
        <f>K33/(F33/((YEAR(E33)*12+MONTH(E33))-(YEAR(D33)*12+MONTH(D33))+1))</f>
        <v/>
      </c>
      <c r="T33" s="91">
        <f>G33/F33</f>
        <v/>
      </c>
      <c r="U33" s="567">
        <f>F33-G33</f>
        <v/>
      </c>
      <c r="V33" s="500" t="n"/>
      <c r="W33" s="500" t="n"/>
      <c r="X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2784.34117</v>
      </c>
      <c r="H34" s="100" t="n">
        <v>1042.875491</v>
      </c>
      <c r="I34" s="100" t="n">
        <v>0</v>
      </c>
      <c r="J34" s="100" t="n">
        <v>0</v>
      </c>
      <c r="K34" s="100">
        <f>SUM(H34:J34)</f>
        <v/>
      </c>
      <c r="L34" s="100" t="n">
        <v>474.6456</v>
      </c>
      <c r="M34" s="100" t="n">
        <v>0</v>
      </c>
      <c r="N34" s="100" t="n">
        <v>122.035472</v>
      </c>
      <c r="O34" s="100">
        <f>SUM(L34:N34)</f>
        <v/>
      </c>
      <c r="P34" s="100" t="n">
        <v>1144.784607</v>
      </c>
      <c r="Q34" s="187">
        <f>SUM(K34+O34+P34)</f>
        <v/>
      </c>
      <c r="R34" s="501" t="n"/>
      <c r="S34" s="205">
        <f>K34/(F34/((YEAR(E34)*12+MONTH(E34))-(YEAR(D34)*12+MONTH(D34))+1))</f>
        <v/>
      </c>
      <c r="T34" s="205">
        <f>G34/F34</f>
        <v/>
      </c>
      <c r="U34" s="576">
        <f>F34-G34</f>
        <v/>
      </c>
      <c r="V34" s="501" t="n"/>
      <c r="W34" s="501" t="n"/>
      <c r="X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597">
        <f>SUM(O32:O34)</f>
        <v/>
      </c>
      <c r="P35" s="641">
        <f>SUM(P32:P34)</f>
        <v/>
      </c>
      <c r="Q35" s="580">
        <f>SUM(K35+O35+P35)</f>
        <v/>
      </c>
      <c r="R35" s="598" t="inlineStr"/>
      <c r="S35" s="226">
        <f>K35/(F35/((YEAR(E32)*12+MONTH(E32))-(YEAR(D32)*12+MONTH(D32))+1))</f>
        <v/>
      </c>
      <c r="T35" s="227">
        <f>G35/F35</f>
        <v/>
      </c>
      <c r="U35" s="598">
        <f>F35-G35</f>
        <v/>
      </c>
      <c r="V35" s="228">
        <f>V32</f>
        <v/>
      </c>
      <c r="W35" s="226">
        <f>Q35/V32</f>
        <v/>
      </c>
      <c r="X35" s="655">
        <f>V32-Q35</f>
        <v/>
      </c>
      <c r="Y35" s="651" t="inlineStr"/>
      <c r="Z35" s="651" t="inlineStr"/>
      <c r="AA35" s="651" t="inlineStr"/>
      <c r="AB35" s="651" t="inlineStr"/>
      <c r="AC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24452.429696</v>
      </c>
      <c r="H36" s="142" t="n">
        <v>8470.47075</v>
      </c>
      <c r="I36" s="142" t="n">
        <v>0</v>
      </c>
      <c r="J36" s="142" t="n">
        <v>0</v>
      </c>
      <c r="K36" s="197">
        <f>SUM(H36:J36)</f>
        <v/>
      </c>
      <c r="L36" s="142" t="n">
        <v>6594.535422</v>
      </c>
      <c r="M36" s="142" t="n">
        <v>0</v>
      </c>
      <c r="N36" s="142" t="n">
        <v>271.914403</v>
      </c>
      <c r="O36" s="197">
        <f>SUM(L36:N36)</f>
        <v/>
      </c>
      <c r="P36" s="197" t="n">
        <v>9115.509121999999</v>
      </c>
      <c r="Q36" s="187">
        <f>SUM(K36+O36+P36)</f>
        <v/>
      </c>
      <c r="R36" s="644" t="inlineStr"/>
      <c r="S36" s="148">
        <f>K36/(F36/((YEAR(E36)*12+MONTH(E36))-(YEAR(D36)*12+MONTH(D36))+1))</f>
        <v/>
      </c>
      <c r="T36" s="148">
        <f>G36/F36</f>
        <v/>
      </c>
      <c r="U36" s="604">
        <f>F36-G36</f>
        <v/>
      </c>
      <c r="V36" s="230" t="n">
        <v>30127.5</v>
      </c>
      <c r="W36" s="148">
        <f>W38</f>
        <v/>
      </c>
      <c r="X36" s="656">
        <f>X38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440.8209</v>
      </c>
      <c r="M37" s="154" t="n">
        <v>0</v>
      </c>
      <c r="N37" s="154" t="n">
        <v>0</v>
      </c>
      <c r="O37" s="154">
        <f>SUM(L37:N37)</f>
        <v/>
      </c>
      <c r="P37" s="154" t="n">
        <v>0</v>
      </c>
      <c r="Q37" s="187">
        <f>SUM(K37+O37+P37)</f>
        <v/>
      </c>
      <c r="R37" s="501" t="n"/>
      <c r="S37" s="232">
        <f>K37/(F37/((YEAR(E37)*12+MONTH(E37))-(YEAR(D37)*12+MONTH(D37))+1))</f>
        <v/>
      </c>
      <c r="T37" s="232">
        <f>G37/F37</f>
        <v/>
      </c>
      <c r="U37" s="611">
        <f>F37-G37</f>
        <v/>
      </c>
      <c r="V37" s="607" t="n"/>
      <c r="W37" s="501" t="n"/>
      <c r="X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614">
        <f>SUM(L36:L37)</f>
        <v/>
      </c>
      <c r="M38" s="614">
        <f>SUM(M36:M37)</f>
        <v/>
      </c>
      <c r="N38" s="614">
        <f>SUM(N36:N37)</f>
        <v/>
      </c>
      <c r="O38" s="614">
        <f>SUM(O36:O37)</f>
        <v/>
      </c>
      <c r="P38" s="614">
        <f>SUM(P36:P37)</f>
        <v/>
      </c>
      <c r="Q38" s="580">
        <f>SUM(K38+O38+P38)</f>
        <v/>
      </c>
      <c r="R38" s="614" t="inlineStr"/>
      <c r="S38" s="234">
        <f>K38/(F38/((YEAR(E36)*12+MONTH(E36))-(YEAR(D36)*12+MONTH(D36))+1))</f>
        <v/>
      </c>
      <c r="T38" s="235">
        <f>G38/F38</f>
        <v/>
      </c>
      <c r="U38" s="615">
        <f>F38-G38</f>
        <v/>
      </c>
      <c r="V38" s="236">
        <f>V36</f>
        <v/>
      </c>
      <c r="W38" s="234">
        <f>Q38/V36</f>
        <v/>
      </c>
      <c r="X38" s="657">
        <f>V36-Q38</f>
        <v/>
      </c>
      <c r="Y38" s="651" t="inlineStr"/>
      <c r="Z38" s="651" t="inlineStr"/>
      <c r="AA38" s="651" t="inlineStr"/>
      <c r="AB38" s="651" t="inlineStr"/>
      <c r="AC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2577.62877</v>
      </c>
      <c r="H39" s="142" t="n">
        <v>554.853078</v>
      </c>
      <c r="I39" s="142" t="n">
        <v>0</v>
      </c>
      <c r="J39" s="142" t="n">
        <v>0</v>
      </c>
      <c r="K39" s="142">
        <f>SUM(H39:J39)</f>
        <v/>
      </c>
      <c r="L39" s="142" t="n">
        <v>1738.204897</v>
      </c>
      <c r="M39" s="142" t="n">
        <v>0</v>
      </c>
      <c r="N39" s="142" t="n">
        <v>284.570795</v>
      </c>
      <c r="O39" s="142">
        <f>SUM(L39:N39)</f>
        <v/>
      </c>
      <c r="P39" s="142" t="n">
        <v>1538.392041</v>
      </c>
      <c r="Q39" s="187">
        <f>SUM(K39+O39+P39)</f>
        <v/>
      </c>
      <c r="R39" s="644" t="inlineStr"/>
      <c r="S39" s="148">
        <f>K39/(F39/((YEAR(E39)*12+MONTH(E39))-(YEAR(D39)*12+MONTH(D39))+1))</f>
        <v/>
      </c>
      <c r="T39" s="148">
        <f>G39/F39</f>
        <v/>
      </c>
      <c r="U39" s="616">
        <f>F39-G39</f>
        <v/>
      </c>
      <c r="V39" s="230" t="n">
        <v>26246.88</v>
      </c>
      <c r="W39" s="148">
        <f>W41</f>
        <v/>
      </c>
      <c r="X39" s="656">
        <f>X41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178.005273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176.20858</v>
      </c>
      <c r="M40" s="154" t="n">
        <v>0</v>
      </c>
      <c r="N40" s="154" t="n">
        <v>0</v>
      </c>
      <c r="O40" s="154">
        <f>SUM(L40:N40)</f>
        <v/>
      </c>
      <c r="P40" s="154" t="n">
        <v>0</v>
      </c>
      <c r="Q40" s="187">
        <f>SUM(K40+O40+P40)</f>
        <v/>
      </c>
      <c r="R40" s="501" t="n"/>
      <c r="S40" s="232">
        <f>K40/(F40/((YEAR(E40)*12+MONTH(E40))-(YEAR(D40)*12+MONTH(D40))+1))</f>
        <v/>
      </c>
      <c r="T40" s="232">
        <f>G40/F40</f>
        <v/>
      </c>
      <c r="U40" s="617">
        <f>F40-G40</f>
        <v/>
      </c>
      <c r="V40" s="607" t="n"/>
      <c r="W40" s="501" t="n"/>
      <c r="X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621">
        <f>SUM(L39:L40)</f>
        <v/>
      </c>
      <c r="M41" s="621">
        <f>SUM(M39:M40)</f>
        <v/>
      </c>
      <c r="N41" s="621">
        <f>SUM(N39:N40)</f>
        <v/>
      </c>
      <c r="O41" s="621">
        <f>SUM(O39:O40)</f>
        <v/>
      </c>
      <c r="P41" s="621">
        <f>SUM(P39:P40)</f>
        <v/>
      </c>
      <c r="Q41" s="580">
        <f>SUM(K41+O41+P41)</f>
        <v/>
      </c>
      <c r="R41" s="621" t="inlineStr"/>
      <c r="S41" s="239">
        <f>K41/(F41/((YEAR(E39)*12+MONTH(E39))-(YEAR(D39)*12+MONTH(D39))+1))</f>
        <v/>
      </c>
      <c r="T41" s="240">
        <f>G41/F41</f>
        <v/>
      </c>
      <c r="U41" s="621">
        <f>F41-G41</f>
        <v/>
      </c>
      <c r="V41" s="241">
        <f>V39</f>
        <v/>
      </c>
      <c r="W41" s="242">
        <f>Q41/V39</f>
        <v/>
      </c>
      <c r="X41" s="658">
        <f>V39-Q41</f>
        <v/>
      </c>
      <c r="Y41" s="651" t="inlineStr"/>
      <c r="Z41" s="651" t="inlineStr"/>
      <c r="AA41" s="651" t="inlineStr"/>
      <c r="AB41" s="651" t="inlineStr"/>
      <c r="AC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8281.359992</v>
      </c>
      <c r="H42" s="142" t="n">
        <v>4666.432479</v>
      </c>
      <c r="I42" s="142" t="n">
        <v>0</v>
      </c>
      <c r="J42" s="142" t="n">
        <v>0</v>
      </c>
      <c r="K42" s="142">
        <f>SUM(H42:J42)</f>
        <v/>
      </c>
      <c r="L42" s="142" t="n">
        <v>1081.878995</v>
      </c>
      <c r="M42" s="142" t="n">
        <v>523.50012</v>
      </c>
      <c r="N42" s="142" t="n">
        <v>135.589522</v>
      </c>
      <c r="O42" s="142">
        <f>SUM(L42:N42)</f>
        <v/>
      </c>
      <c r="P42" s="142" t="n">
        <v>1873.958877</v>
      </c>
      <c r="Q42" s="187">
        <f>SUM(K42+O42+P42)</f>
        <v/>
      </c>
      <c r="R42" s="644" t="inlineStr"/>
      <c r="S42" s="148">
        <f>K42/(F42/((YEAR(E42)*12+MONTH(E42))-(YEAR(D42)*12+MONTH(D42))+1))</f>
        <v/>
      </c>
      <c r="T42" s="148">
        <f>G42/F42</f>
        <v/>
      </c>
      <c r="U42" s="616">
        <f>F42-G42</f>
        <v/>
      </c>
      <c r="V42" s="230" t="n">
        <v>32744.18</v>
      </c>
      <c r="W42" s="148">
        <f>W44</f>
        <v/>
      </c>
      <c r="X42" s="656">
        <f>X44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525.791212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524.574731</v>
      </c>
      <c r="M43" s="154" t="n">
        <v>0</v>
      </c>
      <c r="N43" s="154" t="n">
        <v>1.216481</v>
      </c>
      <c r="O43" s="154">
        <f>SUM(L43:N43)</f>
        <v/>
      </c>
      <c r="P43" s="154" t="n">
        <v>0</v>
      </c>
      <c r="Q43" s="187">
        <f>SUM(K43+O43+P43)</f>
        <v/>
      </c>
      <c r="R43" s="501" t="n"/>
      <c r="S43" s="232">
        <f>K43/(F43/((YEAR(E43)*12+MONTH(E43))-(YEAR(D43)*12+MONTH(D43))+1))</f>
        <v/>
      </c>
      <c r="T43" s="232">
        <f>G43/F43</f>
        <v/>
      </c>
      <c r="U43" s="617">
        <f>F43-G43</f>
        <v/>
      </c>
      <c r="V43" s="607" t="n"/>
      <c r="W43" s="501" t="n"/>
      <c r="X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621">
        <f>SUM(L42:L43)</f>
        <v/>
      </c>
      <c r="M44" s="621">
        <f>SUM(M42:M43)</f>
        <v/>
      </c>
      <c r="N44" s="621">
        <f>SUM(N42:N43)</f>
        <v/>
      </c>
      <c r="O44" s="621">
        <f>SUM(O42:O43)</f>
        <v/>
      </c>
      <c r="P44" s="621">
        <f>SUM(P42:P43)</f>
        <v/>
      </c>
      <c r="Q44" s="580">
        <f>SUM(K44+O44+P44)</f>
        <v/>
      </c>
      <c r="R44" s="621" t="inlineStr"/>
      <c r="S44" s="239">
        <f>K44/(F44/((YEAR(E42)*12+MONTH(E42))-(YEAR(D42)*12+MONTH(D42))+1))</f>
        <v/>
      </c>
      <c r="T44" s="240">
        <f>G44/F44</f>
        <v/>
      </c>
      <c r="U44" s="621">
        <f>F44-G44</f>
        <v/>
      </c>
      <c r="V44" s="241">
        <f>V42</f>
        <v/>
      </c>
      <c r="W44" s="242">
        <f>Q44/V42</f>
        <v/>
      </c>
      <c r="X44" s="658">
        <f>V42-Q44</f>
        <v/>
      </c>
      <c r="Y44" s="651" t="inlineStr"/>
      <c r="Z44" s="651" t="inlineStr"/>
      <c r="AA44" s="651" t="inlineStr"/>
      <c r="AB44" s="651" t="inlineStr"/>
      <c r="AC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2971.092518</v>
      </c>
      <c r="H45" s="589" t="n">
        <v>205.91298</v>
      </c>
      <c r="I45" s="589" t="n">
        <v>0</v>
      </c>
      <c r="J45" s="589" t="n">
        <v>0</v>
      </c>
      <c r="K45" s="589">
        <f>SUM(H45:J45)</f>
        <v/>
      </c>
      <c r="L45" s="118" t="n">
        <v>1396.194268</v>
      </c>
      <c r="M45" s="118" t="n">
        <v>0</v>
      </c>
      <c r="N45" s="118" t="n">
        <v>1368.98527</v>
      </c>
      <c r="O45" s="118">
        <f>SUM(L45:N45)</f>
        <v/>
      </c>
      <c r="P45" s="118" t="n">
        <v>7197.089118</v>
      </c>
      <c r="Q45" s="187">
        <f>SUM(K45+O45+P45)</f>
        <v/>
      </c>
      <c r="R45" s="526" t="inlineStr"/>
      <c r="S45" s="122">
        <f>K45/(F45/((YEAR(E45)*12+MONTH(E45))-(YEAR(D45)*12+MONTH(D45))+1))</f>
        <v/>
      </c>
      <c r="T45" s="122">
        <f>G45/F45</f>
        <v/>
      </c>
      <c r="U45" s="587">
        <f>F45-G45</f>
        <v/>
      </c>
      <c r="V45" s="244" t="n">
        <v>125710</v>
      </c>
      <c r="W45" s="171">
        <f>W49</f>
        <v/>
      </c>
      <c r="X45" s="659">
        <f>X49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9369.699156000001</v>
      </c>
      <c r="H46" s="85" t="n">
        <v>2120.399162</v>
      </c>
      <c r="I46" s="85" t="n">
        <v>0</v>
      </c>
      <c r="J46" s="85" t="n">
        <v>0</v>
      </c>
      <c r="K46" s="85">
        <f>SUM(H46:J46)</f>
        <v/>
      </c>
      <c r="L46" s="85" t="n">
        <v>1566.390968</v>
      </c>
      <c r="M46" s="85" t="n">
        <v>1037.679365</v>
      </c>
      <c r="N46" s="85" t="n">
        <v>311.654822</v>
      </c>
      <c r="O46" s="118">
        <f>SUM(L46:N46)</f>
        <v/>
      </c>
      <c r="P46" s="118" t="n">
        <v>4333.574839</v>
      </c>
      <c r="Q46" s="187">
        <f>SUM(K46+O46+P46)</f>
        <v/>
      </c>
      <c r="R46" s="500" t="n"/>
      <c r="S46" s="91">
        <f>K46/(F46/((YEAR(E46)*12+MONTH(E46))-(YEAR(D46)*12+MONTH(D46))+1))</f>
        <v/>
      </c>
      <c r="T46" s="91">
        <f>G46/F46</f>
        <v/>
      </c>
      <c r="U46" s="567">
        <f>F46-G46</f>
        <v/>
      </c>
      <c r="V46" s="626" t="n"/>
      <c r="W46" s="500" t="n"/>
      <c r="X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11510.918695</v>
      </c>
      <c r="H47" s="85" t="n">
        <v>2097.459684</v>
      </c>
      <c r="I47" s="85" t="n">
        <v>0</v>
      </c>
      <c r="J47" s="85" t="n">
        <v>0</v>
      </c>
      <c r="K47" s="85">
        <f>SUM(H47:J47)</f>
        <v/>
      </c>
      <c r="L47" s="85" t="n">
        <v>3065.24731</v>
      </c>
      <c r="M47" s="85" t="n">
        <v>0</v>
      </c>
      <c r="N47" s="85" t="n">
        <v>1466.452941</v>
      </c>
      <c r="O47" s="85">
        <f>SUM(L47:N47)</f>
        <v/>
      </c>
      <c r="P47" s="85" t="n">
        <v>4881.758761</v>
      </c>
      <c r="Q47" s="187">
        <f>SUM(K47+O47+P47)</f>
        <v/>
      </c>
      <c r="R47" s="500" t="n"/>
      <c r="S47" s="91">
        <f>K47/(F47/((YEAR(E47)*12+MONTH(E47))-(YEAR(D47)*12+MONTH(D47))+1))</f>
        <v/>
      </c>
      <c r="T47" s="91">
        <f>G47/F47</f>
        <v/>
      </c>
      <c r="U47" s="567">
        <f>F47-G47</f>
        <v/>
      </c>
      <c r="V47" s="626" t="n"/>
      <c r="W47" s="500" t="n"/>
      <c r="X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1563.377026</v>
      </c>
      <c r="I48" s="100" t="n">
        <v>0</v>
      </c>
      <c r="J48" s="100" t="n">
        <v>0</v>
      </c>
      <c r="K48" s="100">
        <f>SUM(H48:J48)</f>
        <v/>
      </c>
      <c r="L48" s="100" t="n">
        <v>2837.047697</v>
      </c>
      <c r="M48" s="100" t="n">
        <v>0</v>
      </c>
      <c r="N48" s="100" t="n">
        <v>460.414785</v>
      </c>
      <c r="O48" s="100">
        <f>SUM(L48:N48)</f>
        <v/>
      </c>
      <c r="P48" s="100" t="n">
        <v>2547.377488</v>
      </c>
      <c r="Q48" s="187">
        <f>SUM(K48+O48+P48)</f>
        <v/>
      </c>
      <c r="R48" s="501" t="n"/>
      <c r="S48" s="103" t="inlineStr"/>
      <c r="T48" s="205">
        <f>G48/F48</f>
        <v/>
      </c>
      <c r="U48" s="576">
        <f>F48-G48</f>
        <v/>
      </c>
      <c r="V48" s="628" t="n"/>
      <c r="W48" s="513" t="n"/>
      <c r="X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0">
        <f>SUM(L45:L48)</f>
        <v/>
      </c>
      <c r="M49" s="590">
        <f>SUM(M45:M48)</f>
        <v/>
      </c>
      <c r="N49" s="591">
        <f>SUM(N45:N48)</f>
        <v/>
      </c>
      <c r="O49" s="579">
        <f>SUM(O45:O48)</f>
        <v/>
      </c>
      <c r="P49" s="579">
        <f>SUM(P45:P48)</f>
        <v/>
      </c>
      <c r="Q49" s="646">
        <f>SUM(K49+O49+P49)</f>
        <v/>
      </c>
      <c r="R49" s="579" t="inlineStr"/>
      <c r="S49" s="220">
        <f>K49/(F49/((YEAR(E45)*12+MONTH(E45))-(YEAR(D45)*12+MONTH(D45))+1))</f>
        <v/>
      </c>
      <c r="T49" s="221">
        <f>G49/F49</f>
        <v/>
      </c>
      <c r="U49" s="598">
        <f>F49-G49</f>
        <v/>
      </c>
      <c r="V49" s="228">
        <f>V45</f>
        <v/>
      </c>
      <c r="W49" s="226">
        <f>Q49/V45</f>
        <v/>
      </c>
      <c r="X49" s="655">
        <f>V45-Q49</f>
        <v/>
      </c>
      <c r="Y49" s="651" t="inlineStr"/>
      <c r="Z49" s="651" t="inlineStr"/>
      <c r="AA49" s="651" t="inlineStr"/>
      <c r="AB49" s="651" t="inlineStr"/>
      <c r="AC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0">
        <f>O10+O16+O22+O27+O31+O35+O38+O41+O44+O49</f>
        <v/>
      </c>
      <c r="P50" s="661">
        <f>P10+P16+P22+P27+P31+P35+P38+P41+P44+P49</f>
        <v/>
      </c>
      <c r="Q50" s="662">
        <f>Q10+Q16+Q22+Q27+Q31+Q35+Q38+Q41+Q44+Q49</f>
        <v/>
      </c>
      <c r="R50" s="632" t="inlineStr"/>
      <c r="S50" s="249">
        <f>K50/(F50/((YEAR(E4)*12+MONTH(E4))-(YEAR(D4)*12+MONTH(D4))+1))</f>
        <v/>
      </c>
      <c r="T50" s="250">
        <f>G50/F50</f>
        <v/>
      </c>
      <c r="U50" s="663">
        <f>F50-G50</f>
        <v/>
      </c>
      <c r="V50" s="663">
        <f>V10+V16+V22+V27+V31+V35+V38+V41+V44+V49</f>
        <v/>
      </c>
      <c r="W50" s="252">
        <f>Q50/V50</f>
        <v/>
      </c>
      <c r="X50" s="663">
        <f>V50-Q50</f>
        <v/>
      </c>
      <c r="Y50" s="664" t="inlineStr"/>
      <c r="Z50" s="664" t="inlineStr"/>
      <c r="AA50" s="664" t="inlineStr"/>
      <c r="AB50" s="664" t="inlineStr"/>
      <c r="AC50" s="664" t="inlineStr"/>
    </row>
    <row r="51" ht="24" customFormat="1" customHeight="1" s="483">
      <c r="U51" s="633" t="inlineStr">
        <is>
          <t>公司目标</t>
        </is>
      </c>
      <c r="V51" s="633" t="n">
        <v>630987.38</v>
      </c>
      <c r="W51" s="252">
        <f>IF(V51&lt;&gt;0,Q50/V51,"")</f>
        <v/>
      </c>
      <c r="X51" s="663">
        <f>V51-Q50</f>
        <v/>
      </c>
    </row>
  </sheetData>
  <mergeCells count="85">
    <mergeCell ref="A45:A48"/>
    <mergeCell ref="U2:U3"/>
    <mergeCell ref="W45:W48"/>
    <mergeCell ref="R17:R21"/>
    <mergeCell ref="A2:A3"/>
    <mergeCell ref="C2:C3"/>
    <mergeCell ref="R42:R43"/>
    <mergeCell ref="E2:E3"/>
    <mergeCell ref="V36:V37"/>
    <mergeCell ref="W2:W3"/>
    <mergeCell ref="X11:X15"/>
    <mergeCell ref="V45:V48"/>
    <mergeCell ref="W42:W43"/>
    <mergeCell ref="X45:X48"/>
    <mergeCell ref="X4:X9"/>
    <mergeCell ref="V2:V3"/>
    <mergeCell ref="X2:X3"/>
    <mergeCell ref="R32:R34"/>
    <mergeCell ref="X23:X26"/>
    <mergeCell ref="A49:E49"/>
    <mergeCell ref="A32:A34"/>
    <mergeCell ref="N2:N3"/>
    <mergeCell ref="V23:V26"/>
    <mergeCell ref="F2:F3"/>
    <mergeCell ref="P2:P3"/>
    <mergeCell ref="H2:H3"/>
    <mergeCell ref="R36:R37"/>
    <mergeCell ref="X42:X43"/>
    <mergeCell ref="K2:K3"/>
    <mergeCell ref="V39:V40"/>
    <mergeCell ref="A23:A26"/>
    <mergeCell ref="O2:O3"/>
    <mergeCell ref="Q2:Q3"/>
    <mergeCell ref="V17:V21"/>
    <mergeCell ref="V28:V30"/>
    <mergeCell ref="X17:X21"/>
    <mergeCell ref="X28:X30"/>
    <mergeCell ref="A4:A9"/>
    <mergeCell ref="A38:E38"/>
    <mergeCell ref="A39:A40"/>
    <mergeCell ref="A31:E31"/>
    <mergeCell ref="S2:S3"/>
    <mergeCell ref="X39:X40"/>
    <mergeCell ref="V11:V15"/>
    <mergeCell ref="A36:A37"/>
    <mergeCell ref="B2:B3"/>
    <mergeCell ref="D2:D3"/>
    <mergeCell ref="V32:V34"/>
    <mergeCell ref="A17:A21"/>
    <mergeCell ref="R4:R9"/>
    <mergeCell ref="A16:E16"/>
    <mergeCell ref="V4:V9"/>
    <mergeCell ref="A28:A30"/>
    <mergeCell ref="W11:W15"/>
    <mergeCell ref="T2:T3"/>
    <mergeCell ref="A50:E50"/>
    <mergeCell ref="A11:A15"/>
    <mergeCell ref="R28:R30"/>
    <mergeCell ref="A22:E22"/>
    <mergeCell ref="W23:W26"/>
    <mergeCell ref="A44:E44"/>
    <mergeCell ref="V42:V43"/>
    <mergeCell ref="G2:G3"/>
    <mergeCell ref="X36:X37"/>
    <mergeCell ref="I2:I3"/>
    <mergeCell ref="R39:R40"/>
    <mergeCell ref="R23:R26"/>
    <mergeCell ref="W4:W9"/>
    <mergeCell ref="W36:W37"/>
    <mergeCell ref="M2:M3"/>
    <mergeCell ref="W17:W21"/>
    <mergeCell ref="A41:E41"/>
    <mergeCell ref="R45:R48"/>
    <mergeCell ref="A27:E27"/>
    <mergeCell ref="W28:W30"/>
    <mergeCell ref="A42:A43"/>
    <mergeCell ref="R11:R15"/>
    <mergeCell ref="X32:X34"/>
    <mergeCell ref="R2:R3"/>
    <mergeCell ref="J2:J3"/>
    <mergeCell ref="L2:L3"/>
    <mergeCell ref="A35:E35"/>
    <mergeCell ref="W39:W40"/>
    <mergeCell ref="A10:E10"/>
    <mergeCell ref="W32:W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width="13" customWidth="1" style="533" min="16" max="16"/>
    <col width="13.625" customWidth="1" style="533" min="17" max="17"/>
    <col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29"/>
  </cols>
  <sheetData>
    <row r="1" ht="20.25" customFormat="1" customHeight="1" s="483">
      <c r="A1" s="754" t="inlineStr">
        <is>
          <t>私人财富管理部折标销售进度表-截止20260327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552" t="inlineStr">
        <is>
          <t>上半年时间进度</t>
        </is>
      </c>
      <c r="X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传统202603</t>
        </is>
      </c>
      <c r="I2" s="506" t="inlineStr">
        <is>
          <t>保险202603</t>
        </is>
      </c>
      <c r="J2" s="506" t="inlineStr">
        <is>
          <t>管理费202603</t>
        </is>
      </c>
      <c r="K2" s="557" t="inlineStr">
        <is>
          <t>2026年
3月折标</t>
        </is>
      </c>
      <c r="L2" s="506" t="inlineStr">
        <is>
          <t>传统202602</t>
        </is>
      </c>
      <c r="M2" s="506" t="inlineStr">
        <is>
          <t>保险202602</t>
        </is>
      </c>
      <c r="N2" s="506" t="inlineStr">
        <is>
          <t>管理费202602</t>
        </is>
      </c>
      <c r="O2" s="557" t="inlineStr">
        <is>
          <t>2026年
2月折标</t>
        </is>
      </c>
      <c r="P2" s="557" t="inlineStr">
        <is>
          <t>2026年
1月折标</t>
        </is>
      </c>
      <c r="Q2" s="634" t="inlineStr">
        <is>
          <t>2026年YTD折标</t>
        </is>
      </c>
      <c r="R2" s="558" t="inlineStr">
        <is>
          <t>2026年
1月销量
[USD]</t>
        </is>
      </c>
      <c r="S2" s="559" t="inlineStr">
        <is>
          <t>月度
完成率</t>
        </is>
      </c>
      <c r="T2" s="554" t="inlineStr">
        <is>
          <t>考核期完成率（累计）</t>
        </is>
      </c>
      <c r="U2" s="560" t="inlineStr">
        <is>
          <t>考核期差距</t>
        </is>
      </c>
      <c r="V2" s="561" t="inlineStr">
        <is>
          <t>财富中心
上半年年任务</t>
        </is>
      </c>
      <c r="W2" s="79" t="inlineStr">
        <is>
          <t>财富中心
上半年任务完成率</t>
        </is>
      </c>
      <c r="X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9472.762554999999</v>
      </c>
      <c r="H4" s="85" t="n">
        <v>1586.830925</v>
      </c>
      <c r="I4" s="85" t="n">
        <v>0</v>
      </c>
      <c r="J4" s="85" t="n">
        <v>0</v>
      </c>
      <c r="K4" s="187">
        <f>SUM(H4:J4)</f>
        <v/>
      </c>
      <c r="L4" s="85" t="n">
        <v>454.800547</v>
      </c>
      <c r="M4" s="85" t="n">
        <v>0</v>
      </c>
      <c r="N4" s="85" t="n">
        <v>289.117436</v>
      </c>
      <c r="O4" s="187">
        <f>SUM(L4:N4)</f>
        <v/>
      </c>
      <c r="P4" s="187" t="n">
        <v>3311.566531</v>
      </c>
      <c r="Q4" s="187">
        <f>SUM(K4+O4+P4)</f>
        <v/>
      </c>
      <c r="R4" s="566" t="inlineStr"/>
      <c r="S4" s="91">
        <f>K4/(F4/((YEAR(E4)*12+MONTH(E4))-(YEAR(D4)*12+MONTH(D4))+1))</f>
        <v/>
      </c>
      <c r="T4" s="91">
        <f>G4/F4</f>
        <v/>
      </c>
      <c r="U4" s="567">
        <f>F4-G4</f>
        <v/>
      </c>
      <c r="V4" s="203" t="n">
        <v>141926.4</v>
      </c>
      <c r="W4" s="91">
        <f>W10</f>
        <v/>
      </c>
      <c r="X4" s="569">
        <f>X10</f>
        <v/>
      </c>
      <c r="AA4" s="570" t="inlineStr">
        <is>
          <t>开始日期</t>
        </is>
      </c>
      <c r="AB4" s="570" t="inlineStr">
        <is>
          <t>结束日期</t>
        </is>
      </c>
      <c r="AC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34801.348382</v>
      </c>
      <c r="H5" s="85" t="n">
        <v>275.7447</v>
      </c>
      <c r="I5" s="85" t="n">
        <v>0</v>
      </c>
      <c r="J5" s="85" t="n">
        <v>0</v>
      </c>
      <c r="K5" s="187">
        <f>SUM(H5:J5)</f>
        <v/>
      </c>
      <c r="L5" s="85" t="n">
        <v>9688.821542</v>
      </c>
      <c r="M5" s="85" t="n">
        <v>0</v>
      </c>
      <c r="N5" s="85" t="n">
        <v>606.6776630000001</v>
      </c>
      <c r="O5" s="187">
        <f>SUM(L5:N5)</f>
        <v/>
      </c>
      <c r="P5" s="188" t="n">
        <v>13116.995922</v>
      </c>
      <c r="Q5" s="187">
        <f>SUM(K5+O5+P5)</f>
        <v/>
      </c>
      <c r="R5" s="500" t="n"/>
      <c r="S5" s="91">
        <f>K5/(F5/((YEAR(E5)*12+MONTH(E5))-(YEAR(D5)*12+MONTH(D5))+1))</f>
        <v/>
      </c>
      <c r="T5" s="91">
        <f>G5/F5</f>
        <v/>
      </c>
      <c r="U5" s="567">
        <f>F5-G5</f>
        <v/>
      </c>
      <c r="V5" s="500" t="n"/>
      <c r="W5" s="500" t="n"/>
      <c r="X5" s="500" t="n"/>
      <c r="AA5" s="94" t="n">
        <v>46023</v>
      </c>
      <c r="AB5" s="94" t="n">
        <v>46203</v>
      </c>
      <c r="AC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3144.634313</v>
      </c>
      <c r="H6" s="85" t="n">
        <v>500.150742</v>
      </c>
      <c r="I6" s="85" t="n">
        <v>0</v>
      </c>
      <c r="J6" s="85" t="n">
        <v>0</v>
      </c>
      <c r="K6" s="187">
        <f>SUM(H6:J6)</f>
        <v/>
      </c>
      <c r="L6" s="85" t="n">
        <v>267.1032</v>
      </c>
      <c r="M6" s="85" t="n">
        <v>0</v>
      </c>
      <c r="N6" s="85" t="n">
        <v>25.494675</v>
      </c>
      <c r="O6" s="187">
        <f>SUM(L6:N6)</f>
        <v/>
      </c>
      <c r="P6" s="187" t="n">
        <v>2351.885696</v>
      </c>
      <c r="Q6" s="187">
        <f>SUM(K6+O6+P6)</f>
        <v/>
      </c>
      <c r="R6" s="500" t="n"/>
      <c r="S6" s="91">
        <f>K6/(F6/((YEAR(E6)*12+MONTH(E6))-(YEAR(D6)*12+MONTH(D6))+1))</f>
        <v/>
      </c>
      <c r="T6" s="91">
        <f>G6/F6</f>
        <v/>
      </c>
      <c r="U6" s="567">
        <f>F6-G6</f>
        <v/>
      </c>
      <c r="V6" s="500" t="n"/>
      <c r="W6" s="500" t="n"/>
      <c r="X6" s="500" t="n"/>
      <c r="AA6" s="570" t="inlineStr">
        <is>
          <t>计算日期</t>
        </is>
      </c>
      <c r="AB6" s="570">
        <f>X5-W5</f>
        <v/>
      </c>
      <c r="AC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14739.397706</v>
      </c>
      <c r="H7" s="85" t="n">
        <v>8704.796721000001</v>
      </c>
      <c r="I7" s="85" t="n">
        <v>0</v>
      </c>
      <c r="J7" s="85" t="n">
        <v>0</v>
      </c>
      <c r="K7" s="187">
        <f>SUM(H7:J7)</f>
        <v/>
      </c>
      <c r="L7" s="85" t="n">
        <v>1402.304143</v>
      </c>
      <c r="M7" s="85" t="n">
        <v>742.65048</v>
      </c>
      <c r="N7" s="85" t="n">
        <v>430.381249</v>
      </c>
      <c r="O7" s="187">
        <f>SUM(L7:N7)</f>
        <v/>
      </c>
      <c r="P7" s="187" t="n">
        <v>3459.265113</v>
      </c>
      <c r="Q7" s="187">
        <f>SUM(K7+O7+P7)</f>
        <v/>
      </c>
      <c r="R7" s="500" t="n"/>
      <c r="S7" s="91">
        <f>K7/(F7/((YEAR(E7)*12+MONTH(E7))-(YEAR(D7)*12+MONTH(D7))+1))</f>
        <v/>
      </c>
      <c r="T7" s="91">
        <f>G7/F7</f>
        <v/>
      </c>
      <c r="U7" s="567">
        <f>F7-G7</f>
        <v/>
      </c>
      <c r="V7" s="500" t="n"/>
      <c r="W7" s="500" t="n"/>
      <c r="X7" s="500" t="n"/>
      <c r="AA7" s="94" t="n">
        <v>46108</v>
      </c>
      <c r="AB7" s="204">
        <f>AB5-AA5+1</f>
        <v/>
      </c>
      <c r="AC7" s="70">
        <f>(AA7-AA5+1)/AB7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946.207931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41.2776</v>
      </c>
      <c r="M8" s="85" t="n">
        <v>0</v>
      </c>
      <c r="N8" s="85" t="n">
        <v>21.785005</v>
      </c>
      <c r="O8" s="187">
        <f>SUM(L8:N8)</f>
        <v/>
      </c>
      <c r="P8" s="187" t="n">
        <v>746.88392</v>
      </c>
      <c r="Q8" s="187">
        <f>SUM(K8+O8+P8)</f>
        <v/>
      </c>
      <c r="R8" s="500" t="n"/>
      <c r="S8" s="91">
        <f>K8/(F8/((YEAR(E8)*12+MONTH(E8))-(YEAR(D8)*12+MONTH(D8))+1))</f>
        <v/>
      </c>
      <c r="T8" s="91">
        <f>G8/F8</f>
        <v/>
      </c>
      <c r="U8" s="567">
        <f>F8-G8</f>
        <v/>
      </c>
      <c r="V8" s="500" t="n"/>
      <c r="W8" s="500" t="n"/>
      <c r="X8" s="500" t="n"/>
      <c r="AA8" s="570" t="inlineStr"/>
      <c r="AB8" s="570" t="inlineStr"/>
      <c r="AC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85" t="n">
        <v>0</v>
      </c>
      <c r="M9" s="85" t="n">
        <v>0</v>
      </c>
      <c r="N9" s="100" t="n">
        <v>0</v>
      </c>
      <c r="O9" s="187">
        <f>SUM(L9:N9)</f>
        <v/>
      </c>
      <c r="P9" s="190" t="n">
        <v>0</v>
      </c>
      <c r="Q9" s="187">
        <f>SUM(K9+O9+P9)</f>
        <v/>
      </c>
      <c r="R9" s="501" t="n"/>
      <c r="S9" s="205">
        <f>K9/(F9/((YEAR(E9)*12+MONTH(E9))-(YEAR(D9)*12+MONTH(D9))+1))</f>
        <v/>
      </c>
      <c r="T9" s="205">
        <f>G9/F9</f>
        <v/>
      </c>
      <c r="U9" s="576">
        <f>F9-G9</f>
        <v/>
      </c>
      <c r="V9" s="501" t="n"/>
      <c r="W9" s="501" t="n"/>
      <c r="X9" s="501" t="n"/>
      <c r="AA9" s="570" t="inlineStr">
        <is>
          <t>计算日期</t>
        </is>
      </c>
      <c r="AB9" s="570" t="n">
        <v>365</v>
      </c>
      <c r="AC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SUM(K10+O10+P10)</f>
        <v/>
      </c>
      <c r="R10" s="109" t="inlineStr"/>
      <c r="S10" s="207">
        <f>K10/(F10/((YEAR(E4)*12+MONTH(E4))-(YEAR(D4)*12+MONTH(D4))+1))</f>
        <v/>
      </c>
      <c r="T10" s="207">
        <f>G10/F10</f>
        <v/>
      </c>
      <c r="U10" s="580">
        <f>F10-G10</f>
        <v/>
      </c>
      <c r="V10" s="208">
        <f>V4</f>
        <v/>
      </c>
      <c r="W10" s="209">
        <f>Q10/V4</f>
        <v/>
      </c>
      <c r="X10" s="650">
        <f>V4-Q10</f>
        <v/>
      </c>
      <c r="Y10" s="651" t="inlineStr"/>
      <c r="Z10" s="651" t="inlineStr"/>
      <c r="AA10" s="212" t="n">
        <v>46108</v>
      </c>
      <c r="AB10" s="651" t="inlineStr"/>
      <c r="AC10" s="213">
        <f>(AA10-DATE(YEAR(AA10),1,1)+1)/AB9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9286.314093999999</v>
      </c>
      <c r="H11" s="589" t="n">
        <v>2659.960961</v>
      </c>
      <c r="I11" s="589" t="n">
        <v>0</v>
      </c>
      <c r="J11" s="589" t="n">
        <v>0</v>
      </c>
      <c r="K11" s="589">
        <f>SUM(H11:J11)</f>
        <v/>
      </c>
      <c r="L11" s="118" t="n">
        <v>0</v>
      </c>
      <c r="M11" s="118" t="n">
        <v>0</v>
      </c>
      <c r="N11" s="118" t="n">
        <v>144.157177</v>
      </c>
      <c r="O11" s="118">
        <f>SUM(L11:N11)</f>
        <v/>
      </c>
      <c r="P11" s="118" t="n">
        <v>6482.195956</v>
      </c>
      <c r="Q11" s="187">
        <f>SUM(K11+O11+P11)</f>
        <v/>
      </c>
      <c r="R11" s="526" t="inlineStr"/>
      <c r="S11" s="122">
        <f>K11/(F11/((YEAR(E11)*12+MONTH(E11))-(YEAR(D11)*12+MONTH(D11))+1))</f>
        <v/>
      </c>
      <c r="T11" s="122">
        <f>G11/F11</f>
        <v/>
      </c>
      <c r="U11" s="587">
        <f>F11-G11</f>
        <v/>
      </c>
      <c r="V11" s="214" t="n">
        <v>84476.32000000001</v>
      </c>
      <c r="W11" s="122">
        <f>W16</f>
        <v/>
      </c>
      <c r="X11" s="652">
        <f>X16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8762.706021</v>
      </c>
      <c r="H12" s="85" t="n">
        <v>2574.496213</v>
      </c>
      <c r="I12" s="85" t="n">
        <v>0</v>
      </c>
      <c r="J12" s="85" t="n">
        <v>0</v>
      </c>
      <c r="K12" s="85">
        <f>SUM(H12:J12)</f>
        <v/>
      </c>
      <c r="L12" s="85" t="n">
        <v>745.691219</v>
      </c>
      <c r="M12" s="85" t="n">
        <v>2330.36622</v>
      </c>
      <c r="N12" s="85" t="n">
        <v>69.316558</v>
      </c>
      <c r="O12" s="85">
        <f>SUM(L12:N12)</f>
        <v/>
      </c>
      <c r="P12" s="85" t="n">
        <v>3042.835811</v>
      </c>
      <c r="Q12" s="187">
        <f>SUM(K12+O12+P12)</f>
        <v/>
      </c>
      <c r="R12" s="500" t="n"/>
      <c r="S12" s="91">
        <f>K12/(F12/((YEAR(E12)*12+MONTH(E12))-(YEAR(D12)*12+MONTH(D12))+1))</f>
        <v/>
      </c>
      <c r="T12" s="91">
        <f>G12/F12</f>
        <v/>
      </c>
      <c r="U12" s="567">
        <f>F12-G12</f>
        <v/>
      </c>
      <c r="V12" s="500" t="n"/>
      <c r="W12" s="500" t="n"/>
      <c r="X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43.4733</v>
      </c>
      <c r="I13" s="85" t="n">
        <v>0</v>
      </c>
      <c r="J13" s="85" t="n">
        <v>0</v>
      </c>
      <c r="K13" s="85">
        <f>SUM(H13:J13)</f>
        <v/>
      </c>
      <c r="L13" s="85" t="n">
        <v>0</v>
      </c>
      <c r="M13" s="85" t="n">
        <v>0</v>
      </c>
      <c r="N13" s="85" t="n">
        <v>0</v>
      </c>
      <c r="O13" s="85">
        <f>SUM(L13:N13)</f>
        <v/>
      </c>
      <c r="P13" s="85" t="n">
        <v>0</v>
      </c>
      <c r="Q13" s="187">
        <f>SUM(K13+O13+P13)</f>
        <v/>
      </c>
      <c r="R13" s="500" t="n"/>
      <c r="S13" s="91">
        <f>K13/(F13/((YEAR(E13)*12+MONTH(E13))-(YEAR(D13)*12+MONTH(D13))+1))</f>
        <v/>
      </c>
      <c r="T13" s="91">
        <f>G13/F13</f>
        <v/>
      </c>
      <c r="U13" s="567">
        <f>F13-G13</f>
        <v/>
      </c>
      <c r="V13" s="500" t="n"/>
      <c r="W13" s="500" t="n"/>
      <c r="X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17115.15</v>
      </c>
      <c r="G14" s="565" t="n">
        <v>4496.608995</v>
      </c>
      <c r="H14" s="85" t="n">
        <v>3271.70142</v>
      </c>
      <c r="I14" s="85" t="n">
        <v>0</v>
      </c>
      <c r="J14" s="85" t="n">
        <v>0</v>
      </c>
      <c r="K14" s="85">
        <f>SUM(H14:J14)</f>
        <v/>
      </c>
      <c r="L14" s="85" t="n">
        <v>1054.327266</v>
      </c>
      <c r="M14" s="85" t="n">
        <v>0</v>
      </c>
      <c r="N14" s="85" t="n">
        <v>170.580309</v>
      </c>
      <c r="O14" s="85">
        <f>SUM(L14:N14)</f>
        <v/>
      </c>
      <c r="P14" s="85" t="n">
        <v>692.512431</v>
      </c>
      <c r="Q14" s="187">
        <f>SUM(K14+O14+P14)</f>
        <v/>
      </c>
      <c r="R14" s="500" t="n"/>
      <c r="S14" s="91">
        <f>K14/(F14/((YEAR(E14)*12+MONTH(E14))-(YEAR(D14)*12+MONTH(D14))+1))</f>
        <v/>
      </c>
      <c r="T14" s="91">
        <f>G14/F14</f>
        <v/>
      </c>
      <c r="U14" s="567">
        <f>F14-G14</f>
        <v/>
      </c>
      <c r="V14" s="500" t="n"/>
      <c r="W14" s="500" t="n"/>
      <c r="X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0</v>
      </c>
      <c r="N15" s="100" t="n">
        <v>0</v>
      </c>
      <c r="O15" s="100">
        <f>SUM(L15:N15)</f>
        <v/>
      </c>
      <c r="P15" s="100" t="n">
        <v>0</v>
      </c>
      <c r="Q15" s="187">
        <f>SUM(K15+O15+P15)</f>
        <v/>
      </c>
      <c r="R15" s="501" t="n"/>
      <c r="S15" s="205">
        <f>K15/(F15/((YEAR(E15)*12+MONTH(E15))-(YEAR(D15)*12+MONTH(D15))+1))</f>
        <v/>
      </c>
      <c r="T15" s="205">
        <f>G15/F15</f>
        <v/>
      </c>
      <c r="U15" s="576">
        <f>F15-G15</f>
        <v/>
      </c>
      <c r="V15" s="501" t="n"/>
      <c r="W15" s="501" t="n"/>
      <c r="X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SUM(K16+O16+P16)</f>
        <v/>
      </c>
      <c r="R16" s="109" t="inlineStr"/>
      <c r="S16" s="207">
        <f>K16/(F16/((YEAR(E11)*12+MONTH(E11))-(YEAR(D11)*12+MONTH(D11))+1))</f>
        <v/>
      </c>
      <c r="T16" s="207">
        <f>G16/F16</f>
        <v/>
      </c>
      <c r="U16" s="580">
        <f>F16-G16</f>
        <v/>
      </c>
      <c r="V16" s="208">
        <f>V11</f>
        <v/>
      </c>
      <c r="W16" s="209">
        <f>Q16/V11</f>
        <v/>
      </c>
      <c r="X16" s="650">
        <f>V11-Q16</f>
        <v/>
      </c>
      <c r="Y16" s="651" t="inlineStr"/>
      <c r="Z16" s="651" t="inlineStr"/>
      <c r="AA16" s="651" t="inlineStr"/>
      <c r="AB16" s="651" t="inlineStr"/>
      <c r="AC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46054</v>
      </c>
      <c r="E17" s="638" t="n">
        <v>46203</v>
      </c>
      <c r="F17" s="116" t="n">
        <v>25870.625</v>
      </c>
      <c r="G17" s="586" t="n">
        <v>13072.861899</v>
      </c>
      <c r="H17" s="589" t="n">
        <v>3402.898586</v>
      </c>
      <c r="I17" s="589" t="n">
        <v>5811.5772</v>
      </c>
      <c r="J17" s="589" t="n">
        <v>0</v>
      </c>
      <c r="K17" s="589">
        <f>SUM(H17:J17)</f>
        <v/>
      </c>
      <c r="L17" s="118" t="n">
        <v>3557.362586</v>
      </c>
      <c r="M17" s="118" t="n">
        <v>0</v>
      </c>
      <c r="N17" s="118" t="n">
        <v>301.023526</v>
      </c>
      <c r="O17" s="118">
        <f>SUM(L17:N17)</f>
        <v/>
      </c>
      <c r="P17" s="118" t="n">
        <v>8988.571889000001</v>
      </c>
      <c r="Q17" s="187">
        <f>SUM(K17+O17+P17)</f>
        <v/>
      </c>
      <c r="R17" s="526" t="inlineStr"/>
      <c r="S17" s="122">
        <f>K17/(F17/((YEAR(E17)*12+MONTH(E17))-(YEAR(D17)*12+MONTH(D17))+1))</f>
        <v/>
      </c>
      <c r="T17" s="122">
        <f>G17/F17</f>
        <v/>
      </c>
      <c r="U17" s="587">
        <f>F17-G17</f>
        <v/>
      </c>
      <c r="V17" s="214" t="n">
        <v>62089.5</v>
      </c>
      <c r="W17" s="122">
        <f>W22</f>
        <v/>
      </c>
      <c r="X17" s="652">
        <f>X22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5129.371821</v>
      </c>
      <c r="H18" s="85" t="n">
        <v>1305.1575</v>
      </c>
      <c r="I18" s="85" t="n">
        <v>1178.4864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15.177921</v>
      </c>
      <c r="O18" s="85">
        <f>SUM(L18:N18)</f>
        <v/>
      </c>
      <c r="P18" s="85" t="n">
        <v>2630.55</v>
      </c>
      <c r="Q18" s="187">
        <f>SUM(K18+O18+P18)</f>
        <v/>
      </c>
      <c r="R18" s="500" t="n"/>
      <c r="S18" s="91">
        <f>K18/(F18/((YEAR(E18)*12+MONTH(E18))-(YEAR(D18)*12+MONTH(D18))+1))</f>
        <v/>
      </c>
      <c r="T18" s="91">
        <f>G18/F18</f>
        <v/>
      </c>
      <c r="U18" s="567">
        <f>F18-G18</f>
        <v/>
      </c>
      <c r="V18" s="500" t="n"/>
      <c r="W18" s="500" t="n"/>
      <c r="X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8.706657</v>
      </c>
      <c r="O19" s="85">
        <f>SUM(L19:N19)</f>
        <v/>
      </c>
      <c r="P19" s="85" t="n">
        <v>9.587089000000001</v>
      </c>
      <c r="Q19" s="187">
        <f>SUM(K19+O19+P19)</f>
        <v/>
      </c>
      <c r="R19" s="500" t="n"/>
      <c r="S19" s="91">
        <f>K19/(F19/((YEAR(E19)*12+MONTH(E19))-(YEAR(D19)*12+MONTH(D19))+1))</f>
        <v/>
      </c>
      <c r="T19" s="91">
        <f>G19/F19</f>
        <v/>
      </c>
      <c r="U19" s="567">
        <f>F19-G19</f>
        <v/>
      </c>
      <c r="V19" s="500" t="n"/>
      <c r="W19" s="500" t="n"/>
      <c r="X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25.0224</v>
      </c>
      <c r="M20" s="85" t="n">
        <v>1050.9408</v>
      </c>
      <c r="N20" s="85" t="n">
        <v>3.667668</v>
      </c>
      <c r="O20" s="85">
        <f>SUM(L20:N20)</f>
        <v/>
      </c>
      <c r="P20" s="85" t="n">
        <v>125.112</v>
      </c>
      <c r="Q20" s="187">
        <f>SUM(K20+O20+P20)</f>
        <v/>
      </c>
      <c r="R20" s="500" t="n"/>
      <c r="S20" s="91">
        <f>K20/(F20/((YEAR(E20)*12+MONTH(E20))-(YEAR(D20)*12+MONTH(D20))+1))</f>
        <v/>
      </c>
      <c r="T20" s="91">
        <f>G20/F20</f>
        <v/>
      </c>
      <c r="U20" s="567">
        <f>F20-G20</f>
        <v/>
      </c>
      <c r="V20" s="500" t="n"/>
      <c r="W20" s="500" t="n"/>
      <c r="X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87">
        <f>SUM(K21+O21+P21)</f>
        <v/>
      </c>
      <c r="R21" s="501" t="n"/>
      <c r="S21" s="205">
        <f>K21/(F21/((YEAR(E21)*12+MONTH(E21))-(YEAR(D21)*12+MONTH(D21))+1))</f>
        <v/>
      </c>
      <c r="T21" s="205">
        <f>G21/F21</f>
        <v/>
      </c>
      <c r="U21" s="576">
        <f>F21-G21</f>
        <v/>
      </c>
      <c r="V21" s="501" t="n"/>
      <c r="W21" s="501" t="n"/>
      <c r="X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SUM(K22+O22+P22)</f>
        <v/>
      </c>
      <c r="R22" s="109" t="inlineStr"/>
      <c r="S22" s="207">
        <f>K22/(F22/((YEAR(E17)*12+MONTH(E17))-(YEAR(D17)*12+MONTH(D17))+1))</f>
        <v/>
      </c>
      <c r="T22" s="207">
        <f>G22/F22</f>
        <v/>
      </c>
      <c r="U22" s="580">
        <f>F22-G22</f>
        <v/>
      </c>
      <c r="V22" s="208">
        <f>V17</f>
        <v/>
      </c>
      <c r="W22" s="209">
        <f>Q22/V17</f>
        <v/>
      </c>
      <c r="X22" s="650">
        <f>V17-Q22</f>
        <v/>
      </c>
      <c r="Y22" s="651" t="inlineStr"/>
      <c r="Z22" s="651" t="inlineStr"/>
      <c r="AA22" s="651" t="inlineStr"/>
      <c r="AB22" s="651" t="inlineStr"/>
      <c r="AC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553.815261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118" t="n">
        <v>190.944681</v>
      </c>
      <c r="M23" s="118" t="n">
        <v>0</v>
      </c>
      <c r="N23" s="123" t="n">
        <v>71.82064699999999</v>
      </c>
      <c r="O23" s="118">
        <f>SUM(L23:N23)</f>
        <v/>
      </c>
      <c r="P23" s="118" t="n">
        <v>291.049933</v>
      </c>
      <c r="Q23" s="187">
        <f>SUM(K23+O23+P23)</f>
        <v/>
      </c>
      <c r="R23" s="526" t="inlineStr"/>
      <c r="S23" s="122">
        <f>K23/(F23/((YEAR(E23)*12+MONTH(E23))-(YEAR(D23)*12+MONTH(D23))+1))</f>
        <v/>
      </c>
      <c r="T23" s="122">
        <f>G23/F23</f>
        <v/>
      </c>
      <c r="U23" s="587">
        <f>F23-G23</f>
        <v/>
      </c>
      <c r="V23" s="217" t="n">
        <v>64020.88</v>
      </c>
      <c r="W23" s="218">
        <f>W27</f>
        <v/>
      </c>
      <c r="X23" s="652">
        <f>X27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4833.587592</v>
      </c>
      <c r="H24" s="126" t="n">
        <v>198.1746</v>
      </c>
      <c r="I24" s="126" t="n">
        <v>0</v>
      </c>
      <c r="J24" s="126" t="n">
        <v>0</v>
      </c>
      <c r="K24" s="85">
        <f>SUM(H24:J24)</f>
        <v/>
      </c>
      <c r="L24" s="85" t="n">
        <v>0.8469</v>
      </c>
      <c r="M24" s="85" t="n">
        <v>4558.0158</v>
      </c>
      <c r="N24" s="126" t="n">
        <v>19.389048</v>
      </c>
      <c r="O24" s="85">
        <f>SUM(L24:N24)</f>
        <v/>
      </c>
      <c r="P24" s="85" t="n">
        <v>21.644177</v>
      </c>
      <c r="Q24" s="187">
        <f>SUM(K24+O24+P24)</f>
        <v/>
      </c>
      <c r="R24" s="500" t="n"/>
      <c r="S24" s="91">
        <f>K24/(F24/((YEAR(E24)*12+MONTH(E24))-(YEAR(D24)*12+MONTH(D24))+1))</f>
        <v/>
      </c>
      <c r="T24" s="91">
        <f>G24/F24</f>
        <v/>
      </c>
      <c r="U24" s="567">
        <f>F24-G24</f>
        <v/>
      </c>
      <c r="V24" s="500" t="n"/>
      <c r="W24" s="500" t="n"/>
      <c r="X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6646.161276</v>
      </c>
      <c r="H25" s="126" t="n">
        <v>220.16475</v>
      </c>
      <c r="I25" s="126" t="n">
        <v>0</v>
      </c>
      <c r="J25" s="126" t="n">
        <v>0</v>
      </c>
      <c r="K25" s="85">
        <f>SUM(H25:J25)</f>
        <v/>
      </c>
      <c r="L25" s="85" t="n">
        <v>3847.561596</v>
      </c>
      <c r="M25" s="85" t="n">
        <v>0</v>
      </c>
      <c r="N25" s="126" t="n">
        <v>38.370126</v>
      </c>
      <c r="O25" s="85">
        <f>SUM(L25:N25)</f>
        <v/>
      </c>
      <c r="P25" s="85" t="n">
        <v>2540.064804</v>
      </c>
      <c r="Q25" s="187">
        <f>SUM(K25+O25+P25)</f>
        <v/>
      </c>
      <c r="R25" s="500" t="n"/>
      <c r="S25" s="91">
        <f>K25/(F25/((YEAR(E25)*12+MONTH(E25))-(YEAR(D25)*12+MONTH(D25))+1))</f>
        <v/>
      </c>
      <c r="T25" s="91">
        <f>G25/F25</f>
        <v/>
      </c>
      <c r="U25" s="567">
        <f>F25-G25</f>
        <v/>
      </c>
      <c r="V25" s="500" t="n"/>
      <c r="W25" s="500" t="n"/>
      <c r="X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00" t="n">
        <v>0</v>
      </c>
      <c r="M26" s="100" t="n">
        <v>0</v>
      </c>
      <c r="N26" s="127" t="n">
        <v>0</v>
      </c>
      <c r="O26" s="100">
        <f>SUM(L26:N26)</f>
        <v/>
      </c>
      <c r="P26" s="100" t="n">
        <v>0</v>
      </c>
      <c r="Q26" s="187">
        <f>SUM(K26+O26+P26)</f>
        <v/>
      </c>
      <c r="R26" s="501" t="n"/>
      <c r="S26" s="91">
        <f>K26/(F26/((YEAR(E26)*12+MONTH(E26))-(YEAR(D26)*12+MONTH(D26))+1))</f>
        <v/>
      </c>
      <c r="T26" s="91">
        <f>G26/F26</f>
        <v/>
      </c>
      <c r="U26" s="567">
        <f>F26-G26</f>
        <v/>
      </c>
      <c r="V26" s="513" t="n"/>
      <c r="W26" s="513" t="n"/>
      <c r="X26" s="501" t="n"/>
      <c r="AA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0">
        <f>SUM(L23:L26)</f>
        <v/>
      </c>
      <c r="M27" s="590">
        <f>SUM(M23:M26)</f>
        <v/>
      </c>
      <c r="N27" s="591">
        <f>SUM(N23:N26)</f>
        <v/>
      </c>
      <c r="O27" s="579">
        <f>SUM(O23:O26)</f>
        <v/>
      </c>
      <c r="P27" s="579">
        <f>SUM(P23:P26)</f>
        <v/>
      </c>
      <c r="Q27" s="580">
        <f>SUM(K27+O27+P27)</f>
        <v/>
      </c>
      <c r="R27" s="579" t="inlineStr"/>
      <c r="S27" s="220">
        <f>K27/(F27/((YEAR(E23)*12+MONTH(E23))-(YEAR(D23)*12+MONTH(D23))+1))</f>
        <v/>
      </c>
      <c r="T27" s="221">
        <f>G27/F27</f>
        <v/>
      </c>
      <c r="U27" s="579">
        <f>F27-G27</f>
        <v/>
      </c>
      <c r="V27" s="222">
        <f>V23</f>
        <v/>
      </c>
      <c r="W27" s="220">
        <f>Q27/V23</f>
        <v/>
      </c>
      <c r="X27" s="654">
        <f>V23-Q27</f>
        <v/>
      </c>
      <c r="Y27" s="651" t="inlineStr"/>
      <c r="Z27" s="651" t="inlineStr"/>
      <c r="AA27" s="651" t="inlineStr"/>
      <c r="AB27" s="651" t="inlineStr"/>
      <c r="AC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2734.42947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118" t="n">
        <v>153.11976</v>
      </c>
      <c r="M28" s="118" t="n">
        <v>0</v>
      </c>
      <c r="N28" s="118" t="n">
        <v>551.791169</v>
      </c>
      <c r="O28" s="118">
        <f>SUM(L28:N28)</f>
        <v/>
      </c>
      <c r="P28" s="118" t="n">
        <v>2029.518541</v>
      </c>
      <c r="Q28" s="187">
        <f>SUM(K28+O28+P28)</f>
        <v/>
      </c>
      <c r="R28" s="526" t="inlineStr"/>
      <c r="S28" s="122">
        <f>K28/(F28/((YEAR(E28)*12+MONTH(E28))-(YEAR(D28)*12+MONTH(D28))+1))</f>
        <v/>
      </c>
      <c r="T28" s="122">
        <f>G28/F28</f>
        <v/>
      </c>
      <c r="U28" s="587">
        <f>F28-G28</f>
        <v/>
      </c>
      <c r="V28" s="214" t="n">
        <v>39429.22</v>
      </c>
      <c r="W28" s="122">
        <f>W31</f>
        <v/>
      </c>
      <c r="X28" s="652">
        <f>X31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29408.323178</v>
      </c>
      <c r="H29" s="85" t="n">
        <v>1955.239079</v>
      </c>
      <c r="I29" s="85" t="n">
        <v>0</v>
      </c>
      <c r="J29" s="85" t="n">
        <v>0</v>
      </c>
      <c r="K29" s="85">
        <f>SUM(H29:J29)</f>
        <v/>
      </c>
      <c r="L29" s="85" t="n">
        <v>2346.171162</v>
      </c>
      <c r="M29" s="85" t="n">
        <v>0</v>
      </c>
      <c r="N29" s="85" t="n">
        <v>187.41719</v>
      </c>
      <c r="O29" s="85">
        <f>SUM(L29:N29)</f>
        <v/>
      </c>
      <c r="P29" s="85" t="n">
        <v>24919.495747</v>
      </c>
      <c r="Q29" s="187">
        <f>SUM(K29+O29+P29)</f>
        <v/>
      </c>
      <c r="R29" s="500" t="n"/>
      <c r="S29" s="91">
        <f>K29/(F29/((YEAR(E29)*12+MONTH(E29))-(YEAR(D29)*12+MONTH(D29))+1))</f>
        <v/>
      </c>
      <c r="T29" s="91">
        <f>G29/F29</f>
        <v/>
      </c>
      <c r="U29" s="567">
        <f>F29-G29</f>
        <v/>
      </c>
      <c r="V29" s="500" t="n"/>
      <c r="W29" s="500" t="n"/>
      <c r="X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1136.371735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1.481485</v>
      </c>
      <c r="O30" s="100">
        <f>SUM(L30:N30)</f>
        <v/>
      </c>
      <c r="P30" s="100" t="n">
        <v>66.75825</v>
      </c>
      <c r="Q30" s="187">
        <f>SUM(K30+O30+P30)</f>
        <v/>
      </c>
      <c r="R30" s="501" t="n"/>
      <c r="S30" s="205">
        <f>K30/(F30/((YEAR(E30)*12+MONTH(E30))-(YEAR(D30)*12+MONTH(D30))+1))</f>
        <v/>
      </c>
      <c r="T30" s="205">
        <f>G30/F30</f>
        <v/>
      </c>
      <c r="U30" s="576">
        <f>F30-G30</f>
        <v/>
      </c>
      <c r="V30" s="501" t="n"/>
      <c r="W30" s="501" t="n"/>
      <c r="X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0">
        <f>SUM(L28:L30)</f>
        <v/>
      </c>
      <c r="M31" s="590">
        <f>SUM(M28:M30)</f>
        <v/>
      </c>
      <c r="N31" s="591">
        <f>SUM(N28:N30)</f>
        <v/>
      </c>
      <c r="O31" s="579">
        <f>SUM(O28:O30)</f>
        <v/>
      </c>
      <c r="P31" s="579">
        <f>SUM(P28:P30)</f>
        <v/>
      </c>
      <c r="Q31" s="580">
        <f>SUM(K31+O31+P31)</f>
        <v/>
      </c>
      <c r="R31" s="579" t="inlineStr"/>
      <c r="S31" s="220">
        <f>K31/(F31/((YEAR(E28)*12+MONTH(E28))-(YEAR(D28)*12+MONTH(D28))+1))</f>
        <v/>
      </c>
      <c r="T31" s="221">
        <f>G31/F31</f>
        <v/>
      </c>
      <c r="U31" s="579">
        <f>F31-G31</f>
        <v/>
      </c>
      <c r="V31" s="222">
        <f>V28</f>
        <v/>
      </c>
      <c r="W31" s="220">
        <f>Q31/V28</f>
        <v/>
      </c>
      <c r="X31" s="654">
        <f>V28-Q31</f>
        <v/>
      </c>
      <c r="Y31" s="651" t="inlineStr"/>
      <c r="Z31" s="651" t="inlineStr"/>
      <c r="AA31" s="651" t="inlineStr"/>
      <c r="AB31" s="651" t="inlineStr"/>
      <c r="AC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46082</v>
      </c>
      <c r="E32" s="638" t="n">
        <v>46234</v>
      </c>
      <c r="F32" s="116" t="n">
        <v>3056.1223</v>
      </c>
      <c r="G32" s="565" t="n">
        <v>80.95229999999999</v>
      </c>
      <c r="H32" s="653" t="n">
        <v>80.95229999999999</v>
      </c>
      <c r="I32" s="653" t="n">
        <v>0</v>
      </c>
      <c r="J32" s="653" t="n">
        <v>0</v>
      </c>
      <c r="K32" s="653">
        <f>SUM(H32:J32)</f>
        <v/>
      </c>
      <c r="L32" s="118" t="n">
        <v>51.706393</v>
      </c>
      <c r="M32" s="118" t="n">
        <v>90.204069</v>
      </c>
      <c r="N32" s="118" t="n">
        <v>14.109955</v>
      </c>
      <c r="O32" s="118">
        <f>SUM(L32:N32)</f>
        <v/>
      </c>
      <c r="P32" s="118" t="n">
        <v>193.330405</v>
      </c>
      <c r="Q32" s="187">
        <f>SUM(K32+O32+P32)</f>
        <v/>
      </c>
      <c r="R32" s="526" t="inlineStr"/>
      <c r="S32" s="122">
        <f>K32/(F32/((YEAR(E32)*12+MONTH(E32))-(YEAR(D32)*12+MONTH(D32))+1))</f>
        <v/>
      </c>
      <c r="T32" s="122">
        <f>G32/F32</f>
        <v/>
      </c>
      <c r="U32" s="587">
        <f>F32-G32</f>
        <v/>
      </c>
      <c r="V32" s="214" t="n">
        <v>24216.5</v>
      </c>
      <c r="W32" s="122">
        <f>W35</f>
        <v/>
      </c>
      <c r="X32" s="652">
        <f>X35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9379.725156</v>
      </c>
      <c r="H33" s="85" t="n">
        <v>3314.503374</v>
      </c>
      <c r="I33" s="85" t="n">
        <v>0</v>
      </c>
      <c r="J33" s="85" t="n">
        <v>0</v>
      </c>
      <c r="K33" s="85">
        <f>SUM(H33:J33)</f>
        <v/>
      </c>
      <c r="L33" s="85" t="n">
        <v>4769.379014</v>
      </c>
      <c r="M33" s="85" t="n">
        <v>0</v>
      </c>
      <c r="N33" s="85" t="n">
        <v>225.874626</v>
      </c>
      <c r="O33" s="85">
        <f>SUM(L33:N33)</f>
        <v/>
      </c>
      <c r="P33" s="85" t="n">
        <v>1069.968142</v>
      </c>
      <c r="Q33" s="187">
        <f>SUM(K33+O33+P33)</f>
        <v/>
      </c>
      <c r="R33" s="500" t="n"/>
      <c r="S33" s="91">
        <f>K33/(F33/((YEAR(E33)*12+MONTH(E33))-(YEAR(D33)*12+MONTH(D33))+1))</f>
        <v/>
      </c>
      <c r="T33" s="91">
        <f>G33/F33</f>
        <v/>
      </c>
      <c r="U33" s="567">
        <f>F33-G33</f>
        <v/>
      </c>
      <c r="V33" s="500" t="n"/>
      <c r="W33" s="500" t="n"/>
      <c r="X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2784.34117</v>
      </c>
      <c r="H34" s="100" t="n">
        <v>1042.875491</v>
      </c>
      <c r="I34" s="100" t="n">
        <v>0</v>
      </c>
      <c r="J34" s="100" t="n">
        <v>0</v>
      </c>
      <c r="K34" s="100">
        <f>SUM(H34:J34)</f>
        <v/>
      </c>
      <c r="L34" s="100" t="n">
        <v>474.6456</v>
      </c>
      <c r="M34" s="100" t="n">
        <v>0</v>
      </c>
      <c r="N34" s="100" t="n">
        <v>122.035472</v>
      </c>
      <c r="O34" s="100">
        <f>SUM(L34:N34)</f>
        <v/>
      </c>
      <c r="P34" s="100" t="n">
        <v>1144.784607</v>
      </c>
      <c r="Q34" s="187">
        <f>SUM(K34+O34+P34)</f>
        <v/>
      </c>
      <c r="R34" s="501" t="n"/>
      <c r="S34" s="205">
        <f>K34/(F34/((YEAR(E34)*12+MONTH(E34))-(YEAR(D34)*12+MONTH(D34))+1))</f>
        <v/>
      </c>
      <c r="T34" s="205">
        <f>G34/F34</f>
        <v/>
      </c>
      <c r="U34" s="576">
        <f>F34-G34</f>
        <v/>
      </c>
      <c r="V34" s="501" t="n"/>
      <c r="W34" s="501" t="n"/>
      <c r="X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597">
        <f>SUM(O32:O34)</f>
        <v/>
      </c>
      <c r="P35" s="641">
        <f>SUM(P32:P34)</f>
        <v/>
      </c>
      <c r="Q35" s="580">
        <f>SUM(K35+O35+P35)</f>
        <v/>
      </c>
      <c r="R35" s="598" t="inlineStr"/>
      <c r="S35" s="226">
        <f>K35/(F35/((YEAR(E32)*12+MONTH(E32))-(YEAR(D32)*12+MONTH(D32))+1))</f>
        <v/>
      </c>
      <c r="T35" s="227">
        <f>G35/F35</f>
        <v/>
      </c>
      <c r="U35" s="598">
        <f>F35-G35</f>
        <v/>
      </c>
      <c r="V35" s="228">
        <f>V32</f>
        <v/>
      </c>
      <c r="W35" s="226">
        <f>Q35/V32</f>
        <v/>
      </c>
      <c r="X35" s="655">
        <f>V32-Q35</f>
        <v/>
      </c>
      <c r="Y35" s="651" t="inlineStr"/>
      <c r="Z35" s="651" t="inlineStr"/>
      <c r="AA35" s="651" t="inlineStr"/>
      <c r="AB35" s="651" t="inlineStr"/>
      <c r="AC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26772.805809</v>
      </c>
      <c r="H36" s="142" t="n">
        <v>10790.846862</v>
      </c>
      <c r="I36" s="142" t="n">
        <v>0</v>
      </c>
      <c r="J36" s="142" t="n">
        <v>0</v>
      </c>
      <c r="K36" s="197">
        <f>SUM(H36:J36)</f>
        <v/>
      </c>
      <c r="L36" s="142" t="n">
        <v>6594.535422</v>
      </c>
      <c r="M36" s="142" t="n">
        <v>0</v>
      </c>
      <c r="N36" s="142" t="n">
        <v>271.914403</v>
      </c>
      <c r="O36" s="197">
        <f>SUM(L36:N36)</f>
        <v/>
      </c>
      <c r="P36" s="197" t="n">
        <v>9115.509121999999</v>
      </c>
      <c r="Q36" s="187">
        <f>SUM(K36+O36+P36)</f>
        <v/>
      </c>
      <c r="R36" s="644" t="inlineStr"/>
      <c r="S36" s="148">
        <f>K36/(F36/((YEAR(E36)*12+MONTH(E36))-(YEAR(D36)*12+MONTH(D36))+1))</f>
        <v/>
      </c>
      <c r="T36" s="148">
        <f>G36/F36</f>
        <v/>
      </c>
      <c r="U36" s="604">
        <f>F36-G36</f>
        <v/>
      </c>
      <c r="V36" s="230" t="n">
        <v>30127.5</v>
      </c>
      <c r="W36" s="148">
        <f>W38</f>
        <v/>
      </c>
      <c r="X36" s="656">
        <f>X38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440.8209</v>
      </c>
      <c r="M37" s="154" t="n">
        <v>0</v>
      </c>
      <c r="N37" s="154" t="n">
        <v>0</v>
      </c>
      <c r="O37" s="154">
        <f>SUM(L37:N37)</f>
        <v/>
      </c>
      <c r="P37" s="154" t="n">
        <v>0</v>
      </c>
      <c r="Q37" s="187">
        <f>SUM(K37+O37+P37)</f>
        <v/>
      </c>
      <c r="R37" s="501" t="n"/>
      <c r="S37" s="232">
        <f>K37/(F37/((YEAR(E37)*12+MONTH(E37))-(YEAR(D37)*12+MONTH(D37))+1))</f>
        <v/>
      </c>
      <c r="T37" s="232">
        <f>G37/F37</f>
        <v/>
      </c>
      <c r="U37" s="611">
        <f>F37-G37</f>
        <v/>
      </c>
      <c r="V37" s="607" t="n"/>
      <c r="W37" s="501" t="n"/>
      <c r="X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614">
        <f>SUM(L36:L37)</f>
        <v/>
      </c>
      <c r="M38" s="614">
        <f>SUM(M36:M37)</f>
        <v/>
      </c>
      <c r="N38" s="614">
        <f>SUM(N36:N37)</f>
        <v/>
      </c>
      <c r="O38" s="614">
        <f>SUM(O36:O37)</f>
        <v/>
      </c>
      <c r="P38" s="614">
        <f>SUM(P36:P37)</f>
        <v/>
      </c>
      <c r="Q38" s="580">
        <f>SUM(K38+O38+P38)</f>
        <v/>
      </c>
      <c r="R38" s="614" t="inlineStr"/>
      <c r="S38" s="234">
        <f>K38/(F38/((YEAR(E36)*12+MONTH(E36))-(YEAR(D36)*12+MONTH(D36))+1))</f>
        <v/>
      </c>
      <c r="T38" s="235">
        <f>G38/F38</f>
        <v/>
      </c>
      <c r="U38" s="615">
        <f>F38-G38</f>
        <v/>
      </c>
      <c r="V38" s="236">
        <f>V36</f>
        <v/>
      </c>
      <c r="W38" s="234">
        <f>Q38/V36</f>
        <v/>
      </c>
      <c r="X38" s="657">
        <f>V36-Q38</f>
        <v/>
      </c>
      <c r="Y38" s="651" t="inlineStr"/>
      <c r="Z38" s="651" t="inlineStr"/>
      <c r="AA38" s="651" t="inlineStr"/>
      <c r="AB38" s="651" t="inlineStr"/>
      <c r="AC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2742.805158</v>
      </c>
      <c r="H39" s="142" t="n">
        <v>720.029466</v>
      </c>
      <c r="I39" s="142" t="n">
        <v>0</v>
      </c>
      <c r="J39" s="142" t="n">
        <v>0</v>
      </c>
      <c r="K39" s="142">
        <f>SUM(H39:J39)</f>
        <v/>
      </c>
      <c r="L39" s="142" t="n">
        <v>1738.204897</v>
      </c>
      <c r="M39" s="142" t="n">
        <v>0</v>
      </c>
      <c r="N39" s="142" t="n">
        <v>284.570795</v>
      </c>
      <c r="O39" s="142">
        <f>SUM(L39:N39)</f>
        <v/>
      </c>
      <c r="P39" s="142" t="n">
        <v>1538.392041</v>
      </c>
      <c r="Q39" s="187">
        <f>SUM(K39+O39+P39)</f>
        <v/>
      </c>
      <c r="R39" s="644" t="inlineStr"/>
      <c r="S39" s="148">
        <f>K39/(F39/((YEAR(E39)*12+MONTH(E39))-(YEAR(D39)*12+MONTH(D39))+1))</f>
        <v/>
      </c>
      <c r="T39" s="148">
        <f>G39/F39</f>
        <v/>
      </c>
      <c r="U39" s="616">
        <f>F39-G39</f>
        <v/>
      </c>
      <c r="V39" s="230" t="n">
        <v>26246.88</v>
      </c>
      <c r="W39" s="148">
        <f>W41</f>
        <v/>
      </c>
      <c r="X39" s="656">
        <f>X41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795.1018749999999</v>
      </c>
      <c r="H40" s="154" t="n">
        <v>809.929895</v>
      </c>
      <c r="I40" s="154" t="n">
        <v>0</v>
      </c>
      <c r="J40" s="154" t="n">
        <v>0</v>
      </c>
      <c r="K40" s="154">
        <f>SUM(H40:J40)</f>
        <v/>
      </c>
      <c r="L40" s="154" t="n">
        <v>176.20858</v>
      </c>
      <c r="M40" s="154" t="n">
        <v>0</v>
      </c>
      <c r="N40" s="154" t="n">
        <v>11.404098</v>
      </c>
      <c r="O40" s="154">
        <f>SUM(L40:N40)</f>
        <v/>
      </c>
      <c r="P40" s="154" t="n">
        <v>12.282809</v>
      </c>
      <c r="Q40" s="187">
        <f>SUM(K40+O40+P40)</f>
        <v/>
      </c>
      <c r="R40" s="501" t="n"/>
      <c r="S40" s="232">
        <f>K40/(F40/((YEAR(E40)*12+MONTH(E40))-(YEAR(D40)*12+MONTH(D40))+1))</f>
        <v/>
      </c>
      <c r="T40" s="232">
        <f>G40/F40</f>
        <v/>
      </c>
      <c r="U40" s="617">
        <f>F40-G40</f>
        <v/>
      </c>
      <c r="V40" s="607" t="n"/>
      <c r="W40" s="501" t="n"/>
      <c r="X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621">
        <f>SUM(L39:L40)</f>
        <v/>
      </c>
      <c r="M41" s="621">
        <f>SUM(M39:M40)</f>
        <v/>
      </c>
      <c r="N41" s="621">
        <f>SUM(N39:N40)</f>
        <v/>
      </c>
      <c r="O41" s="621">
        <f>SUM(O39:O40)</f>
        <v/>
      </c>
      <c r="P41" s="621">
        <f>SUM(P39:P40)</f>
        <v/>
      </c>
      <c r="Q41" s="580">
        <f>SUM(K41+O41+P41)</f>
        <v/>
      </c>
      <c r="R41" s="621" t="inlineStr"/>
      <c r="S41" s="239">
        <f>K41/(F41/((YEAR(E39)*12+MONTH(E39))-(YEAR(D39)*12+MONTH(D39))+1))</f>
        <v/>
      </c>
      <c r="T41" s="240">
        <f>G41/F41</f>
        <v/>
      </c>
      <c r="U41" s="621">
        <f>F41-G41</f>
        <v/>
      </c>
      <c r="V41" s="241">
        <f>V39</f>
        <v/>
      </c>
      <c r="W41" s="242">
        <f>Q41/V39</f>
        <v/>
      </c>
      <c r="X41" s="658">
        <f>V39-Q41</f>
        <v/>
      </c>
      <c r="Y41" s="651" t="inlineStr"/>
      <c r="Z41" s="651" t="inlineStr"/>
      <c r="AA41" s="651" t="inlineStr"/>
      <c r="AB41" s="651" t="inlineStr"/>
      <c r="AC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9195.482418</v>
      </c>
      <c r="H42" s="142" t="n">
        <v>5580.554904</v>
      </c>
      <c r="I42" s="142" t="n">
        <v>0</v>
      </c>
      <c r="J42" s="142" t="n">
        <v>0</v>
      </c>
      <c r="K42" s="142">
        <f>SUM(H42:J42)</f>
        <v/>
      </c>
      <c r="L42" s="142" t="n">
        <v>1081.878995</v>
      </c>
      <c r="M42" s="142" t="n">
        <v>523.50012</v>
      </c>
      <c r="N42" s="142" t="n">
        <v>135.589522</v>
      </c>
      <c r="O42" s="142">
        <f>SUM(L42:N42)</f>
        <v/>
      </c>
      <c r="P42" s="142" t="n">
        <v>1873.958877</v>
      </c>
      <c r="Q42" s="187">
        <f>SUM(K42+O42+P42)</f>
        <v/>
      </c>
      <c r="R42" s="644" t="inlineStr"/>
      <c r="S42" s="148">
        <f>K42/(F42/((YEAR(E42)*12+MONTH(E42))-(YEAR(D42)*12+MONTH(D42))+1))</f>
        <v/>
      </c>
      <c r="T42" s="148">
        <f>G42/F42</f>
        <v/>
      </c>
      <c r="U42" s="616">
        <f>F42-G42</f>
        <v/>
      </c>
      <c r="V42" s="230" t="n">
        <v>32744.18</v>
      </c>
      <c r="W42" s="148">
        <f>W44</f>
        <v/>
      </c>
      <c r="X42" s="656">
        <f>X44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573.020649</v>
      </c>
      <c r="H43" s="154" t="n">
        <v>47.229437</v>
      </c>
      <c r="I43" s="154" t="n">
        <v>0</v>
      </c>
      <c r="J43" s="154" t="n">
        <v>0</v>
      </c>
      <c r="K43" s="154">
        <f>SUM(H43:J43)</f>
        <v/>
      </c>
      <c r="L43" s="154" t="n">
        <v>524.574731</v>
      </c>
      <c r="M43" s="154" t="n">
        <v>0</v>
      </c>
      <c r="N43" s="154" t="n">
        <v>1.216481</v>
      </c>
      <c r="O43" s="154">
        <f>SUM(L43:N43)</f>
        <v/>
      </c>
      <c r="P43" s="154" t="n">
        <v>0</v>
      </c>
      <c r="Q43" s="187">
        <f>SUM(K43+O43+P43)</f>
        <v/>
      </c>
      <c r="R43" s="501" t="n"/>
      <c r="S43" s="232">
        <f>K43/(F43/((YEAR(E43)*12+MONTH(E43))-(YEAR(D43)*12+MONTH(D43))+1))</f>
        <v/>
      </c>
      <c r="T43" s="232">
        <f>G43/F43</f>
        <v/>
      </c>
      <c r="U43" s="617">
        <f>F43-G43</f>
        <v/>
      </c>
      <c r="V43" s="607" t="n"/>
      <c r="W43" s="501" t="n"/>
      <c r="X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621">
        <f>SUM(L42:L43)</f>
        <v/>
      </c>
      <c r="M44" s="621">
        <f>SUM(M42:M43)</f>
        <v/>
      </c>
      <c r="N44" s="621">
        <f>SUM(N42:N43)</f>
        <v/>
      </c>
      <c r="O44" s="621">
        <f>SUM(O42:O43)</f>
        <v/>
      </c>
      <c r="P44" s="621">
        <f>SUM(P42:P43)</f>
        <v/>
      </c>
      <c r="Q44" s="580">
        <f>SUM(K44+O44+P44)</f>
        <v/>
      </c>
      <c r="R44" s="621" t="inlineStr"/>
      <c r="S44" s="239">
        <f>K44/(F44/((YEAR(E42)*12+MONTH(E42))-(YEAR(D42)*12+MONTH(D42))+1))</f>
        <v/>
      </c>
      <c r="T44" s="240">
        <f>G44/F44</f>
        <v/>
      </c>
      <c r="U44" s="621">
        <f>F44-G44</f>
        <v/>
      </c>
      <c r="V44" s="241">
        <f>V42</f>
        <v/>
      </c>
      <c r="W44" s="242">
        <f>Q44/V42</f>
        <v/>
      </c>
      <c r="X44" s="658">
        <f>V42-Q44</f>
        <v/>
      </c>
      <c r="Y44" s="651" t="inlineStr"/>
      <c r="Z44" s="651" t="inlineStr"/>
      <c r="AA44" s="651" t="inlineStr"/>
      <c r="AB44" s="651" t="inlineStr"/>
      <c r="AC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3939.750923</v>
      </c>
      <c r="H45" s="589" t="n">
        <v>1174.571385</v>
      </c>
      <c r="I45" s="589" t="n">
        <v>0</v>
      </c>
      <c r="J45" s="589" t="n">
        <v>0</v>
      </c>
      <c r="K45" s="589">
        <f>SUM(H45:J45)</f>
        <v/>
      </c>
      <c r="L45" s="118" t="n">
        <v>1396.194268</v>
      </c>
      <c r="M45" s="118" t="n">
        <v>0</v>
      </c>
      <c r="N45" s="118" t="n">
        <v>1368.98527</v>
      </c>
      <c r="O45" s="118">
        <f>SUM(L45:N45)</f>
        <v/>
      </c>
      <c r="P45" s="118" t="n">
        <v>7197.089118</v>
      </c>
      <c r="Q45" s="187">
        <f>SUM(K45+O45+P45)</f>
        <v/>
      </c>
      <c r="R45" s="526" t="inlineStr"/>
      <c r="S45" s="122">
        <f>K45/(F45/((YEAR(E45)*12+MONTH(E45))-(YEAR(D45)*12+MONTH(D45))+1))</f>
        <v/>
      </c>
      <c r="T45" s="122">
        <f>G45/F45</f>
        <v/>
      </c>
      <c r="U45" s="587">
        <f>F45-G45</f>
        <v/>
      </c>
      <c r="V45" s="244" t="n">
        <v>125710</v>
      </c>
      <c r="W45" s="171">
        <f>W49</f>
        <v/>
      </c>
      <c r="X45" s="659">
        <f>X49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9993.472411999999</v>
      </c>
      <c r="H46" s="85" t="n">
        <v>2744.172418</v>
      </c>
      <c r="I46" s="85" t="n">
        <v>0</v>
      </c>
      <c r="J46" s="85" t="n">
        <v>0</v>
      </c>
      <c r="K46" s="85">
        <f>SUM(H46:J46)</f>
        <v/>
      </c>
      <c r="L46" s="85" t="n">
        <v>1566.390968</v>
      </c>
      <c r="M46" s="85" t="n">
        <v>1037.679365</v>
      </c>
      <c r="N46" s="85" t="n">
        <v>311.654822</v>
      </c>
      <c r="O46" s="118">
        <f>SUM(L46:N46)</f>
        <v/>
      </c>
      <c r="P46" s="118" t="n">
        <v>4333.574839</v>
      </c>
      <c r="Q46" s="187">
        <f>SUM(K46+O46+P46)</f>
        <v/>
      </c>
      <c r="R46" s="500" t="n"/>
      <c r="S46" s="91">
        <f>K46/(F46/((YEAR(E46)*12+MONTH(E46))-(YEAR(D46)*12+MONTH(D46))+1))</f>
        <v/>
      </c>
      <c r="T46" s="91">
        <f>G46/F46</f>
        <v/>
      </c>
      <c r="U46" s="567">
        <f>F46-G46</f>
        <v/>
      </c>
      <c r="V46" s="626" t="n"/>
      <c r="W46" s="500" t="n"/>
      <c r="X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12398.261869</v>
      </c>
      <c r="H47" s="85" t="n">
        <v>2984.802858</v>
      </c>
      <c r="I47" s="85" t="n">
        <v>0</v>
      </c>
      <c r="J47" s="85" t="n">
        <v>0</v>
      </c>
      <c r="K47" s="85">
        <f>SUM(H47:J47)</f>
        <v/>
      </c>
      <c r="L47" s="85" t="n">
        <v>3065.24731</v>
      </c>
      <c r="M47" s="85" t="n">
        <v>0</v>
      </c>
      <c r="N47" s="85" t="n">
        <v>1466.452941</v>
      </c>
      <c r="O47" s="85">
        <f>SUM(L47:N47)</f>
        <v/>
      </c>
      <c r="P47" s="85" t="n">
        <v>4881.758761</v>
      </c>
      <c r="Q47" s="187">
        <f>SUM(K47+O47+P47)</f>
        <v/>
      </c>
      <c r="R47" s="500" t="n"/>
      <c r="S47" s="91">
        <f>K47/(F47/((YEAR(E47)*12+MONTH(E47))-(YEAR(D47)*12+MONTH(D47))+1))</f>
        <v/>
      </c>
      <c r="T47" s="91">
        <f>G47/F47</f>
        <v/>
      </c>
      <c r="U47" s="567">
        <f>F47-G47</f>
        <v/>
      </c>
      <c r="V47" s="626" t="n"/>
      <c r="W47" s="500" t="n"/>
      <c r="X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1955.292768</v>
      </c>
      <c r="I48" s="100" t="n">
        <v>0</v>
      </c>
      <c r="J48" s="100" t="n">
        <v>0</v>
      </c>
      <c r="K48" s="100">
        <f>SUM(H48:J48)</f>
        <v/>
      </c>
      <c r="L48" s="100" t="n">
        <v>2837.047697</v>
      </c>
      <c r="M48" s="100" t="n">
        <v>0</v>
      </c>
      <c r="N48" s="100" t="n">
        <v>460.414785</v>
      </c>
      <c r="O48" s="100">
        <f>SUM(L48:N48)</f>
        <v/>
      </c>
      <c r="P48" s="100" t="n">
        <v>2547.377488</v>
      </c>
      <c r="Q48" s="187">
        <f>SUM(K48+O48+P48)</f>
        <v/>
      </c>
      <c r="R48" s="501" t="n"/>
      <c r="S48" s="103" t="inlineStr"/>
      <c r="T48" s="205">
        <f>G48/F48</f>
        <v/>
      </c>
      <c r="U48" s="576">
        <f>F48-G48</f>
        <v/>
      </c>
      <c r="V48" s="628" t="n"/>
      <c r="W48" s="513" t="n"/>
      <c r="X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0">
        <f>SUM(L45:L48)</f>
        <v/>
      </c>
      <c r="M49" s="590">
        <f>SUM(M45:M48)</f>
        <v/>
      </c>
      <c r="N49" s="591">
        <f>SUM(N45:N48)</f>
        <v/>
      </c>
      <c r="O49" s="579">
        <f>SUM(O45:O48)</f>
        <v/>
      </c>
      <c r="P49" s="579">
        <f>SUM(P45:P48)</f>
        <v/>
      </c>
      <c r="Q49" s="646">
        <f>SUM(K49+O49+P49)</f>
        <v/>
      </c>
      <c r="R49" s="579" t="inlineStr"/>
      <c r="S49" s="220">
        <f>K49/(F49/((YEAR(E45)*12+MONTH(E45))-(YEAR(D45)*12+MONTH(D45))+1))</f>
        <v/>
      </c>
      <c r="T49" s="221">
        <f>G49/F49</f>
        <v/>
      </c>
      <c r="U49" s="598">
        <f>F49-G49</f>
        <v/>
      </c>
      <c r="V49" s="228">
        <f>V45</f>
        <v/>
      </c>
      <c r="W49" s="226">
        <f>Q49/V45</f>
        <v/>
      </c>
      <c r="X49" s="655">
        <f>V45-Q49</f>
        <v/>
      </c>
      <c r="Y49" s="651" t="inlineStr"/>
      <c r="Z49" s="651" t="inlineStr"/>
      <c r="AA49" s="651" t="inlineStr"/>
      <c r="AB49" s="651" t="inlineStr"/>
      <c r="AC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0">
        <f>O10+O16+O22+O27+O31+O35+O38+O41+O44+O49</f>
        <v/>
      </c>
      <c r="P50" s="661">
        <f>P10+P16+P22+P27+P31+P35+P38+P41+P44+P49</f>
        <v/>
      </c>
      <c r="Q50" s="662">
        <f>Q10+Q16+Q22+Q27+Q31+Q35+Q38+Q41+Q44+Q49</f>
        <v/>
      </c>
      <c r="R50" s="632" t="inlineStr"/>
      <c r="S50" s="249">
        <f>K50/(F50/((YEAR(E4)*12+MONTH(E4))-(YEAR(D4)*12+MONTH(D4))+1))</f>
        <v/>
      </c>
      <c r="T50" s="250">
        <f>G50/F50</f>
        <v/>
      </c>
      <c r="U50" s="663">
        <f>F50-G50</f>
        <v/>
      </c>
      <c r="V50" s="663">
        <f>V10+V16+V22+V27+V31+V35+V38+V41+V44+V49</f>
        <v/>
      </c>
      <c r="W50" s="252">
        <f>Q50/V50</f>
        <v/>
      </c>
      <c r="X50" s="663">
        <f>V50-Q50</f>
        <v/>
      </c>
      <c r="Y50" s="664" t="inlineStr"/>
      <c r="Z50" s="664" t="inlineStr"/>
      <c r="AA50" s="664" t="inlineStr"/>
      <c r="AB50" s="664" t="inlineStr"/>
      <c r="AC50" s="664" t="inlineStr"/>
    </row>
    <row r="51" ht="24" customFormat="1" customHeight="1" s="483">
      <c r="U51" s="633" t="inlineStr">
        <is>
          <t>公司目标</t>
        </is>
      </c>
      <c r="V51" s="633" t="n">
        <v>630987.38</v>
      </c>
      <c r="W51" s="252">
        <f>IF(V51&lt;&gt;0,Q50/V51,"")</f>
        <v/>
      </c>
      <c r="X51" s="663">
        <f>V51-Q50</f>
        <v/>
      </c>
    </row>
  </sheetData>
  <mergeCells count="85">
    <mergeCell ref="A45:A48"/>
    <mergeCell ref="U2:U3"/>
    <mergeCell ref="W45:W48"/>
    <mergeCell ref="R17:R21"/>
    <mergeCell ref="A2:A3"/>
    <mergeCell ref="C2:C3"/>
    <mergeCell ref="R42:R43"/>
    <mergeCell ref="E2:E3"/>
    <mergeCell ref="V36:V37"/>
    <mergeCell ref="W2:W3"/>
    <mergeCell ref="X11:X15"/>
    <mergeCell ref="V45:V48"/>
    <mergeCell ref="W42:W43"/>
    <mergeCell ref="X45:X48"/>
    <mergeCell ref="X4:X9"/>
    <mergeCell ref="V2:V3"/>
    <mergeCell ref="X2:X3"/>
    <mergeCell ref="R32:R34"/>
    <mergeCell ref="X23:X26"/>
    <mergeCell ref="A49:E49"/>
    <mergeCell ref="A32:A34"/>
    <mergeCell ref="N2:N3"/>
    <mergeCell ref="V23:V26"/>
    <mergeCell ref="F2:F3"/>
    <mergeCell ref="P2:P3"/>
    <mergeCell ref="H2:H3"/>
    <mergeCell ref="R36:R37"/>
    <mergeCell ref="X42:X43"/>
    <mergeCell ref="K2:K3"/>
    <mergeCell ref="V39:V40"/>
    <mergeCell ref="A23:A26"/>
    <mergeCell ref="O2:O3"/>
    <mergeCell ref="Q2:Q3"/>
    <mergeCell ref="V17:V21"/>
    <mergeCell ref="V28:V30"/>
    <mergeCell ref="X17:X21"/>
    <mergeCell ref="X28:X30"/>
    <mergeCell ref="A4:A9"/>
    <mergeCell ref="A38:E38"/>
    <mergeCell ref="A39:A40"/>
    <mergeCell ref="A31:E31"/>
    <mergeCell ref="S2:S3"/>
    <mergeCell ref="X39:X40"/>
    <mergeCell ref="V11:V15"/>
    <mergeCell ref="A36:A37"/>
    <mergeCell ref="B2:B3"/>
    <mergeCell ref="D2:D3"/>
    <mergeCell ref="V32:V34"/>
    <mergeCell ref="A17:A21"/>
    <mergeCell ref="R4:R9"/>
    <mergeCell ref="A16:E16"/>
    <mergeCell ref="V4:V9"/>
    <mergeCell ref="A28:A30"/>
    <mergeCell ref="W11:W15"/>
    <mergeCell ref="T2:T3"/>
    <mergeCell ref="A50:E50"/>
    <mergeCell ref="A11:A15"/>
    <mergeCell ref="R28:R30"/>
    <mergeCell ref="A22:E22"/>
    <mergeCell ref="W23:W26"/>
    <mergeCell ref="A44:E44"/>
    <mergeCell ref="V42:V43"/>
    <mergeCell ref="G2:G3"/>
    <mergeCell ref="X36:X37"/>
    <mergeCell ref="I2:I3"/>
    <mergeCell ref="R39:R40"/>
    <mergeCell ref="R23:R26"/>
    <mergeCell ref="W4:W9"/>
    <mergeCell ref="W36:W37"/>
    <mergeCell ref="M2:M3"/>
    <mergeCell ref="W17:W21"/>
    <mergeCell ref="A41:E41"/>
    <mergeCell ref="R45:R48"/>
    <mergeCell ref="A27:E27"/>
    <mergeCell ref="W28:W30"/>
    <mergeCell ref="A42:A43"/>
    <mergeCell ref="R11:R15"/>
    <mergeCell ref="X32:X34"/>
    <mergeCell ref="R2:R3"/>
    <mergeCell ref="J2:J3"/>
    <mergeCell ref="L2:L3"/>
    <mergeCell ref="A35:E35"/>
    <mergeCell ref="W39:W40"/>
    <mergeCell ref="A10:E10"/>
    <mergeCell ref="W32:W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33"/>
  </cols>
  <sheetData>
    <row r="1" ht="20.25" customFormat="1" customHeight="1" s="483">
      <c r="A1" s="754" t="inlineStr">
        <is>
          <t>私人财富管理部折标销售进度表-截止20260402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552" t="inlineStr">
        <is>
          <t>上半年时间进度</t>
        </is>
      </c>
      <c r="AB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传统202604</t>
        </is>
      </c>
      <c r="I2" s="506" t="inlineStr">
        <is>
          <t>保险202604</t>
        </is>
      </c>
      <c r="J2" s="506" t="inlineStr">
        <is>
          <t>管理费202604</t>
        </is>
      </c>
      <c r="K2" s="557" t="inlineStr">
        <is>
          <t>2026年
4月折标</t>
        </is>
      </c>
      <c r="L2" s="506" t="inlineStr">
        <is>
          <t>传统202603</t>
        </is>
      </c>
      <c r="M2" s="506" t="inlineStr">
        <is>
          <t>保险202603</t>
        </is>
      </c>
      <c r="N2" s="506" t="inlineStr">
        <is>
          <t>管理费202603</t>
        </is>
      </c>
      <c r="O2" s="557" t="inlineStr">
        <is>
          <t>2026年
3月折标</t>
        </is>
      </c>
      <c r="P2" s="506" t="inlineStr">
        <is>
          <t>传统202602</t>
        </is>
      </c>
      <c r="Q2" s="506" t="inlineStr">
        <is>
          <t>保险202602</t>
        </is>
      </c>
      <c r="R2" s="506" t="inlineStr">
        <is>
          <t>管理费202602</t>
        </is>
      </c>
      <c r="S2" s="557" t="inlineStr">
        <is>
          <t>2026年
2月折标</t>
        </is>
      </c>
      <c r="T2" s="557" t="inlineStr">
        <is>
          <t>2026年
1月折标</t>
        </is>
      </c>
      <c r="U2" s="634" t="inlineStr">
        <is>
          <t>2026年YTD折标</t>
        </is>
      </c>
      <c r="V2" s="558" t="inlineStr">
        <is>
          <t>2026年
1月销量
[USD]</t>
        </is>
      </c>
      <c r="W2" s="559" t="inlineStr">
        <is>
          <t>月度
完成率</t>
        </is>
      </c>
      <c r="X2" s="554" t="inlineStr">
        <is>
          <t>考核期完成率（累计）</t>
        </is>
      </c>
      <c r="Y2" s="560" t="inlineStr">
        <is>
          <t>考核期差距</t>
        </is>
      </c>
      <c r="Z2" s="561" t="inlineStr">
        <is>
          <t>财富中心
上半年年任务</t>
        </is>
      </c>
      <c r="AA2" s="79" t="inlineStr">
        <is>
          <t>财富中心
上半年任务完成率</t>
        </is>
      </c>
      <c r="AB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9472.762554999999</v>
      </c>
      <c r="H4" s="85" t="n">
        <v>0</v>
      </c>
      <c r="I4" s="85" t="n">
        <v>0</v>
      </c>
      <c r="J4" s="85" t="n">
        <v>0</v>
      </c>
      <c r="K4" s="187">
        <f>SUM(H4:J4)</f>
        <v/>
      </c>
      <c r="L4" s="85" t="n">
        <v>1586.830925</v>
      </c>
      <c r="M4" s="85" t="n">
        <v>0</v>
      </c>
      <c r="N4" s="85" t="n">
        <v>0</v>
      </c>
      <c r="O4" s="187">
        <f>SUM(L4:N4)</f>
        <v/>
      </c>
      <c r="P4" s="85" t="n">
        <v>454.800547</v>
      </c>
      <c r="Q4" s="85" t="n">
        <v>0</v>
      </c>
      <c r="R4" s="85" t="n">
        <v>289.117436</v>
      </c>
      <c r="S4" s="187">
        <f>SUM(P4:R4)</f>
        <v/>
      </c>
      <c r="T4" s="187" t="n">
        <v>3311.566531</v>
      </c>
      <c r="U4" s="187">
        <f>SUM(K4+O4+S4+T4)</f>
        <v/>
      </c>
      <c r="V4" s="566" t="inlineStr"/>
      <c r="W4" s="91">
        <f>K4/(F4/((YEAR(E4)*12+MONTH(E4))-(YEAR(D4)*12+MONTH(D4))+1))</f>
        <v/>
      </c>
      <c r="X4" s="91">
        <f>G4/F4</f>
        <v/>
      </c>
      <c r="Y4" s="567">
        <f>F4-G4</f>
        <v/>
      </c>
      <c r="Z4" s="203" t="n">
        <v>141926.4</v>
      </c>
      <c r="AA4" s="91">
        <f>AA10</f>
        <v/>
      </c>
      <c r="AB4" s="569">
        <f>AB10</f>
        <v/>
      </c>
      <c r="AE4" s="570" t="inlineStr">
        <is>
          <t>开始日期</t>
        </is>
      </c>
      <c r="AF4" s="570" t="inlineStr">
        <is>
          <t>结束日期</t>
        </is>
      </c>
      <c r="AG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36230.025632</v>
      </c>
      <c r="H5" s="85" t="n">
        <v>259.7595</v>
      </c>
      <c r="I5" s="85" t="n">
        <v>0</v>
      </c>
      <c r="J5" s="85" t="n">
        <v>0</v>
      </c>
      <c r="K5" s="187">
        <f>SUM(H5:J5)</f>
        <v/>
      </c>
      <c r="L5" s="85" t="n">
        <v>1444.66245</v>
      </c>
      <c r="M5" s="85" t="n">
        <v>0</v>
      </c>
      <c r="N5" s="85" t="n">
        <v>0</v>
      </c>
      <c r="O5" s="187">
        <f>SUM(L5:N5)</f>
        <v/>
      </c>
      <c r="P5" s="85" t="n">
        <v>9688.821542</v>
      </c>
      <c r="Q5" s="85" t="n">
        <v>0</v>
      </c>
      <c r="R5" s="500" t="n"/>
      <c r="S5" s="187">
        <f>SUM(P5:R5)</f>
        <v/>
      </c>
      <c r="T5" s="188" t="n">
        <v>13116.995922</v>
      </c>
      <c r="U5" s="187">
        <f>SUM(K5+O5+S5+T5)</f>
        <v/>
      </c>
      <c r="V5" s="500" t="n"/>
      <c r="W5" s="91">
        <f>K5/(F5/((YEAR(E5)*12+MONTH(E5))-(YEAR(D5)*12+MONTH(D5))+1))</f>
        <v/>
      </c>
      <c r="X5" s="91">
        <f>G5/F5</f>
        <v/>
      </c>
      <c r="Y5" s="567">
        <f>F5-G5</f>
        <v/>
      </c>
      <c r="Z5" s="500" t="n"/>
      <c r="AA5" s="500" t="n"/>
      <c r="AB5" s="500" t="n"/>
      <c r="AE5" s="94" t="n">
        <v>46023</v>
      </c>
      <c r="AF5" s="94" t="n">
        <v>46203</v>
      </c>
      <c r="AG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3144.634313</v>
      </c>
      <c r="H6" s="85" t="n">
        <v>0</v>
      </c>
      <c r="I6" s="85" t="n">
        <v>0</v>
      </c>
      <c r="J6" s="85" t="n">
        <v>0</v>
      </c>
      <c r="K6" s="187">
        <f>SUM(H6:J6)</f>
        <v/>
      </c>
      <c r="L6" s="85" t="n">
        <v>500.150742</v>
      </c>
      <c r="M6" s="85" t="n">
        <v>0</v>
      </c>
      <c r="N6" s="85" t="n">
        <v>0</v>
      </c>
      <c r="O6" s="187">
        <f>SUM(L6:N6)</f>
        <v/>
      </c>
      <c r="P6" s="85" t="n">
        <v>267.1032</v>
      </c>
      <c r="Q6" s="85" t="n">
        <v>0</v>
      </c>
      <c r="R6" s="500" t="n"/>
      <c r="S6" s="187">
        <f>SUM(P6:R6)</f>
        <v/>
      </c>
      <c r="T6" s="187" t="n">
        <v>2351.885696</v>
      </c>
      <c r="U6" s="187">
        <f>SUM(K6+O6+S6+T6)</f>
        <v/>
      </c>
      <c r="V6" s="500" t="n"/>
      <c r="W6" s="91">
        <f>K6/(F6/((YEAR(E6)*12+MONTH(E6))-(YEAR(D6)*12+MONTH(D6))+1))</f>
        <v/>
      </c>
      <c r="X6" s="91">
        <f>G6/F6</f>
        <v/>
      </c>
      <c r="Y6" s="567">
        <f>F6-G6</f>
        <v/>
      </c>
      <c r="Z6" s="500" t="n"/>
      <c r="AA6" s="500" t="n"/>
      <c r="AB6" s="500" t="n"/>
      <c r="AE6" s="570" t="inlineStr">
        <is>
          <t>计算日期</t>
        </is>
      </c>
      <c r="AF6" s="570">
        <f>X5-W5</f>
        <v/>
      </c>
      <c r="AG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15920.887106</v>
      </c>
      <c r="H7" s="85" t="n">
        <v>1181.4894</v>
      </c>
      <c r="I7" s="85" t="n">
        <v>0</v>
      </c>
      <c r="J7" s="85" t="n">
        <v>0</v>
      </c>
      <c r="K7" s="187">
        <f>SUM(H7:J7)</f>
        <v/>
      </c>
      <c r="L7" s="85" t="n">
        <v>8704.796721000001</v>
      </c>
      <c r="M7" s="85" t="n">
        <v>0</v>
      </c>
      <c r="N7" s="85" t="n">
        <v>0</v>
      </c>
      <c r="O7" s="187">
        <f>SUM(L7:N7)</f>
        <v/>
      </c>
      <c r="P7" s="85" t="n">
        <v>1402.304143</v>
      </c>
      <c r="Q7" s="85" t="n">
        <v>742.65048</v>
      </c>
      <c r="R7" s="500" t="n"/>
      <c r="S7" s="187">
        <f>SUM(P7:R7)</f>
        <v/>
      </c>
      <c r="T7" s="187" t="n">
        <v>3459.265113</v>
      </c>
      <c r="U7" s="187">
        <f>SUM(K7+O7+S7+T7)</f>
        <v/>
      </c>
      <c r="V7" s="500" t="n"/>
      <c r="W7" s="91">
        <f>K7/(F7/((YEAR(E7)*12+MONTH(E7))-(YEAR(D7)*12+MONTH(D7))+1))</f>
        <v/>
      </c>
      <c r="X7" s="91">
        <f>G7/F7</f>
        <v/>
      </c>
      <c r="Y7" s="567">
        <f>F7-G7</f>
        <v/>
      </c>
      <c r="Z7" s="500" t="n"/>
      <c r="AA7" s="500" t="n"/>
      <c r="AB7" s="500" t="n"/>
      <c r="AE7" s="94" t="n">
        <v>46114</v>
      </c>
      <c r="AF7" s="204">
        <f>AF5-AE5+1</f>
        <v/>
      </c>
      <c r="AG7" s="70">
        <f>(AE7-AE5+1)/AF7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946.207931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0</v>
      </c>
      <c r="M8" s="85" t="n">
        <v>22785.2352</v>
      </c>
      <c r="N8" s="85" t="n">
        <v>0</v>
      </c>
      <c r="O8" s="187">
        <f>SUM(L8:N8)</f>
        <v/>
      </c>
      <c r="P8" s="85" t="n">
        <v>41.2776</v>
      </c>
      <c r="Q8" s="85" t="n">
        <v>0</v>
      </c>
      <c r="R8" s="500" t="n"/>
      <c r="S8" s="187">
        <f>SUM(P8:R8)</f>
        <v/>
      </c>
      <c r="T8" s="187" t="n">
        <v>746.88392</v>
      </c>
      <c r="U8" s="187">
        <f>SUM(K8+O8+S8+T8)</f>
        <v/>
      </c>
      <c r="V8" s="500" t="n"/>
      <c r="W8" s="91">
        <f>K8/(F8/((YEAR(E8)*12+MONTH(E8))-(YEAR(D8)*12+MONTH(D8))+1))</f>
        <v/>
      </c>
      <c r="X8" s="91">
        <f>G8/F8</f>
        <v/>
      </c>
      <c r="Y8" s="567">
        <f>F8-G8</f>
        <v/>
      </c>
      <c r="Z8" s="500" t="n"/>
      <c r="AA8" s="500" t="n"/>
      <c r="AB8" s="500" t="n"/>
      <c r="AE8" s="570" t="inlineStr"/>
      <c r="AF8" s="570" t="inlineStr"/>
      <c r="AG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100" t="n">
        <v>0</v>
      </c>
      <c r="M9" s="100" t="n">
        <v>0</v>
      </c>
      <c r="N9" s="100" t="n">
        <v>0</v>
      </c>
      <c r="O9" s="190">
        <f>SUM(L9:N9)</f>
        <v/>
      </c>
      <c r="P9" s="85" t="n">
        <v>0</v>
      </c>
      <c r="Q9" s="85" t="n">
        <v>0</v>
      </c>
      <c r="R9" s="501" t="n"/>
      <c r="S9" s="187">
        <f>SUM(P9:R9)</f>
        <v/>
      </c>
      <c r="T9" s="190" t="n">
        <v>0</v>
      </c>
      <c r="U9" s="187">
        <f>SUM(K9+O9+S9+T9)</f>
        <v/>
      </c>
      <c r="V9" s="501" t="n"/>
      <c r="W9" s="205">
        <f>K9/(F9/((YEAR(E9)*12+MONTH(E9))-(YEAR(D9)*12+MONTH(D9))+1))</f>
        <v/>
      </c>
      <c r="X9" s="205">
        <f>G9/F9</f>
        <v/>
      </c>
      <c r="Y9" s="576">
        <f>F9-G9</f>
        <v/>
      </c>
      <c r="Z9" s="501" t="n"/>
      <c r="AA9" s="501" t="n"/>
      <c r="AB9" s="501" t="n"/>
      <c r="AE9" s="570" t="inlineStr">
        <is>
          <t>计算日期</t>
        </is>
      </c>
      <c r="AF9" s="570" t="n">
        <v>365</v>
      </c>
      <c r="AG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SUM(Q4:Q9)</f>
        <v/>
      </c>
      <c r="R10" s="580">
        <f>SUM(R4:R9)</f>
        <v/>
      </c>
      <c r="S10" s="580">
        <f>SUM(S4:S9)</f>
        <v/>
      </c>
      <c r="T10" s="580">
        <f>SUM(T4:T9)</f>
        <v/>
      </c>
      <c r="U10" s="580">
        <f>SUM(K10+O10+S10+T10)</f>
        <v/>
      </c>
      <c r="V10" s="109" t="inlineStr"/>
      <c r="W10" s="207">
        <f>K10/(F10/((YEAR(E4)*12+MONTH(E4))-(YEAR(D4)*12+MONTH(D4))+1))</f>
        <v/>
      </c>
      <c r="X10" s="207">
        <f>G10/F10</f>
        <v/>
      </c>
      <c r="Y10" s="580">
        <f>F10-G10</f>
        <v/>
      </c>
      <c r="Z10" s="208">
        <f>Z4</f>
        <v/>
      </c>
      <c r="AA10" s="209">
        <f>U10/Z4</f>
        <v/>
      </c>
      <c r="AB10" s="650">
        <f>Z4-U10</f>
        <v/>
      </c>
      <c r="AC10" s="651" t="inlineStr"/>
      <c r="AD10" s="651" t="inlineStr"/>
      <c r="AE10" s="212" t="n">
        <v>46114</v>
      </c>
      <c r="AF10" s="651" t="inlineStr"/>
      <c r="AG10" s="213">
        <f>(AE10-DATE(YEAR(AE10),1,1)+1)/AF9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12835.719694</v>
      </c>
      <c r="H11" s="589" t="n">
        <v>3549.4056</v>
      </c>
      <c r="I11" s="589" t="n">
        <v>0</v>
      </c>
      <c r="J11" s="589" t="n">
        <v>0</v>
      </c>
      <c r="K11" s="589">
        <f>SUM(H11:J11)</f>
        <v/>
      </c>
      <c r="L11" s="589" t="n">
        <v>2659.960961</v>
      </c>
      <c r="M11" s="589" t="n">
        <v>0</v>
      </c>
      <c r="N11" s="589" t="n">
        <v>0</v>
      </c>
      <c r="O11" s="589">
        <f>SUM(L11:N11)</f>
        <v/>
      </c>
      <c r="P11" s="118" t="n">
        <v>0</v>
      </c>
      <c r="Q11" s="118" t="n">
        <v>0</v>
      </c>
      <c r="R11" s="118" t="n">
        <v>144.157177</v>
      </c>
      <c r="S11" s="118">
        <f>SUM(P11:R11)</f>
        <v/>
      </c>
      <c r="T11" s="118" t="n">
        <v>6482.195956</v>
      </c>
      <c r="U11" s="187">
        <f>SUM(K11+O11+S11+T11)</f>
        <v/>
      </c>
      <c r="V11" s="526" t="inlineStr"/>
      <c r="W11" s="122">
        <f>K11/(F11/((YEAR(E11)*12+MONTH(E11))-(YEAR(D11)*12+MONTH(D11))+1))</f>
        <v/>
      </c>
      <c r="X11" s="122">
        <f>G11/F11</f>
        <v/>
      </c>
      <c r="Y11" s="587">
        <f>F11-G11</f>
        <v/>
      </c>
      <c r="Z11" s="214" t="n">
        <v>84476.32000000001</v>
      </c>
      <c r="AA11" s="122">
        <f>AA16</f>
        <v/>
      </c>
      <c r="AB11" s="652">
        <f>AB16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11406.520192</v>
      </c>
      <c r="H12" s="85" t="n">
        <v>353.592346</v>
      </c>
      <c r="I12" s="85" t="n">
        <v>0</v>
      </c>
      <c r="J12" s="85" t="n">
        <v>0</v>
      </c>
      <c r="K12" s="85">
        <f>SUM(H12:J12)</f>
        <v/>
      </c>
      <c r="L12" s="85" t="n">
        <v>2574.496213</v>
      </c>
      <c r="M12" s="85" t="n">
        <v>2290.221825</v>
      </c>
      <c r="N12" s="85" t="n">
        <v>0</v>
      </c>
      <c r="O12" s="85">
        <f>SUM(L12:N12)</f>
        <v/>
      </c>
      <c r="P12" s="85" t="n">
        <v>745.691219</v>
      </c>
      <c r="Q12" s="85" t="n">
        <v>2330.36622</v>
      </c>
      <c r="R12" s="500" t="n"/>
      <c r="S12" s="85">
        <f>SUM(P12:R12)</f>
        <v/>
      </c>
      <c r="T12" s="85" t="n">
        <v>3042.835811</v>
      </c>
      <c r="U12" s="187">
        <f>SUM(K12+O12+S12+T12)</f>
        <v/>
      </c>
      <c r="V12" s="500" t="n"/>
      <c r="W12" s="91">
        <f>K12/(F12/((YEAR(E12)*12+MONTH(E12))-(YEAR(D12)*12+MONTH(D12))+1))</f>
        <v/>
      </c>
      <c r="X12" s="91">
        <f>G12/F12</f>
        <v/>
      </c>
      <c r="Y12" s="567">
        <f>F12-G12</f>
        <v/>
      </c>
      <c r="Z12" s="500" t="n"/>
      <c r="AA12" s="500" t="n"/>
      <c r="AB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43.4733</v>
      </c>
      <c r="M13" s="85" t="n">
        <v>0</v>
      </c>
      <c r="N13" s="85" t="n">
        <v>0</v>
      </c>
      <c r="O13" s="85">
        <f>SUM(L13:N13)</f>
        <v/>
      </c>
      <c r="P13" s="85" t="n">
        <v>0</v>
      </c>
      <c r="Q13" s="85" t="n">
        <v>0</v>
      </c>
      <c r="R13" s="500" t="n"/>
      <c r="S13" s="85">
        <f>SUM(P13:R13)</f>
        <v/>
      </c>
      <c r="T13" s="85" t="n">
        <v>0</v>
      </c>
      <c r="U13" s="187">
        <f>SUM(K13+O13+S13+T13)</f>
        <v/>
      </c>
      <c r="V13" s="500" t="n"/>
      <c r="W13" s="91">
        <f>K13/(F13/((YEAR(E13)*12+MONTH(E13))-(YEAR(D13)*12+MONTH(D13))+1))</f>
        <v/>
      </c>
      <c r="X13" s="91">
        <f>G13/F13</f>
        <v/>
      </c>
      <c r="Y13" s="567">
        <f>F13-G13</f>
        <v/>
      </c>
      <c r="Z13" s="500" t="n"/>
      <c r="AA13" s="500" t="n"/>
      <c r="AB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17115.15</v>
      </c>
      <c r="G14" s="565" t="n">
        <v>5134.212195</v>
      </c>
      <c r="H14" s="85" t="n">
        <v>398.502</v>
      </c>
      <c r="I14" s="85" t="n">
        <v>0</v>
      </c>
      <c r="J14" s="85" t="n">
        <v>0</v>
      </c>
      <c r="K14" s="85">
        <f>SUM(H14:J14)</f>
        <v/>
      </c>
      <c r="L14" s="85" t="n">
        <v>3510.80262</v>
      </c>
      <c r="M14" s="85" t="n">
        <v>0</v>
      </c>
      <c r="N14" s="85" t="n">
        <v>0</v>
      </c>
      <c r="O14" s="85">
        <f>SUM(L14:N14)</f>
        <v/>
      </c>
      <c r="P14" s="85" t="n">
        <v>1054.327266</v>
      </c>
      <c r="Q14" s="85" t="n">
        <v>0</v>
      </c>
      <c r="R14" s="500" t="n"/>
      <c r="S14" s="85">
        <f>SUM(P14:R14)</f>
        <v/>
      </c>
      <c r="T14" s="85" t="n">
        <v>692.512431</v>
      </c>
      <c r="U14" s="187">
        <f>SUM(K14+O14+S14+T14)</f>
        <v/>
      </c>
      <c r="V14" s="500" t="n"/>
      <c r="W14" s="91">
        <f>K14/(F14/((YEAR(E14)*12+MONTH(E14))-(YEAR(D14)*12+MONTH(D14))+1))</f>
        <v/>
      </c>
      <c r="X14" s="91">
        <f>G14/F14</f>
        <v/>
      </c>
      <c r="Y14" s="567">
        <f>F14-G14</f>
        <v/>
      </c>
      <c r="Z14" s="500" t="n"/>
      <c r="AA14" s="500" t="n"/>
      <c r="AB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856.9360799999999</v>
      </c>
      <c r="N15" s="100" t="n">
        <v>0</v>
      </c>
      <c r="O15" s="100">
        <f>SUM(L15:N15)</f>
        <v/>
      </c>
      <c r="P15" s="100" t="n">
        <v>0</v>
      </c>
      <c r="Q15" s="100" t="n">
        <v>0</v>
      </c>
      <c r="R15" s="501" t="n"/>
      <c r="S15" s="100">
        <f>SUM(P15:R15)</f>
        <v/>
      </c>
      <c r="T15" s="100" t="n">
        <v>0</v>
      </c>
      <c r="U15" s="187">
        <f>SUM(K15+O15+S15+T15)</f>
        <v/>
      </c>
      <c r="V15" s="501" t="n"/>
      <c r="W15" s="205">
        <f>K15/(F15/((YEAR(E15)*12+MONTH(E15))-(YEAR(D15)*12+MONTH(D15))+1))</f>
        <v/>
      </c>
      <c r="X15" s="205">
        <f>G15/F15</f>
        <v/>
      </c>
      <c r="Y15" s="576">
        <f>F15-G15</f>
        <v/>
      </c>
      <c r="Z15" s="501" t="n"/>
      <c r="AA15" s="501" t="n"/>
      <c r="AB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SUM(Q11:Q15)</f>
        <v/>
      </c>
      <c r="R16" s="580">
        <f>SUM(R11:R15)</f>
        <v/>
      </c>
      <c r="S16" s="580">
        <f>SUM(S11:S15)</f>
        <v/>
      </c>
      <c r="T16" s="580">
        <f>SUM(T11:T15)</f>
        <v/>
      </c>
      <c r="U16" s="580">
        <f>SUM(K16+O16+S16+T16)</f>
        <v/>
      </c>
      <c r="V16" s="109" t="inlineStr"/>
      <c r="W16" s="207">
        <f>K16/(F16/((YEAR(E11)*12+MONTH(E11))-(YEAR(D11)*12+MONTH(D11))+1))</f>
        <v/>
      </c>
      <c r="X16" s="207">
        <f>G16/F16</f>
        <v/>
      </c>
      <c r="Y16" s="580">
        <f>F16-G16</f>
        <v/>
      </c>
      <c r="Z16" s="208">
        <f>Z11</f>
        <v/>
      </c>
      <c r="AA16" s="209">
        <f>U16/Z11</f>
        <v/>
      </c>
      <c r="AB16" s="650">
        <f>Z11-U16</f>
        <v/>
      </c>
      <c r="AC16" s="651" t="inlineStr"/>
      <c r="AD16" s="651" t="inlineStr"/>
      <c r="AE16" s="651" t="inlineStr"/>
      <c r="AF16" s="651" t="inlineStr"/>
      <c r="AG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46054</v>
      </c>
      <c r="E17" s="638" t="n">
        <v>46203</v>
      </c>
      <c r="F17" s="116" t="n">
        <v>25870.625</v>
      </c>
      <c r="G17" s="586" t="n">
        <v>22054.390299</v>
      </c>
      <c r="H17" s="589" t="n">
        <v>0</v>
      </c>
      <c r="I17" s="589" t="n">
        <v>0</v>
      </c>
      <c r="J17" s="589" t="n">
        <v>0</v>
      </c>
      <c r="K17" s="589">
        <f>SUM(H17:J17)</f>
        <v/>
      </c>
      <c r="L17" s="589" t="n">
        <v>3402.898586</v>
      </c>
      <c r="M17" s="589" t="n">
        <v>14793.1056</v>
      </c>
      <c r="N17" s="589" t="n">
        <v>0</v>
      </c>
      <c r="O17" s="589">
        <f>SUM(L17:N17)</f>
        <v/>
      </c>
      <c r="P17" s="118" t="n">
        <v>3557.362586</v>
      </c>
      <c r="Q17" s="118" t="n">
        <v>0</v>
      </c>
      <c r="R17" s="118" t="n">
        <v>301.023526</v>
      </c>
      <c r="S17" s="118">
        <f>SUM(P17:R17)</f>
        <v/>
      </c>
      <c r="T17" s="118" t="n">
        <v>8988.571889000001</v>
      </c>
      <c r="U17" s="187">
        <f>SUM(K17+O17+S17+T17)</f>
        <v/>
      </c>
      <c r="V17" s="526" t="inlineStr"/>
      <c r="W17" s="122">
        <f>K17/(F17/((YEAR(E17)*12+MONTH(E17))-(YEAR(D17)*12+MONTH(D17))+1))</f>
        <v/>
      </c>
      <c r="X17" s="122">
        <f>G17/F17</f>
        <v/>
      </c>
      <c r="Y17" s="587">
        <f>F17-G17</f>
        <v/>
      </c>
      <c r="Z17" s="214" t="n">
        <v>62089.5</v>
      </c>
      <c r="AA17" s="122">
        <f>AA22</f>
        <v/>
      </c>
      <c r="AB17" s="652">
        <f>AB22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5129.371821</v>
      </c>
      <c r="H18" s="85" t="n">
        <v>0</v>
      </c>
      <c r="I18" s="85" t="n">
        <v>0</v>
      </c>
      <c r="J18" s="85" t="n">
        <v>0</v>
      </c>
      <c r="K18" s="85">
        <f>SUM(H18:J18)</f>
        <v/>
      </c>
      <c r="L18" s="85" t="n">
        <v>1305.1575</v>
      </c>
      <c r="M18" s="85" t="n">
        <v>1178.4864</v>
      </c>
      <c r="N18" s="85" t="n">
        <v>0</v>
      </c>
      <c r="O18" s="85">
        <f>SUM(L18:N18)</f>
        <v/>
      </c>
      <c r="P18" s="85" t="n">
        <v>0</v>
      </c>
      <c r="Q18" s="85" t="n">
        <v>0</v>
      </c>
      <c r="R18" s="500" t="n"/>
      <c r="S18" s="85">
        <f>SUM(P18:R18)</f>
        <v/>
      </c>
      <c r="T18" s="85" t="n">
        <v>2630.55</v>
      </c>
      <c r="U18" s="187">
        <f>SUM(K18+O18+S18+T18)</f>
        <v/>
      </c>
      <c r="V18" s="500" t="n"/>
      <c r="W18" s="91">
        <f>K18/(F18/((YEAR(E18)*12+MONTH(E18))-(YEAR(D18)*12+MONTH(D18))+1))</f>
        <v/>
      </c>
      <c r="X18" s="91">
        <f>G18/F18</f>
        <v/>
      </c>
      <c r="Y18" s="567">
        <f>F18-G18</f>
        <v/>
      </c>
      <c r="Z18" s="500" t="n"/>
      <c r="AA18" s="500" t="n"/>
      <c r="AB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0</v>
      </c>
      <c r="O19" s="85">
        <f>SUM(L19:N19)</f>
        <v/>
      </c>
      <c r="P19" s="85" t="n">
        <v>0</v>
      </c>
      <c r="Q19" s="85" t="n">
        <v>0</v>
      </c>
      <c r="R19" s="500" t="n"/>
      <c r="S19" s="85">
        <f>SUM(P19:R19)</f>
        <v/>
      </c>
      <c r="T19" s="85" t="n">
        <v>9.587089000000001</v>
      </c>
      <c r="U19" s="187">
        <f>SUM(K19+O19+S19+T19)</f>
        <v/>
      </c>
      <c r="V19" s="500" t="n"/>
      <c r="W19" s="91">
        <f>K19/(F19/((YEAR(E19)*12+MONTH(E19))-(YEAR(D19)*12+MONTH(D19))+1))</f>
        <v/>
      </c>
      <c r="X19" s="91">
        <f>G19/F19</f>
        <v/>
      </c>
      <c r="Y19" s="567">
        <f>F19-G19</f>
        <v/>
      </c>
      <c r="Z19" s="500" t="n"/>
      <c r="AA19" s="500" t="n"/>
      <c r="AB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0</v>
      </c>
      <c r="M20" s="85" t="n">
        <v>0</v>
      </c>
      <c r="N20" s="85" t="n">
        <v>0</v>
      </c>
      <c r="O20" s="85">
        <f>SUM(L20:N20)</f>
        <v/>
      </c>
      <c r="P20" s="85" t="n">
        <v>25.0224</v>
      </c>
      <c r="Q20" s="85" t="n">
        <v>1050.9408</v>
      </c>
      <c r="R20" s="500" t="n"/>
      <c r="S20" s="85">
        <f>SUM(P20:R20)</f>
        <v/>
      </c>
      <c r="T20" s="85" t="n">
        <v>125.112</v>
      </c>
      <c r="U20" s="187">
        <f>SUM(K20+O20+S20+T20)</f>
        <v/>
      </c>
      <c r="V20" s="500" t="n"/>
      <c r="W20" s="91">
        <f>K20/(F20/((YEAR(E20)*12+MONTH(E20))-(YEAR(D20)*12+MONTH(D20))+1))</f>
        <v/>
      </c>
      <c r="X20" s="91">
        <f>G20/F20</f>
        <v/>
      </c>
      <c r="Y20" s="567">
        <f>F20-G20</f>
        <v/>
      </c>
      <c r="Z20" s="500" t="n"/>
      <c r="AA20" s="500" t="n"/>
      <c r="AB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00" t="n">
        <v>0</v>
      </c>
      <c r="R21" s="501" t="n"/>
      <c r="S21" s="100">
        <f>SUM(P21:R21)</f>
        <v/>
      </c>
      <c r="T21" s="100" t="n">
        <v>0</v>
      </c>
      <c r="U21" s="187">
        <f>SUM(K21+O21+S21+T21)</f>
        <v/>
      </c>
      <c r="V21" s="501" t="n"/>
      <c r="W21" s="205">
        <f>K21/(F21/((YEAR(E21)*12+MONTH(E21))-(YEAR(D21)*12+MONTH(D21))+1))</f>
        <v/>
      </c>
      <c r="X21" s="205">
        <f>G21/F21</f>
        <v/>
      </c>
      <c r="Y21" s="576">
        <f>F21-G21</f>
        <v/>
      </c>
      <c r="Z21" s="501" t="n"/>
      <c r="AA21" s="501" t="n"/>
      <c r="AB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SUM(Q17:Q21)</f>
        <v/>
      </c>
      <c r="R22" s="580">
        <f>SUM(R17:R21)</f>
        <v/>
      </c>
      <c r="S22" s="580">
        <f>SUM(S17:S21)</f>
        <v/>
      </c>
      <c r="T22" s="580">
        <f>SUM(T17:T21)</f>
        <v/>
      </c>
      <c r="U22" s="580">
        <f>SUM(K22+O22+S22+T22)</f>
        <v/>
      </c>
      <c r="V22" s="109" t="inlineStr"/>
      <c r="W22" s="207">
        <f>K22/(F22/((YEAR(E17)*12+MONTH(E17))-(YEAR(D17)*12+MONTH(D17))+1))</f>
        <v/>
      </c>
      <c r="X22" s="207">
        <f>G22/F22</f>
        <v/>
      </c>
      <c r="Y22" s="580">
        <f>F22-G22</f>
        <v/>
      </c>
      <c r="Z22" s="208">
        <f>Z17</f>
        <v/>
      </c>
      <c r="AA22" s="209">
        <f>U22/Z17</f>
        <v/>
      </c>
      <c r="AB22" s="650">
        <f>Z17-U22</f>
        <v/>
      </c>
      <c r="AC22" s="651" t="inlineStr"/>
      <c r="AD22" s="651" t="inlineStr"/>
      <c r="AE22" s="651" t="inlineStr"/>
      <c r="AF22" s="651" t="inlineStr"/>
      <c r="AG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553.815261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653" t="n">
        <v>0</v>
      </c>
      <c r="M23" s="653" t="n">
        <v>0</v>
      </c>
      <c r="N23" s="653" t="n">
        <v>0</v>
      </c>
      <c r="O23" s="653">
        <f>SUM(L23:N23)</f>
        <v/>
      </c>
      <c r="P23" s="118" t="n">
        <v>190.944681</v>
      </c>
      <c r="Q23" s="118" t="n">
        <v>0</v>
      </c>
      <c r="R23" s="123" t="n">
        <v>71.82064699999999</v>
      </c>
      <c r="S23" s="118">
        <f>SUM(P23:R23)</f>
        <v/>
      </c>
      <c r="T23" s="118" t="n">
        <v>291.049933</v>
      </c>
      <c r="U23" s="187">
        <f>SUM(K23+O23+S23+T23)</f>
        <v/>
      </c>
      <c r="V23" s="526" t="inlineStr"/>
      <c r="W23" s="122">
        <f>K23/(F23/((YEAR(E23)*12+MONTH(E23))-(YEAR(D23)*12+MONTH(D23))+1))</f>
        <v/>
      </c>
      <c r="X23" s="122">
        <f>G23/F23</f>
        <v/>
      </c>
      <c r="Y23" s="587">
        <f>F23-G23</f>
        <v/>
      </c>
      <c r="Z23" s="217" t="n">
        <v>64020.88</v>
      </c>
      <c r="AA23" s="218">
        <f>AA27</f>
        <v/>
      </c>
      <c r="AB23" s="652">
        <f>AB27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4833.587592</v>
      </c>
      <c r="H24" s="126" t="n">
        <v>0</v>
      </c>
      <c r="I24" s="126" t="n">
        <v>0</v>
      </c>
      <c r="J24" s="126" t="n">
        <v>0</v>
      </c>
      <c r="K24" s="85">
        <f>SUM(H24:J24)</f>
        <v/>
      </c>
      <c r="L24" s="126" t="n">
        <v>198.1746</v>
      </c>
      <c r="M24" s="126" t="n">
        <v>0</v>
      </c>
      <c r="N24" s="126" t="n">
        <v>0</v>
      </c>
      <c r="O24" s="85">
        <f>SUM(L24:N24)</f>
        <v/>
      </c>
      <c r="P24" s="85" t="n">
        <v>0.8469</v>
      </c>
      <c r="Q24" s="85" t="n">
        <v>4558.0158</v>
      </c>
      <c r="R24" s="530" t="n"/>
      <c r="S24" s="85">
        <f>SUM(P24:R24)</f>
        <v/>
      </c>
      <c r="T24" s="85" t="n">
        <v>21.644177</v>
      </c>
      <c r="U24" s="187">
        <f>SUM(K24+O24+S24+T24)</f>
        <v/>
      </c>
      <c r="V24" s="500" t="n"/>
      <c r="W24" s="91">
        <f>K24/(F24/((YEAR(E24)*12+MONTH(E24))-(YEAR(D24)*12+MONTH(D24))+1))</f>
        <v/>
      </c>
      <c r="X24" s="91">
        <f>G24/F24</f>
        <v/>
      </c>
      <c r="Y24" s="567">
        <f>F24-G24</f>
        <v/>
      </c>
      <c r="Z24" s="500" t="n"/>
      <c r="AA24" s="500" t="n"/>
      <c r="AB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7990.634016</v>
      </c>
      <c r="H25" s="126" t="n">
        <v>1344.47274</v>
      </c>
      <c r="I25" s="126" t="n">
        <v>0</v>
      </c>
      <c r="J25" s="126" t="n">
        <v>0</v>
      </c>
      <c r="K25" s="85">
        <f>SUM(H25:J25)</f>
        <v/>
      </c>
      <c r="L25" s="126" t="n">
        <v>220.16475</v>
      </c>
      <c r="M25" s="126" t="n">
        <v>0</v>
      </c>
      <c r="N25" s="126" t="n">
        <v>0</v>
      </c>
      <c r="O25" s="85">
        <f>SUM(L25:N25)</f>
        <v/>
      </c>
      <c r="P25" s="85" t="n">
        <v>3847.561596</v>
      </c>
      <c r="Q25" s="85" t="n">
        <v>0</v>
      </c>
      <c r="R25" s="530" t="n"/>
      <c r="S25" s="85">
        <f>SUM(P25:R25)</f>
        <v/>
      </c>
      <c r="T25" s="85" t="n">
        <v>2540.064804</v>
      </c>
      <c r="U25" s="187">
        <f>SUM(K25+O25+S25+T25)</f>
        <v/>
      </c>
      <c r="V25" s="500" t="n"/>
      <c r="W25" s="91">
        <f>K25/(F25/((YEAR(E25)*12+MONTH(E25))-(YEAR(D25)*12+MONTH(D25))+1))</f>
        <v/>
      </c>
      <c r="X25" s="91">
        <f>G25/F25</f>
        <v/>
      </c>
      <c r="Y25" s="567">
        <f>F25-G25</f>
        <v/>
      </c>
      <c r="Z25" s="500" t="n"/>
      <c r="AA25" s="500" t="n"/>
      <c r="AB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0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27" t="n">
        <v>0</v>
      </c>
      <c r="M26" s="127" t="n">
        <v>0</v>
      </c>
      <c r="N26" s="127" t="n">
        <v>0</v>
      </c>
      <c r="O26" s="100">
        <f>SUM(L26:N26)</f>
        <v/>
      </c>
      <c r="P26" s="100" t="n">
        <v>0</v>
      </c>
      <c r="Q26" s="100" t="n">
        <v>0</v>
      </c>
      <c r="R26" s="532" t="n"/>
      <c r="S26" s="100">
        <f>SUM(P26:R26)</f>
        <v/>
      </c>
      <c r="T26" s="100" t="n">
        <v>0</v>
      </c>
      <c r="U26" s="187">
        <f>SUM(K26+O26+S26+T26)</f>
        <v/>
      </c>
      <c r="V26" s="501" t="n"/>
      <c r="W26" s="91">
        <f>K26/(F26/((YEAR(E26)*12+MONTH(E26))-(YEAR(D26)*12+MONTH(D26))+1))</f>
        <v/>
      </c>
      <c r="X26" s="91">
        <f>G26/F26</f>
        <v/>
      </c>
      <c r="Y26" s="567">
        <f>F26-G26</f>
        <v/>
      </c>
      <c r="Z26" s="513" t="n"/>
      <c r="AA26" s="513" t="n"/>
      <c r="AB26" s="501" t="n"/>
      <c r="AE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1">
        <f>SUM(L23:L26)</f>
        <v/>
      </c>
      <c r="M27" s="591">
        <f>SUM(M23:M26)</f>
        <v/>
      </c>
      <c r="N27" s="591">
        <f>SUM(N23:N26)</f>
        <v/>
      </c>
      <c r="O27" s="579">
        <f>SUM(O23:O26)</f>
        <v/>
      </c>
      <c r="P27" s="590">
        <f>SUM(P23:P26)</f>
        <v/>
      </c>
      <c r="Q27" s="590">
        <f>SUM(Q23:Q26)</f>
        <v/>
      </c>
      <c r="R27" s="591">
        <f>SUM(R23:R26)</f>
        <v/>
      </c>
      <c r="S27" s="579">
        <f>SUM(S23:S26)</f>
        <v/>
      </c>
      <c r="T27" s="579">
        <f>SUM(T23:T26)</f>
        <v/>
      </c>
      <c r="U27" s="580">
        <f>SUM(K27+O27+S27+T27)</f>
        <v/>
      </c>
      <c r="V27" s="579" t="inlineStr"/>
      <c r="W27" s="220">
        <f>K27/(F27/((YEAR(E23)*12+MONTH(E23))-(YEAR(D23)*12+MONTH(D23))+1))</f>
        <v/>
      </c>
      <c r="X27" s="221">
        <f>G27/F27</f>
        <v/>
      </c>
      <c r="Y27" s="579">
        <f>F27-G27</f>
        <v/>
      </c>
      <c r="Z27" s="222">
        <f>Z23</f>
        <v/>
      </c>
      <c r="AA27" s="220">
        <f>U27/Z23</f>
        <v/>
      </c>
      <c r="AB27" s="654">
        <f>Z23-U27</f>
        <v/>
      </c>
      <c r="AC27" s="651" t="inlineStr"/>
      <c r="AD27" s="651" t="inlineStr"/>
      <c r="AE27" s="651" t="inlineStr"/>
      <c r="AF27" s="651" t="inlineStr"/>
      <c r="AG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2734.42947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653" t="n">
        <v>0</v>
      </c>
      <c r="M28" s="653" t="n">
        <v>0</v>
      </c>
      <c r="N28" s="653" t="n">
        <v>0</v>
      </c>
      <c r="O28" s="653">
        <f>SUM(L28:N28)</f>
        <v/>
      </c>
      <c r="P28" s="118" t="n">
        <v>153.11976</v>
      </c>
      <c r="Q28" s="118" t="n">
        <v>0</v>
      </c>
      <c r="R28" s="118" t="n">
        <v>551.791169</v>
      </c>
      <c r="S28" s="118">
        <f>SUM(P28:R28)</f>
        <v/>
      </c>
      <c r="T28" s="118" t="n">
        <v>2029.518541</v>
      </c>
      <c r="U28" s="187">
        <f>SUM(K28+O28+S28+T28)</f>
        <v/>
      </c>
      <c r="V28" s="526" t="inlineStr"/>
      <c r="W28" s="122">
        <f>K28/(F28/((YEAR(E28)*12+MONTH(E28))-(YEAR(D28)*12+MONTH(D28))+1))</f>
        <v/>
      </c>
      <c r="X28" s="122">
        <f>G28/F28</f>
        <v/>
      </c>
      <c r="Y28" s="587">
        <f>F28-G28</f>
        <v/>
      </c>
      <c r="Z28" s="214" t="n">
        <v>39429.22</v>
      </c>
      <c r="AA28" s="122">
        <f>AA31</f>
        <v/>
      </c>
      <c r="AB28" s="652">
        <f>AB31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29408.323178</v>
      </c>
      <c r="H29" s="85" t="n">
        <v>0</v>
      </c>
      <c r="I29" s="85" t="n">
        <v>0</v>
      </c>
      <c r="J29" s="85" t="n">
        <v>0</v>
      </c>
      <c r="K29" s="85">
        <f>SUM(H29:J29)</f>
        <v/>
      </c>
      <c r="L29" s="85" t="n">
        <v>1955.239079</v>
      </c>
      <c r="M29" s="85" t="n">
        <v>0</v>
      </c>
      <c r="N29" s="85" t="n">
        <v>0</v>
      </c>
      <c r="O29" s="85">
        <f>SUM(L29:N29)</f>
        <v/>
      </c>
      <c r="P29" s="85" t="n">
        <v>2346.171162</v>
      </c>
      <c r="Q29" s="85" t="n">
        <v>0</v>
      </c>
      <c r="R29" s="500" t="n"/>
      <c r="S29" s="85">
        <f>SUM(P29:R29)</f>
        <v/>
      </c>
      <c r="T29" s="85" t="n">
        <v>24919.495747</v>
      </c>
      <c r="U29" s="187">
        <f>SUM(K29+O29+S29+T29)</f>
        <v/>
      </c>
      <c r="V29" s="500" t="n"/>
      <c r="W29" s="91">
        <f>K29/(F29/((YEAR(E29)*12+MONTH(E29))-(YEAR(D29)*12+MONTH(D29))+1))</f>
        <v/>
      </c>
      <c r="X29" s="91">
        <f>G29/F29</f>
        <v/>
      </c>
      <c r="Y29" s="567">
        <f>F29-G29</f>
        <v/>
      </c>
      <c r="Z29" s="500" t="n"/>
      <c r="AA29" s="500" t="n"/>
      <c r="AB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1136.371735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0</v>
      </c>
      <c r="O30" s="100">
        <f>SUM(L30:N30)</f>
        <v/>
      </c>
      <c r="P30" s="100" t="n">
        <v>0</v>
      </c>
      <c r="Q30" s="100" t="n">
        <v>0</v>
      </c>
      <c r="R30" s="501" t="n"/>
      <c r="S30" s="100">
        <f>SUM(P30:R30)</f>
        <v/>
      </c>
      <c r="T30" s="100" t="n">
        <v>66.75825</v>
      </c>
      <c r="U30" s="187">
        <f>SUM(K30+O30+S30+T30)</f>
        <v/>
      </c>
      <c r="V30" s="501" t="n"/>
      <c r="W30" s="205">
        <f>K30/(F30/((YEAR(E30)*12+MONTH(E30))-(YEAR(D30)*12+MONTH(D30))+1))</f>
        <v/>
      </c>
      <c r="X30" s="205">
        <f>G30/F30</f>
        <v/>
      </c>
      <c r="Y30" s="576">
        <f>F30-G30</f>
        <v/>
      </c>
      <c r="Z30" s="501" t="n"/>
      <c r="AA30" s="501" t="n"/>
      <c r="AB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1">
        <f>SUM(L28:L30)</f>
        <v/>
      </c>
      <c r="M31" s="591">
        <f>SUM(M28:M30)</f>
        <v/>
      </c>
      <c r="N31" s="591">
        <f>SUM(N28:N30)</f>
        <v/>
      </c>
      <c r="O31" s="579">
        <f>SUM(O28:O30)</f>
        <v/>
      </c>
      <c r="P31" s="590">
        <f>SUM(P28:P30)</f>
        <v/>
      </c>
      <c r="Q31" s="590">
        <f>SUM(Q28:Q30)</f>
        <v/>
      </c>
      <c r="R31" s="591">
        <f>SUM(R28:R30)</f>
        <v/>
      </c>
      <c r="S31" s="579">
        <f>SUM(S28:S30)</f>
        <v/>
      </c>
      <c r="T31" s="579">
        <f>SUM(T28:T30)</f>
        <v/>
      </c>
      <c r="U31" s="580">
        <f>SUM(K31+O31+S31+T31)</f>
        <v/>
      </c>
      <c r="V31" s="579" t="inlineStr"/>
      <c r="W31" s="220">
        <f>K31/(F31/((YEAR(E28)*12+MONTH(E28))-(YEAR(D28)*12+MONTH(D28))+1))</f>
        <v/>
      </c>
      <c r="X31" s="221">
        <f>G31/F31</f>
        <v/>
      </c>
      <c r="Y31" s="579">
        <f>F31-G31</f>
        <v/>
      </c>
      <c r="Z31" s="222">
        <f>Z28</f>
        <v/>
      </c>
      <c r="AA31" s="220">
        <f>U31/Z28</f>
        <v/>
      </c>
      <c r="AB31" s="654">
        <f>Z28-U31</f>
        <v/>
      </c>
      <c r="AC31" s="651" t="inlineStr"/>
      <c r="AD31" s="651" t="inlineStr"/>
      <c r="AE31" s="651" t="inlineStr"/>
      <c r="AF31" s="651" t="inlineStr"/>
      <c r="AG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46082</v>
      </c>
      <c r="E32" s="638" t="n">
        <v>46234</v>
      </c>
      <c r="F32" s="116" t="n">
        <v>3056.1223</v>
      </c>
      <c r="G32" s="565" t="n">
        <v>102.53958</v>
      </c>
      <c r="H32" s="653" t="n">
        <v>0</v>
      </c>
      <c r="I32" s="653" t="n">
        <v>0</v>
      </c>
      <c r="J32" s="653" t="n">
        <v>0</v>
      </c>
      <c r="K32" s="653">
        <f>SUM(H32:J32)</f>
        <v/>
      </c>
      <c r="L32" s="653" t="n">
        <v>102.53958</v>
      </c>
      <c r="M32" s="653" t="n">
        <v>0</v>
      </c>
      <c r="N32" s="653" t="n">
        <v>0</v>
      </c>
      <c r="O32" s="653">
        <f>SUM(L32:N32)</f>
        <v/>
      </c>
      <c r="P32" s="118" t="n">
        <v>51.706393</v>
      </c>
      <c r="Q32" s="118" t="n">
        <v>90.204069</v>
      </c>
      <c r="R32" s="118" t="n">
        <v>14.109955</v>
      </c>
      <c r="S32" s="118">
        <f>SUM(P32:R32)</f>
        <v/>
      </c>
      <c r="T32" s="118" t="n">
        <v>193.330405</v>
      </c>
      <c r="U32" s="187">
        <f>SUM(K32+O32+S32+T32)</f>
        <v/>
      </c>
      <c r="V32" s="526" t="inlineStr"/>
      <c r="W32" s="122">
        <f>K32/(F32/((YEAR(E32)*12+MONTH(E32))-(YEAR(D32)*12+MONTH(D32))+1))</f>
        <v/>
      </c>
      <c r="X32" s="122">
        <f>G32/F32</f>
        <v/>
      </c>
      <c r="Y32" s="587">
        <f>F32-G32</f>
        <v/>
      </c>
      <c r="Z32" s="214" t="n">
        <v>24216.5</v>
      </c>
      <c r="AA32" s="122">
        <f>AA35</f>
        <v/>
      </c>
      <c r="AB32" s="652">
        <f>AB35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9379.725156</v>
      </c>
      <c r="H33" s="85" t="n">
        <v>0</v>
      </c>
      <c r="I33" s="85" t="n">
        <v>0</v>
      </c>
      <c r="J33" s="85" t="n">
        <v>0</v>
      </c>
      <c r="K33" s="85">
        <f>SUM(H33:J33)</f>
        <v/>
      </c>
      <c r="L33" s="85" t="n">
        <v>3314.503374</v>
      </c>
      <c r="M33" s="85" t="n">
        <v>0</v>
      </c>
      <c r="N33" s="85" t="n">
        <v>0</v>
      </c>
      <c r="O33" s="85">
        <f>SUM(L33:N33)</f>
        <v/>
      </c>
      <c r="P33" s="85" t="n">
        <v>4769.379014</v>
      </c>
      <c r="Q33" s="85" t="n">
        <v>0</v>
      </c>
      <c r="R33" s="500" t="n"/>
      <c r="S33" s="85">
        <f>SUM(P33:R33)</f>
        <v/>
      </c>
      <c r="T33" s="85" t="n">
        <v>1069.968142</v>
      </c>
      <c r="U33" s="187">
        <f>SUM(K33+O33+S33+T33)</f>
        <v/>
      </c>
      <c r="V33" s="500" t="n"/>
      <c r="W33" s="91">
        <f>K33/(F33/((YEAR(E33)*12+MONTH(E33))-(YEAR(D33)*12+MONTH(D33))+1))</f>
        <v/>
      </c>
      <c r="X33" s="91">
        <f>G33/F33</f>
        <v/>
      </c>
      <c r="Y33" s="567">
        <f>F33-G33</f>
        <v/>
      </c>
      <c r="Z33" s="500" t="n"/>
      <c r="AA33" s="500" t="n"/>
      <c r="AB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12261.43165</v>
      </c>
      <c r="H34" s="100" t="n">
        <v>174.03672</v>
      </c>
      <c r="I34" s="100" t="n">
        <v>0</v>
      </c>
      <c r="J34" s="100" t="n">
        <v>0</v>
      </c>
      <c r="K34" s="100">
        <f>SUM(H34:J34)</f>
        <v/>
      </c>
      <c r="L34" s="100" t="n">
        <v>2158.292651</v>
      </c>
      <c r="M34" s="100" t="n">
        <v>8187.6366</v>
      </c>
      <c r="N34" s="100" t="n">
        <v>0</v>
      </c>
      <c r="O34" s="100">
        <f>SUM(L34:N34)</f>
        <v/>
      </c>
      <c r="P34" s="100" t="n">
        <v>474.6456</v>
      </c>
      <c r="Q34" s="100" t="n">
        <v>0</v>
      </c>
      <c r="R34" s="501" t="n"/>
      <c r="S34" s="100">
        <f>SUM(P34:R34)</f>
        <v/>
      </c>
      <c r="T34" s="100" t="n">
        <v>1144.784607</v>
      </c>
      <c r="U34" s="187">
        <f>SUM(K34+O34+S34+T34)</f>
        <v/>
      </c>
      <c r="V34" s="501" t="n"/>
      <c r="W34" s="205">
        <f>K34/(F34/((YEAR(E34)*12+MONTH(E34))-(YEAR(D34)*12+MONTH(D34))+1))</f>
        <v/>
      </c>
      <c r="X34" s="205">
        <f>G34/F34</f>
        <v/>
      </c>
      <c r="Y34" s="576">
        <f>F34-G34</f>
        <v/>
      </c>
      <c r="Z34" s="501" t="n"/>
      <c r="AA34" s="501" t="n"/>
      <c r="AB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641">
        <f>SUM(O32:O34)</f>
        <v/>
      </c>
      <c r="P35" s="597">
        <f>SUM(P32:P34)</f>
        <v/>
      </c>
      <c r="Q35" s="597">
        <f>SUM(Q32:Q34)</f>
        <v/>
      </c>
      <c r="R35" s="597">
        <f>SUM(R32:R34)</f>
        <v/>
      </c>
      <c r="S35" s="597">
        <f>SUM(S32:S34)</f>
        <v/>
      </c>
      <c r="T35" s="641">
        <f>SUM(T32:T34)</f>
        <v/>
      </c>
      <c r="U35" s="580">
        <f>SUM(K35+O35+S35+T35)</f>
        <v/>
      </c>
      <c r="V35" s="598" t="inlineStr"/>
      <c r="W35" s="226">
        <f>K35/(F35/((YEAR(E32)*12+MONTH(E32))-(YEAR(D32)*12+MONTH(D32))+1))</f>
        <v/>
      </c>
      <c r="X35" s="227">
        <f>G35/F35</f>
        <v/>
      </c>
      <c r="Y35" s="598">
        <f>F35-G35</f>
        <v/>
      </c>
      <c r="Z35" s="228">
        <f>Z32</f>
        <v/>
      </c>
      <c r="AA35" s="226">
        <f>U35/Z32</f>
        <v/>
      </c>
      <c r="AB35" s="655">
        <f>Z32-U35</f>
        <v/>
      </c>
      <c r="AC35" s="651" t="inlineStr"/>
      <c r="AD35" s="651" t="inlineStr"/>
      <c r="AE35" s="651" t="inlineStr"/>
      <c r="AF35" s="651" t="inlineStr"/>
      <c r="AG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27008.105801</v>
      </c>
      <c r="H36" s="142" t="n">
        <v>235.299993</v>
      </c>
      <c r="I36" s="142" t="n">
        <v>0</v>
      </c>
      <c r="J36" s="142" t="n">
        <v>0</v>
      </c>
      <c r="K36" s="197">
        <f>SUM(H36:J36)</f>
        <v/>
      </c>
      <c r="L36" s="142" t="n">
        <v>10790.846862</v>
      </c>
      <c r="M36" s="142" t="n">
        <v>0</v>
      </c>
      <c r="N36" s="142" t="n">
        <v>0</v>
      </c>
      <c r="O36" s="197">
        <f>SUM(L36:N36)</f>
        <v/>
      </c>
      <c r="P36" s="142" t="n">
        <v>6594.535422</v>
      </c>
      <c r="Q36" s="142" t="n">
        <v>0</v>
      </c>
      <c r="R36" s="142" t="n">
        <v>271.914403</v>
      </c>
      <c r="S36" s="197">
        <f>SUM(P36:R36)</f>
        <v/>
      </c>
      <c r="T36" s="197" t="n">
        <v>9115.509121999999</v>
      </c>
      <c r="U36" s="187">
        <f>SUM(K36+O36+S36+T36)</f>
        <v/>
      </c>
      <c r="V36" s="644" t="inlineStr"/>
      <c r="W36" s="148">
        <f>K36/(F36/((YEAR(E36)*12+MONTH(E36))-(YEAR(D36)*12+MONTH(D36))+1))</f>
        <v/>
      </c>
      <c r="X36" s="148">
        <f>G36/F36</f>
        <v/>
      </c>
      <c r="Y36" s="604">
        <f>F36-G36</f>
        <v/>
      </c>
      <c r="Z36" s="230" t="n">
        <v>30127.5</v>
      </c>
      <c r="AA36" s="148">
        <f>AA38</f>
        <v/>
      </c>
      <c r="AB36" s="656">
        <f>AB38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0</v>
      </c>
      <c r="M37" s="154" t="n">
        <v>264.489895</v>
      </c>
      <c r="N37" s="154" t="n">
        <v>0</v>
      </c>
      <c r="O37" s="154">
        <f>SUM(L37:N37)</f>
        <v/>
      </c>
      <c r="P37" s="154" t="n">
        <v>440.8209</v>
      </c>
      <c r="Q37" s="154" t="n">
        <v>0</v>
      </c>
      <c r="R37" s="501" t="n"/>
      <c r="S37" s="154">
        <f>SUM(P37:R37)</f>
        <v/>
      </c>
      <c r="T37" s="154" t="n">
        <v>0</v>
      </c>
      <c r="U37" s="187">
        <f>SUM(K37+O37+S37+T37)</f>
        <v/>
      </c>
      <c r="V37" s="501" t="n"/>
      <c r="W37" s="232">
        <f>K37/(F37/((YEAR(E37)*12+MONTH(E37))-(YEAR(D37)*12+MONTH(D37))+1))</f>
        <v/>
      </c>
      <c r="X37" s="232">
        <f>G37/F37</f>
        <v/>
      </c>
      <c r="Y37" s="611">
        <f>F37-G37</f>
        <v/>
      </c>
      <c r="Z37" s="607" t="n"/>
      <c r="AA37" s="501" t="n"/>
      <c r="AB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538">
        <f>SUM(L36:L37)</f>
        <v/>
      </c>
      <c r="M38" s="538">
        <f>SUM(M36:M37)</f>
        <v/>
      </c>
      <c r="N38" s="538">
        <f>SUM(N36:N37)</f>
        <v/>
      </c>
      <c r="O38" s="538">
        <f>SUM(O36:O37)</f>
        <v/>
      </c>
      <c r="P38" s="614">
        <f>SUM(P36:P37)</f>
        <v/>
      </c>
      <c r="Q38" s="614">
        <f>SUM(Q36:Q37)</f>
        <v/>
      </c>
      <c r="R38" s="614">
        <f>SUM(R36:R37)</f>
        <v/>
      </c>
      <c r="S38" s="614">
        <f>SUM(S36:S37)</f>
        <v/>
      </c>
      <c r="T38" s="614">
        <f>SUM(T36:T37)</f>
        <v/>
      </c>
      <c r="U38" s="580">
        <f>SUM(K38+O38+S38+T38)</f>
        <v/>
      </c>
      <c r="V38" s="614" t="inlineStr"/>
      <c r="W38" s="234">
        <f>K38/(F38/((YEAR(E36)*12+MONTH(E36))-(YEAR(D36)*12+MONTH(D36))+1))</f>
        <v/>
      </c>
      <c r="X38" s="235">
        <f>G38/F38</f>
        <v/>
      </c>
      <c r="Y38" s="615">
        <f>F38-G38</f>
        <v/>
      </c>
      <c r="Z38" s="236">
        <f>Z36</f>
        <v/>
      </c>
      <c r="AA38" s="234">
        <f>U38/Z36</f>
        <v/>
      </c>
      <c r="AB38" s="657">
        <f>Z36-U38</f>
        <v/>
      </c>
      <c r="AC38" s="651" t="inlineStr"/>
      <c r="AD38" s="651" t="inlineStr"/>
      <c r="AE38" s="651" t="inlineStr"/>
      <c r="AF38" s="651" t="inlineStr"/>
      <c r="AG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5184.346869</v>
      </c>
      <c r="H39" s="142" t="n">
        <v>871.197576</v>
      </c>
      <c r="I39" s="142" t="n">
        <v>0</v>
      </c>
      <c r="J39" s="142" t="n">
        <v>0</v>
      </c>
      <c r="K39" s="142">
        <f>SUM(H39:J39)</f>
        <v/>
      </c>
      <c r="L39" s="142" t="n">
        <v>720.029466</v>
      </c>
      <c r="M39" s="142" t="n">
        <v>1570.344134</v>
      </c>
      <c r="N39" s="142" t="n">
        <v>0</v>
      </c>
      <c r="O39" s="142">
        <f>SUM(L39:N39)</f>
        <v/>
      </c>
      <c r="P39" s="142" t="n">
        <v>1738.204897</v>
      </c>
      <c r="Q39" s="142" t="n">
        <v>0</v>
      </c>
      <c r="R39" s="142" t="n">
        <v>284.570795</v>
      </c>
      <c r="S39" s="142">
        <f>SUM(P39:R39)</f>
        <v/>
      </c>
      <c r="T39" s="142" t="n">
        <v>1538.392041</v>
      </c>
      <c r="U39" s="187">
        <f>SUM(K39+O39+S39+T39)</f>
        <v/>
      </c>
      <c r="V39" s="644" t="inlineStr"/>
      <c r="W39" s="148">
        <f>K39/(F39/((YEAR(E39)*12+MONTH(E39))-(YEAR(D39)*12+MONTH(D39))+1))</f>
        <v/>
      </c>
      <c r="X39" s="148">
        <f>G39/F39</f>
        <v/>
      </c>
      <c r="Y39" s="616">
        <f>F39-G39</f>
        <v/>
      </c>
      <c r="Z39" s="230" t="n">
        <v>26246.88</v>
      </c>
      <c r="AA39" s="148">
        <f>AA41</f>
        <v/>
      </c>
      <c r="AB39" s="656">
        <f>AB41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795.1018749999999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809.929895</v>
      </c>
      <c r="M40" s="154" t="n">
        <v>0</v>
      </c>
      <c r="N40" s="154" t="n">
        <v>0</v>
      </c>
      <c r="O40" s="154">
        <f>SUM(L40:N40)</f>
        <v/>
      </c>
      <c r="P40" s="154" t="n">
        <v>176.20858</v>
      </c>
      <c r="Q40" s="154" t="n">
        <v>0</v>
      </c>
      <c r="R40" s="501" t="n"/>
      <c r="S40" s="154">
        <f>SUM(P40:R40)</f>
        <v/>
      </c>
      <c r="T40" s="154" t="n">
        <v>12.282809</v>
      </c>
      <c r="U40" s="187">
        <f>SUM(K40+O40+S40+T40)</f>
        <v/>
      </c>
      <c r="V40" s="501" t="n"/>
      <c r="W40" s="232">
        <f>K40/(F40/((YEAR(E40)*12+MONTH(E40))-(YEAR(D40)*12+MONTH(D40))+1))</f>
        <v/>
      </c>
      <c r="X40" s="232">
        <f>G40/F40</f>
        <v/>
      </c>
      <c r="Y40" s="617">
        <f>F40-G40</f>
        <v/>
      </c>
      <c r="Z40" s="607" t="n"/>
      <c r="AA40" s="501" t="n"/>
      <c r="AB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538">
        <f>SUM(L39:L40)</f>
        <v/>
      </c>
      <c r="M41" s="538">
        <f>SUM(M39:M40)</f>
        <v/>
      </c>
      <c r="N41" s="538">
        <f>SUM(N39:N40)</f>
        <v/>
      </c>
      <c r="O41" s="538">
        <f>SUM(O39:O40)</f>
        <v/>
      </c>
      <c r="P41" s="621">
        <f>SUM(P39:P40)</f>
        <v/>
      </c>
      <c r="Q41" s="621">
        <f>SUM(Q39:Q40)</f>
        <v/>
      </c>
      <c r="R41" s="621">
        <f>SUM(R39:R40)</f>
        <v/>
      </c>
      <c r="S41" s="621">
        <f>SUM(S39:S40)</f>
        <v/>
      </c>
      <c r="T41" s="621">
        <f>SUM(T39:T40)</f>
        <v/>
      </c>
      <c r="U41" s="580">
        <f>SUM(K41+O41+S41+T41)</f>
        <v/>
      </c>
      <c r="V41" s="621" t="inlineStr"/>
      <c r="W41" s="239">
        <f>K41/(F41/((YEAR(E39)*12+MONTH(E39))-(YEAR(D39)*12+MONTH(D39))+1))</f>
        <v/>
      </c>
      <c r="X41" s="240">
        <f>G41/F41</f>
        <v/>
      </c>
      <c r="Y41" s="621">
        <f>F41-G41</f>
        <v/>
      </c>
      <c r="Z41" s="241">
        <f>Z39</f>
        <v/>
      </c>
      <c r="AA41" s="242">
        <f>U41/Z39</f>
        <v/>
      </c>
      <c r="AB41" s="658">
        <f>Z39-U41</f>
        <v/>
      </c>
      <c r="AC41" s="651" t="inlineStr"/>
      <c r="AD41" s="651" t="inlineStr"/>
      <c r="AE41" s="651" t="inlineStr"/>
      <c r="AF41" s="651" t="inlineStr"/>
      <c r="AG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13161.392418</v>
      </c>
      <c r="H42" s="142" t="n">
        <v>0</v>
      </c>
      <c r="I42" s="142" t="n">
        <v>0</v>
      </c>
      <c r="J42" s="142" t="n">
        <v>0</v>
      </c>
      <c r="K42" s="142">
        <f>SUM(H42:J42)</f>
        <v/>
      </c>
      <c r="L42" s="142" t="n">
        <v>9546.464904</v>
      </c>
      <c r="M42" s="142" t="n">
        <v>0</v>
      </c>
      <c r="N42" s="142" t="n">
        <v>0</v>
      </c>
      <c r="O42" s="142">
        <f>SUM(L42:N42)</f>
        <v/>
      </c>
      <c r="P42" s="142" t="n">
        <v>1081.878995</v>
      </c>
      <c r="Q42" s="142" t="n">
        <v>523.50012</v>
      </c>
      <c r="R42" s="142" t="n">
        <v>135.589522</v>
      </c>
      <c r="S42" s="142">
        <f>SUM(P42:R42)</f>
        <v/>
      </c>
      <c r="T42" s="142" t="n">
        <v>1873.958877</v>
      </c>
      <c r="U42" s="187">
        <f>SUM(K42+O42+S42+T42)</f>
        <v/>
      </c>
      <c r="V42" s="644" t="inlineStr"/>
      <c r="W42" s="148">
        <f>K42/(F42/((YEAR(E42)*12+MONTH(E42))-(YEAR(D42)*12+MONTH(D42))+1))</f>
        <v/>
      </c>
      <c r="X42" s="148">
        <f>G42/F42</f>
        <v/>
      </c>
      <c r="Y42" s="616">
        <f>F42-G42</f>
        <v/>
      </c>
      <c r="Z42" s="230" t="n">
        <v>32744.18</v>
      </c>
      <c r="AA42" s="148">
        <f>AA44</f>
        <v/>
      </c>
      <c r="AB42" s="656">
        <f>AB44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573.020649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47.229437</v>
      </c>
      <c r="M43" s="154" t="n">
        <v>0</v>
      </c>
      <c r="N43" s="154" t="n">
        <v>0</v>
      </c>
      <c r="O43" s="154">
        <f>SUM(L43:N43)</f>
        <v/>
      </c>
      <c r="P43" s="154" t="n">
        <v>524.574731</v>
      </c>
      <c r="Q43" s="154" t="n">
        <v>0</v>
      </c>
      <c r="R43" s="501" t="n"/>
      <c r="S43" s="154">
        <f>SUM(P43:R43)</f>
        <v/>
      </c>
      <c r="T43" s="154" t="n">
        <v>0</v>
      </c>
      <c r="U43" s="187">
        <f>SUM(K43+O43+S43+T43)</f>
        <v/>
      </c>
      <c r="V43" s="501" t="n"/>
      <c r="W43" s="232">
        <f>K43/(F43/((YEAR(E43)*12+MONTH(E43))-(YEAR(D43)*12+MONTH(D43))+1))</f>
        <v/>
      </c>
      <c r="X43" s="232">
        <f>G43/F43</f>
        <v/>
      </c>
      <c r="Y43" s="617">
        <f>F43-G43</f>
        <v/>
      </c>
      <c r="Z43" s="607" t="n"/>
      <c r="AA43" s="501" t="n"/>
      <c r="AB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538">
        <f>SUM(L42:L43)</f>
        <v/>
      </c>
      <c r="M44" s="538">
        <f>SUM(M42:M43)</f>
        <v/>
      </c>
      <c r="N44" s="538">
        <f>SUM(N42:N43)</f>
        <v/>
      </c>
      <c r="O44" s="538">
        <f>SUM(O42:O43)</f>
        <v/>
      </c>
      <c r="P44" s="621">
        <f>SUM(P42:P43)</f>
        <v/>
      </c>
      <c r="Q44" s="621">
        <f>SUM(Q42:Q43)</f>
        <v/>
      </c>
      <c r="R44" s="621">
        <f>SUM(R42:R43)</f>
        <v/>
      </c>
      <c r="S44" s="621">
        <f>SUM(S42:S43)</f>
        <v/>
      </c>
      <c r="T44" s="621">
        <f>SUM(T42:T43)</f>
        <v/>
      </c>
      <c r="U44" s="580">
        <f>SUM(K44+O44+S44+T44)</f>
        <v/>
      </c>
      <c r="V44" s="621" t="inlineStr"/>
      <c r="W44" s="239">
        <f>K44/(F44/((YEAR(E42)*12+MONTH(E42))-(YEAR(D42)*12+MONTH(D42))+1))</f>
        <v/>
      </c>
      <c r="X44" s="240">
        <f>G44/F44</f>
        <v/>
      </c>
      <c r="Y44" s="621">
        <f>F44-G44</f>
        <v/>
      </c>
      <c r="Z44" s="241">
        <f>Z42</f>
        <v/>
      </c>
      <c r="AA44" s="242">
        <f>U44/Z42</f>
        <v/>
      </c>
      <c r="AB44" s="658">
        <f>Z42-U44</f>
        <v/>
      </c>
      <c r="AC44" s="651" t="inlineStr"/>
      <c r="AD44" s="651" t="inlineStr"/>
      <c r="AE44" s="651" t="inlineStr"/>
      <c r="AF44" s="651" t="inlineStr"/>
      <c r="AG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4225.389452</v>
      </c>
      <c r="H45" s="589" t="n">
        <v>98.0538</v>
      </c>
      <c r="I45" s="589" t="n">
        <v>0</v>
      </c>
      <c r="J45" s="589" t="n">
        <v>0</v>
      </c>
      <c r="K45" s="589">
        <f>SUM(H45:J45)</f>
        <v/>
      </c>
      <c r="L45" s="589" t="n">
        <v>1342.5828</v>
      </c>
      <c r="M45" s="589" t="n">
        <v>0</v>
      </c>
      <c r="N45" s="589" t="n">
        <v>0</v>
      </c>
      <c r="O45" s="589">
        <f>SUM(L45:N45)</f>
        <v/>
      </c>
      <c r="P45" s="118" t="n">
        <v>1396.194268</v>
      </c>
      <c r="Q45" s="118" t="n">
        <v>0</v>
      </c>
      <c r="R45" s="118" t="n">
        <v>1388.558583</v>
      </c>
      <c r="S45" s="118">
        <f>SUM(P45:R45)</f>
        <v/>
      </c>
      <c r="T45" s="118" t="n">
        <v>7198.740986</v>
      </c>
      <c r="U45" s="187">
        <f>SUM(K45+O45+S45+T45)</f>
        <v/>
      </c>
      <c r="V45" s="526" t="inlineStr"/>
      <c r="W45" s="122">
        <f>K45/(F45/((YEAR(E45)*12+MONTH(E45))-(YEAR(D45)*12+MONTH(D45))+1))</f>
        <v/>
      </c>
      <c r="X45" s="122">
        <f>G45/F45</f>
        <v/>
      </c>
      <c r="Y45" s="587">
        <f>F45-G45</f>
        <v/>
      </c>
      <c r="Z45" s="244" t="n">
        <v>125710</v>
      </c>
      <c r="AA45" s="171">
        <f>AA49</f>
        <v/>
      </c>
      <c r="AB45" s="659">
        <f>AB49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9993.472411999999</v>
      </c>
      <c r="H46" s="85" t="n">
        <v>0</v>
      </c>
      <c r="I46" s="85" t="n">
        <v>0</v>
      </c>
      <c r="J46" s="85" t="n">
        <v>0</v>
      </c>
      <c r="K46" s="85">
        <f>SUM(H46:J46)</f>
        <v/>
      </c>
      <c r="L46" s="85" t="n">
        <v>2744.172418</v>
      </c>
      <c r="M46" s="85" t="n">
        <v>0</v>
      </c>
      <c r="N46" s="85" t="n">
        <v>0</v>
      </c>
      <c r="O46" s="85">
        <f>SUM(L46:N46)</f>
        <v/>
      </c>
      <c r="P46" s="85" t="n">
        <v>1566.390968</v>
      </c>
      <c r="Q46" s="85" t="n">
        <v>1037.679365</v>
      </c>
      <c r="R46" s="500" t="n"/>
      <c r="S46" s="118">
        <f>SUM(P46:R46)</f>
        <v/>
      </c>
      <c r="T46" s="118" t="n">
        <v>4333.574839</v>
      </c>
      <c r="U46" s="187">
        <f>SUM(K46+O46+S46+T46)</f>
        <v/>
      </c>
      <c r="V46" s="500" t="n"/>
      <c r="W46" s="91">
        <f>K46/(F46/((YEAR(E46)*12+MONTH(E46))-(YEAR(D46)*12+MONTH(D46))+1))</f>
        <v/>
      </c>
      <c r="X46" s="91">
        <f>G46/F46</f>
        <v/>
      </c>
      <c r="Y46" s="567">
        <f>F46-G46</f>
        <v/>
      </c>
      <c r="Z46" s="626" t="n"/>
      <c r="AA46" s="500" t="n"/>
      <c r="AB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12573.846039</v>
      </c>
      <c r="H47" s="85" t="n">
        <v>0</v>
      </c>
      <c r="I47" s="85" t="n">
        <v>0</v>
      </c>
      <c r="J47" s="85" t="n">
        <v>0</v>
      </c>
      <c r="K47" s="85">
        <f>SUM(H47:J47)</f>
        <v/>
      </c>
      <c r="L47" s="85" t="n">
        <v>3160.387028</v>
      </c>
      <c r="M47" s="85" t="n">
        <v>0</v>
      </c>
      <c r="N47" s="85" t="n">
        <v>0</v>
      </c>
      <c r="O47" s="85">
        <f>SUM(L47:N47)</f>
        <v/>
      </c>
      <c r="P47" s="85" t="n">
        <v>3065.24731</v>
      </c>
      <c r="Q47" s="85" t="n">
        <v>0</v>
      </c>
      <c r="R47" s="500" t="n"/>
      <c r="S47" s="85">
        <f>SUM(P47:R47)</f>
        <v/>
      </c>
      <c r="T47" s="85" t="n">
        <v>4881.758761</v>
      </c>
      <c r="U47" s="187">
        <f>SUM(K47+O47+S47+T47)</f>
        <v/>
      </c>
      <c r="V47" s="500" t="n"/>
      <c r="W47" s="91">
        <f>K47/(F47/((YEAR(E47)*12+MONTH(E47))-(YEAR(D47)*12+MONTH(D47))+1))</f>
        <v/>
      </c>
      <c r="X47" s="91">
        <f>G47/F47</f>
        <v/>
      </c>
      <c r="Y47" s="567">
        <f>F47-G47</f>
        <v/>
      </c>
      <c r="Z47" s="626" t="n"/>
      <c r="AA47" s="500" t="n"/>
      <c r="AB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120.3072</v>
      </c>
      <c r="I48" s="100" t="n">
        <v>0</v>
      </c>
      <c r="J48" s="100" t="n">
        <v>0</v>
      </c>
      <c r="K48" s="100">
        <f>SUM(H48:J48)</f>
        <v/>
      </c>
      <c r="L48" s="100" t="n">
        <v>1955.292768</v>
      </c>
      <c r="M48" s="100" t="n">
        <v>0</v>
      </c>
      <c r="N48" s="100" t="n">
        <v>0</v>
      </c>
      <c r="O48" s="100">
        <f>SUM(L48:N48)</f>
        <v/>
      </c>
      <c r="P48" s="100" t="n">
        <v>2837.047697</v>
      </c>
      <c r="Q48" s="100" t="n">
        <v>0</v>
      </c>
      <c r="R48" s="501" t="n"/>
      <c r="S48" s="100">
        <f>SUM(P48:R48)</f>
        <v/>
      </c>
      <c r="T48" s="100" t="n">
        <v>2547.377488</v>
      </c>
      <c r="U48" s="187">
        <f>SUM(K48+O48+S48+T48)</f>
        <v/>
      </c>
      <c r="V48" s="501" t="n"/>
      <c r="W48" s="103" t="inlineStr"/>
      <c r="X48" s="205">
        <f>G48/F48</f>
        <v/>
      </c>
      <c r="Y48" s="576">
        <f>F48-G48</f>
        <v/>
      </c>
      <c r="Z48" s="628" t="n"/>
      <c r="AA48" s="513" t="n"/>
      <c r="AB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1">
        <f>SUM(L45:L48)</f>
        <v/>
      </c>
      <c r="M49" s="591">
        <f>SUM(M45:M48)</f>
        <v/>
      </c>
      <c r="N49" s="591">
        <f>SUM(N45:N48)</f>
        <v/>
      </c>
      <c r="O49" s="579">
        <f>SUM(O45:O48)</f>
        <v/>
      </c>
      <c r="P49" s="590">
        <f>SUM(P45:P48)</f>
        <v/>
      </c>
      <c r="Q49" s="590">
        <f>SUM(Q45:Q48)</f>
        <v/>
      </c>
      <c r="R49" s="591">
        <f>SUM(R45:R48)</f>
        <v/>
      </c>
      <c r="S49" s="579">
        <f>SUM(S45:S48)</f>
        <v/>
      </c>
      <c r="T49" s="579">
        <f>SUM(T45:T48)</f>
        <v/>
      </c>
      <c r="U49" s="646">
        <f>SUM(K49+O49+S49+T49)</f>
        <v/>
      </c>
      <c r="V49" s="579" t="inlineStr"/>
      <c r="W49" s="220">
        <f>K49/(F49/((YEAR(E45)*12+MONTH(E45))-(YEAR(D45)*12+MONTH(D45))+1))</f>
        <v/>
      </c>
      <c r="X49" s="221">
        <f>G49/F49</f>
        <v/>
      </c>
      <c r="Y49" s="598">
        <f>F49-G49</f>
        <v/>
      </c>
      <c r="Z49" s="228">
        <f>Z45</f>
        <v/>
      </c>
      <c r="AA49" s="226">
        <f>U49/Z45</f>
        <v/>
      </c>
      <c r="AB49" s="655">
        <f>Z45-U49</f>
        <v/>
      </c>
      <c r="AC49" s="651" t="inlineStr"/>
      <c r="AD49" s="651" t="inlineStr"/>
      <c r="AE49" s="651" t="inlineStr"/>
      <c r="AF49" s="651" t="inlineStr"/>
      <c r="AG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1">
        <f>O10+O16+O22+O27+O31+O35+O38+O41+O44+O49</f>
        <v/>
      </c>
      <c r="P50" s="660">
        <f>P10+P16+P22+P27+P31+P35+P38+P41+P44+P49</f>
        <v/>
      </c>
      <c r="Q50" s="660">
        <f>Q10+Q16+Q22+Q27+Q31+Q35+Q38+Q41+Q44+Q49</f>
        <v/>
      </c>
      <c r="R50" s="660">
        <f>R10+R16+R22+R27+R31+R35+R38+R41+R44+R49</f>
        <v/>
      </c>
      <c r="S50" s="660">
        <f>S10+S16+S22+S27+S31+S35+S38+S41+S44+S49</f>
        <v/>
      </c>
      <c r="T50" s="661">
        <f>T10+T16+T22+T27+T31+T35+T38+T41+T44+T49</f>
        <v/>
      </c>
      <c r="U50" s="662">
        <f>U10+U16+U22+U27+U31+U35+U38+U41+U44+U49</f>
        <v/>
      </c>
      <c r="V50" s="632" t="inlineStr"/>
      <c r="W50" s="249">
        <f>K50/(F50/((YEAR(E4)*12+MONTH(E4))-(YEAR(D4)*12+MONTH(D4))+1))</f>
        <v/>
      </c>
      <c r="X50" s="250">
        <f>G50/F50</f>
        <v/>
      </c>
      <c r="Y50" s="663">
        <f>F50-G50</f>
        <v/>
      </c>
      <c r="Z50" s="663">
        <f>Z10+Z16+Z22+Z27+Z31+Z35+Z38+Z41+Z44+Z49</f>
        <v/>
      </c>
      <c r="AA50" s="252">
        <f>U50/Z50</f>
        <v/>
      </c>
      <c r="AB50" s="663">
        <f>Z50-U50</f>
        <v/>
      </c>
      <c r="AC50" s="664" t="inlineStr"/>
      <c r="AD50" s="664" t="inlineStr"/>
      <c r="AE50" s="664" t="inlineStr"/>
      <c r="AF50" s="664" t="inlineStr"/>
      <c r="AG50" s="664" t="inlineStr"/>
    </row>
    <row r="51" ht="24" customFormat="1" customHeight="1" s="483">
      <c r="Y51" s="633" t="inlineStr">
        <is>
          <t>公司目标</t>
        </is>
      </c>
      <c r="Z51" s="633" t="n">
        <v>630987.38</v>
      </c>
      <c r="AA51" s="252">
        <f>IF(Z51&lt;&gt;0,U50/Z51,"")</f>
        <v/>
      </c>
      <c r="AB51" s="663">
        <f>Z51-U50</f>
        <v/>
      </c>
    </row>
  </sheetData>
  <mergeCells count="99">
    <mergeCell ref="A45:A48"/>
    <mergeCell ref="U2:U3"/>
    <mergeCell ref="Z28:Z30"/>
    <mergeCell ref="R17:R21"/>
    <mergeCell ref="AB28:AB30"/>
    <mergeCell ref="A2:A3"/>
    <mergeCell ref="C2:C3"/>
    <mergeCell ref="R42:R43"/>
    <mergeCell ref="E2:E3"/>
    <mergeCell ref="V36:V37"/>
    <mergeCell ref="W2:W3"/>
    <mergeCell ref="Z39:Z40"/>
    <mergeCell ref="AB39:AB40"/>
    <mergeCell ref="Z11:Z15"/>
    <mergeCell ref="AA2:AA3"/>
    <mergeCell ref="V45:V48"/>
    <mergeCell ref="Z4:Z9"/>
    <mergeCell ref="AA42:AA43"/>
    <mergeCell ref="V2:V3"/>
    <mergeCell ref="X2:X3"/>
    <mergeCell ref="R32:R34"/>
    <mergeCell ref="A49:E49"/>
    <mergeCell ref="AB17:AB21"/>
    <mergeCell ref="A32:A34"/>
    <mergeCell ref="N2:N3"/>
    <mergeCell ref="V23:V26"/>
    <mergeCell ref="F2:F3"/>
    <mergeCell ref="P2:P3"/>
    <mergeCell ref="H2:H3"/>
    <mergeCell ref="AA11:AA15"/>
    <mergeCell ref="AA32:AA34"/>
    <mergeCell ref="R36:R37"/>
    <mergeCell ref="K2:K3"/>
    <mergeCell ref="Z42:Z43"/>
    <mergeCell ref="AA45:AA48"/>
    <mergeCell ref="AB36:AB37"/>
    <mergeCell ref="V39:V40"/>
    <mergeCell ref="A23:A26"/>
    <mergeCell ref="AA4:AA9"/>
    <mergeCell ref="O2:O3"/>
    <mergeCell ref="Q2:Q3"/>
    <mergeCell ref="V17:V21"/>
    <mergeCell ref="V28:V30"/>
    <mergeCell ref="A4:A9"/>
    <mergeCell ref="A38:E38"/>
    <mergeCell ref="A39:A40"/>
    <mergeCell ref="A31:E31"/>
    <mergeCell ref="S2:S3"/>
    <mergeCell ref="AA23:AA26"/>
    <mergeCell ref="V11:V15"/>
    <mergeCell ref="A36:A37"/>
    <mergeCell ref="B2:B3"/>
    <mergeCell ref="D2:D3"/>
    <mergeCell ref="V32:V34"/>
    <mergeCell ref="A17:A21"/>
    <mergeCell ref="R4:R9"/>
    <mergeCell ref="AA39:AA40"/>
    <mergeCell ref="A16:E16"/>
    <mergeCell ref="V4:V9"/>
    <mergeCell ref="A28:A30"/>
    <mergeCell ref="Z2:Z3"/>
    <mergeCell ref="AA36:AA37"/>
    <mergeCell ref="AB2:AB3"/>
    <mergeCell ref="T2:T3"/>
    <mergeCell ref="AA17:AA21"/>
    <mergeCell ref="AA28:AA30"/>
    <mergeCell ref="A50:E50"/>
    <mergeCell ref="A11:A15"/>
    <mergeCell ref="R28:R30"/>
    <mergeCell ref="A22:E22"/>
    <mergeCell ref="AB42:AB43"/>
    <mergeCell ref="A44:E44"/>
    <mergeCell ref="G2:G3"/>
    <mergeCell ref="V42:V43"/>
    <mergeCell ref="I2:I3"/>
    <mergeCell ref="R39:R40"/>
    <mergeCell ref="Z36:Z37"/>
    <mergeCell ref="R23:R26"/>
    <mergeCell ref="Z17:Z21"/>
    <mergeCell ref="AB11:AB15"/>
    <mergeCell ref="M2:M3"/>
    <mergeCell ref="Z45:Z48"/>
    <mergeCell ref="Y2:Y3"/>
    <mergeCell ref="AB45:AB48"/>
    <mergeCell ref="AB4:AB9"/>
    <mergeCell ref="A41:E41"/>
    <mergeCell ref="R45:R48"/>
    <mergeCell ref="A27:E27"/>
    <mergeCell ref="Z23:Z26"/>
    <mergeCell ref="AB23:AB26"/>
    <mergeCell ref="A42:A43"/>
    <mergeCell ref="R11:R15"/>
    <mergeCell ref="Z32:Z34"/>
    <mergeCell ref="R2:R3"/>
    <mergeCell ref="AB32:AB34"/>
    <mergeCell ref="J2:J3"/>
    <mergeCell ref="L2:L3"/>
    <mergeCell ref="A35:E35"/>
    <mergeCell ref="A10:E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width="12.875" customWidth="1" style="533" min="20" max="20"/>
    <col width="9" customWidth="1" style="533" min="21" max="22"/>
    <col width="14" customWidth="1" style="533" min="23" max="23"/>
    <col width="14.125" customWidth="1" style="533" min="24" max="24"/>
    <col width="9" customWidth="1" style="533" min="25" max="33"/>
  </cols>
  <sheetData>
    <row r="1" ht="20.25" customFormat="1" customHeight="1" s="483">
      <c r="A1" s="754" t="inlineStr">
        <is>
          <t>私人财富管理部折标销售进度表-截止20260410  销管+销售助理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552" t="inlineStr">
        <is>
          <t>上半年时间进度</t>
        </is>
      </c>
      <c r="AB1" s="70">
        <f>Y7</f>
        <v/>
      </c>
    </row>
    <row r="2" ht="25.5" customFormat="1" customHeight="1" s="483">
      <c r="A2" s="554" t="inlineStr">
        <is>
          <t>团队</t>
        </is>
      </c>
      <c r="B2" s="555" t="inlineStr">
        <is>
          <t>理财师</t>
        </is>
      </c>
      <c r="C2" s="506" t="inlineStr">
        <is>
          <t>当前考核期职级</t>
        </is>
      </c>
      <c r="D2" s="506" t="inlineStr">
        <is>
          <t>考核期起始日</t>
        </is>
      </c>
      <c r="E2" s="506" t="inlineStr">
        <is>
          <t>考核期终止日</t>
        </is>
      </c>
      <c r="F2" s="556" t="inlineStr">
        <is>
          <t>考核任务目标（按实际考核月数折算）</t>
        </is>
      </c>
      <c r="G2" s="556" t="inlineStr">
        <is>
          <t xml:space="preserve">
考核期间已完成折标</t>
        </is>
      </c>
      <c r="H2" s="506" t="inlineStr">
        <is>
          <t>传统202604</t>
        </is>
      </c>
      <c r="I2" s="506" t="inlineStr">
        <is>
          <t>保险202604</t>
        </is>
      </c>
      <c r="J2" s="506" t="inlineStr">
        <is>
          <t>管理费202604</t>
        </is>
      </c>
      <c r="K2" s="557" t="inlineStr">
        <is>
          <t>2026年
4月折标</t>
        </is>
      </c>
      <c r="L2" s="506" t="inlineStr">
        <is>
          <t>传统202603</t>
        </is>
      </c>
      <c r="M2" s="506" t="inlineStr">
        <is>
          <t>保险202603</t>
        </is>
      </c>
      <c r="N2" s="506" t="inlineStr">
        <is>
          <t>管理费202603</t>
        </is>
      </c>
      <c r="O2" s="557" t="inlineStr">
        <is>
          <t>2026年
3月折标</t>
        </is>
      </c>
      <c r="P2" s="506" t="inlineStr">
        <is>
          <t>传统202602</t>
        </is>
      </c>
      <c r="Q2" s="506" t="inlineStr">
        <is>
          <t>保险202602</t>
        </is>
      </c>
      <c r="R2" s="506" t="inlineStr">
        <is>
          <t>管理费202602</t>
        </is>
      </c>
      <c r="S2" s="557" t="inlineStr">
        <is>
          <t>2026年
2月折标</t>
        </is>
      </c>
      <c r="T2" s="557" t="inlineStr">
        <is>
          <t>2026年
1月折标</t>
        </is>
      </c>
      <c r="U2" s="634" t="inlineStr">
        <is>
          <t>2026年YTD折标</t>
        </is>
      </c>
      <c r="V2" s="558" t="inlineStr">
        <is>
          <t>2026年
1月销量
[USD]</t>
        </is>
      </c>
      <c r="W2" s="559" t="inlineStr">
        <is>
          <t>月度
完成率</t>
        </is>
      </c>
      <c r="X2" s="554" t="inlineStr">
        <is>
          <t>考核期完成率（累计）</t>
        </is>
      </c>
      <c r="Y2" s="560" t="inlineStr">
        <is>
          <t>考核期差距</t>
        </is>
      </c>
      <c r="Z2" s="561" t="inlineStr">
        <is>
          <t>财富中心
上半年年任务</t>
        </is>
      </c>
      <c r="AA2" s="79" t="inlineStr">
        <is>
          <t>财富中心
上半年任务完成率</t>
        </is>
      </c>
      <c r="AB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9807.584428</v>
      </c>
      <c r="H4" s="85" t="n">
        <v>0</v>
      </c>
      <c r="I4" s="85" t="n">
        <v>0</v>
      </c>
      <c r="J4" s="85" t="n">
        <v>0</v>
      </c>
      <c r="K4" s="187">
        <f>SUM(H4:J4)</f>
        <v/>
      </c>
      <c r="L4" s="85" t="n">
        <v>1613.445926</v>
      </c>
      <c r="M4" s="85" t="n">
        <v>0</v>
      </c>
      <c r="N4" s="85" t="n">
        <v>308.206872</v>
      </c>
      <c r="O4" s="187">
        <f>SUM(L4:N4)</f>
        <v/>
      </c>
      <c r="P4" s="85" t="n">
        <v>454.800547</v>
      </c>
      <c r="Q4" s="85" t="n">
        <v>0</v>
      </c>
      <c r="R4" s="85" t="n">
        <v>289.117436</v>
      </c>
      <c r="S4" s="187">
        <f>SUM(P4:R4)</f>
        <v/>
      </c>
      <c r="T4" s="187" t="n">
        <v>3311.566531</v>
      </c>
      <c r="U4" s="187">
        <f>SUM(K4+O4+S4+T4)</f>
        <v/>
      </c>
      <c r="V4" s="566" t="inlineStr"/>
      <c r="W4" s="91">
        <f>K4/(F4/((YEAR(E4)*12+MONTH(E4))-(YEAR(D4)*12+MONTH(D4))+1))</f>
        <v/>
      </c>
      <c r="X4" s="91">
        <f>G4/F4</f>
        <v/>
      </c>
      <c r="Y4" s="567">
        <f>F4-G4</f>
        <v/>
      </c>
      <c r="Z4" s="203" t="n">
        <v>141926.4</v>
      </c>
      <c r="AA4" s="91">
        <f>AA10</f>
        <v/>
      </c>
      <c r="AB4" s="569">
        <f>AB10</f>
        <v/>
      </c>
      <c r="AE4" s="570" t="inlineStr">
        <is>
          <t>开始日期</t>
        </is>
      </c>
      <c r="AF4" s="570" t="inlineStr">
        <is>
          <t>结束日期</t>
        </is>
      </c>
      <c r="AG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37027.448075</v>
      </c>
      <c r="H5" s="85" t="n">
        <v>259.7595</v>
      </c>
      <c r="I5" s="85" t="n">
        <v>0</v>
      </c>
      <c r="J5" s="85" t="n">
        <v>0</v>
      </c>
      <c r="K5" s="187">
        <f>SUM(H5:J5)</f>
        <v/>
      </c>
      <c r="L5" s="85" t="n">
        <v>1444.66245</v>
      </c>
      <c r="M5" s="85" t="n">
        <v>0</v>
      </c>
      <c r="N5" s="85" t="n">
        <v>797.422443</v>
      </c>
      <c r="O5" s="187">
        <f>SUM(L5:N5)</f>
        <v/>
      </c>
      <c r="P5" s="85" t="n">
        <v>9688.821542</v>
      </c>
      <c r="Q5" s="85" t="n">
        <v>0</v>
      </c>
      <c r="R5" s="500" t="n"/>
      <c r="S5" s="187">
        <f>SUM(P5:R5)</f>
        <v/>
      </c>
      <c r="T5" s="188" t="n">
        <v>13116.995922</v>
      </c>
      <c r="U5" s="187">
        <f>SUM(K5+O5+S5+T5)</f>
        <v/>
      </c>
      <c r="V5" s="500" t="n"/>
      <c r="W5" s="91">
        <f>K5/(F5/((YEAR(E5)*12+MONTH(E5))-(YEAR(D5)*12+MONTH(D5))+1))</f>
        <v/>
      </c>
      <c r="X5" s="91">
        <f>G5/F5</f>
        <v/>
      </c>
      <c r="Y5" s="567">
        <f>F5-G5</f>
        <v/>
      </c>
      <c r="Z5" s="500" t="n"/>
      <c r="AA5" s="500" t="n"/>
      <c r="AB5" s="500" t="n"/>
      <c r="AE5" s="94" t="n">
        <v>46023</v>
      </c>
      <c r="AF5" s="94" t="n">
        <v>46203</v>
      </c>
      <c r="AG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3302.032251</v>
      </c>
      <c r="H6" s="85" t="n">
        <v>0</v>
      </c>
      <c r="I6" s="85" t="n">
        <v>0</v>
      </c>
      <c r="J6" s="85" t="n">
        <v>0</v>
      </c>
      <c r="K6" s="187">
        <f>SUM(H6:J6)</f>
        <v/>
      </c>
      <c r="L6" s="85" t="n">
        <v>500.150742</v>
      </c>
      <c r="M6" s="85" t="n">
        <v>0</v>
      </c>
      <c r="N6" s="85" t="n">
        <v>157.397938</v>
      </c>
      <c r="O6" s="187">
        <f>SUM(L6:N6)</f>
        <v/>
      </c>
      <c r="P6" s="85" t="n">
        <v>267.1032</v>
      </c>
      <c r="Q6" s="85" t="n">
        <v>0</v>
      </c>
      <c r="R6" s="500" t="n"/>
      <c r="S6" s="187">
        <f>SUM(P6:R6)</f>
        <v/>
      </c>
      <c r="T6" s="187" t="n">
        <v>2351.885696</v>
      </c>
      <c r="U6" s="187">
        <f>SUM(K6+O6+S6+T6)</f>
        <v/>
      </c>
      <c r="V6" s="500" t="n"/>
      <c r="W6" s="91">
        <f>K6/(F6/((YEAR(E6)*12+MONTH(E6))-(YEAR(D6)*12+MONTH(D6))+1))</f>
        <v/>
      </c>
      <c r="X6" s="91">
        <f>G6/F6</f>
        <v/>
      </c>
      <c r="Y6" s="567">
        <f>F6-G6</f>
        <v/>
      </c>
      <c r="Z6" s="500" t="n"/>
      <c r="AA6" s="500" t="n"/>
      <c r="AB6" s="500" t="n"/>
      <c r="AE6" s="570" t="inlineStr">
        <is>
          <t>计算日期</t>
        </is>
      </c>
      <c r="AF6" s="570">
        <f>X5-W5</f>
        <v/>
      </c>
      <c r="AG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17163.140038</v>
      </c>
      <c r="H7" s="85" t="n">
        <v>1181.4894</v>
      </c>
      <c r="I7" s="85" t="n">
        <v>0</v>
      </c>
      <c r="J7" s="85" t="n">
        <v>0</v>
      </c>
      <c r="K7" s="187">
        <f>SUM(H7:J7)</f>
        <v/>
      </c>
      <c r="L7" s="85" t="n">
        <v>8704.796721000001</v>
      </c>
      <c r="M7" s="85" t="n">
        <v>0</v>
      </c>
      <c r="N7" s="85" t="n">
        <v>1242.252932</v>
      </c>
      <c r="O7" s="187">
        <f>SUM(L7:N7)</f>
        <v/>
      </c>
      <c r="P7" s="85" t="n">
        <v>1402.304143</v>
      </c>
      <c r="Q7" s="85" t="n">
        <v>742.65048</v>
      </c>
      <c r="R7" s="500" t="n"/>
      <c r="S7" s="187">
        <f>SUM(P7:R7)</f>
        <v/>
      </c>
      <c r="T7" s="187" t="n">
        <v>3459.265113</v>
      </c>
      <c r="U7" s="187">
        <f>SUM(K7+O7+S7+T7)</f>
        <v/>
      </c>
      <c r="V7" s="500" t="n"/>
      <c r="W7" s="91">
        <f>K7/(F7/((YEAR(E7)*12+MONTH(E7))-(YEAR(D7)*12+MONTH(D7))+1))</f>
        <v/>
      </c>
      <c r="X7" s="91">
        <f>G7/F7</f>
        <v/>
      </c>
      <c r="Y7" s="567">
        <f>F7-G7</f>
        <v/>
      </c>
      <c r="Z7" s="500" t="n"/>
      <c r="AA7" s="500" t="n"/>
      <c r="AB7" s="500" t="n"/>
      <c r="AE7" s="94" t="n">
        <v>46122</v>
      </c>
      <c r="AF7" s="204">
        <f>AF5-AE5+1</f>
        <v/>
      </c>
      <c r="AG7" s="70">
        <f>(AE7-AE5+1)/AF7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946.207931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0</v>
      </c>
      <c r="M8" s="85" t="n">
        <v>22785.2352</v>
      </c>
      <c r="N8" s="85" t="n">
        <v>17.701381</v>
      </c>
      <c r="O8" s="187">
        <f>SUM(L8:N8)</f>
        <v/>
      </c>
      <c r="P8" s="85" t="n">
        <v>41.2776</v>
      </c>
      <c r="Q8" s="85" t="n">
        <v>0</v>
      </c>
      <c r="R8" s="500" t="n"/>
      <c r="S8" s="187">
        <f>SUM(P8:R8)</f>
        <v/>
      </c>
      <c r="T8" s="187" t="n">
        <v>746.88392</v>
      </c>
      <c r="U8" s="187">
        <f>SUM(K8+O8+S8+T8)</f>
        <v/>
      </c>
      <c r="V8" s="500" t="n"/>
      <c r="W8" s="91">
        <f>K8/(F8/((YEAR(E8)*12+MONTH(E8))-(YEAR(D8)*12+MONTH(D8))+1))</f>
        <v/>
      </c>
      <c r="X8" s="91">
        <f>G8/F8</f>
        <v/>
      </c>
      <c r="Y8" s="567">
        <f>F8-G8</f>
        <v/>
      </c>
      <c r="Z8" s="500" t="n"/>
      <c r="AA8" s="500" t="n"/>
      <c r="AB8" s="500" t="n"/>
      <c r="AE8" s="570" t="inlineStr"/>
      <c r="AF8" s="570" t="inlineStr"/>
      <c r="AG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100" t="n">
        <v>0</v>
      </c>
      <c r="M9" s="100" t="n">
        <v>0</v>
      </c>
      <c r="N9" s="100" t="n">
        <v>0</v>
      </c>
      <c r="O9" s="190">
        <f>SUM(L9:N9)</f>
        <v/>
      </c>
      <c r="P9" s="85" t="n">
        <v>0</v>
      </c>
      <c r="Q9" s="85" t="n">
        <v>0</v>
      </c>
      <c r="R9" s="501" t="n"/>
      <c r="S9" s="187">
        <f>SUM(P9:R9)</f>
        <v/>
      </c>
      <c r="T9" s="190" t="n">
        <v>0</v>
      </c>
      <c r="U9" s="187">
        <f>SUM(K9+O9+S9+T9)</f>
        <v/>
      </c>
      <c r="V9" s="501" t="n"/>
      <c r="W9" s="205">
        <f>K9/(F9/((YEAR(E9)*12+MONTH(E9))-(YEAR(D9)*12+MONTH(D9))+1))</f>
        <v/>
      </c>
      <c r="X9" s="205">
        <f>G9/F9</f>
        <v/>
      </c>
      <c r="Y9" s="576">
        <f>F9-G9</f>
        <v/>
      </c>
      <c r="Z9" s="501" t="n"/>
      <c r="AA9" s="501" t="n"/>
      <c r="AB9" s="501" t="n"/>
      <c r="AE9" s="570" t="inlineStr">
        <is>
          <t>计算日期</t>
        </is>
      </c>
      <c r="AF9" s="570" t="n">
        <v>365</v>
      </c>
      <c r="AG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SUM(Q4:Q9)</f>
        <v/>
      </c>
      <c r="R10" s="580">
        <f>SUM(R4:R9)</f>
        <v/>
      </c>
      <c r="S10" s="580">
        <f>SUM(S4:S9)</f>
        <v/>
      </c>
      <c r="T10" s="580">
        <f>SUM(T4:T9)</f>
        <v/>
      </c>
      <c r="U10" s="580">
        <f>SUM(K10+O10+S10+T10)</f>
        <v/>
      </c>
      <c r="V10" s="109" t="inlineStr"/>
      <c r="W10" s="207">
        <f>K10/(F10/((YEAR(E4)*12+MONTH(E4))-(YEAR(D4)*12+MONTH(D4))+1))</f>
        <v/>
      </c>
      <c r="X10" s="207">
        <f>G10/F10</f>
        <v/>
      </c>
      <c r="Y10" s="580">
        <f>F10-G10</f>
        <v/>
      </c>
      <c r="Z10" s="208">
        <f>Z4</f>
        <v/>
      </c>
      <c r="AA10" s="209">
        <f>U10/Z4</f>
        <v/>
      </c>
      <c r="AB10" s="650">
        <f>Z4-U10</f>
        <v/>
      </c>
      <c r="AC10" s="651" t="inlineStr"/>
      <c r="AD10" s="651" t="inlineStr"/>
      <c r="AE10" s="212" t="n">
        <v>46122</v>
      </c>
      <c r="AF10" s="651" t="inlineStr"/>
      <c r="AG10" s="213">
        <f>(AE10-DATE(YEAR(AE10),1,1)+1)/AF9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13576.748696</v>
      </c>
      <c r="H11" s="589" t="n">
        <v>3549.4056</v>
      </c>
      <c r="I11" s="589" t="n">
        <v>0</v>
      </c>
      <c r="J11" s="589" t="n">
        <v>0</v>
      </c>
      <c r="K11" s="589">
        <f>SUM(H11:J11)</f>
        <v/>
      </c>
      <c r="L11" s="589" t="n">
        <v>2659.960961</v>
      </c>
      <c r="M11" s="589" t="n">
        <v>0</v>
      </c>
      <c r="N11" s="589" t="n">
        <v>741.029002</v>
      </c>
      <c r="O11" s="589">
        <f>SUM(L11:N11)</f>
        <v/>
      </c>
      <c r="P11" s="118" t="n">
        <v>0</v>
      </c>
      <c r="Q11" s="118" t="n">
        <v>0</v>
      </c>
      <c r="R11" s="118" t="n">
        <v>144.157177</v>
      </c>
      <c r="S11" s="118">
        <f>SUM(P11:R11)</f>
        <v/>
      </c>
      <c r="T11" s="118" t="n">
        <v>6482.195956</v>
      </c>
      <c r="U11" s="187">
        <f>SUM(K11+O11+S11+T11)</f>
        <v/>
      </c>
      <c r="V11" s="526" t="inlineStr"/>
      <c r="W11" s="122">
        <f>K11/(F11/((YEAR(E11)*12+MONTH(E11))-(YEAR(D11)*12+MONTH(D11))+1))</f>
        <v/>
      </c>
      <c r="X11" s="122">
        <f>G11/F11</f>
        <v/>
      </c>
      <c r="Y11" s="587">
        <f>F11-G11</f>
        <v/>
      </c>
      <c r="Z11" s="214" t="n">
        <v>84476.32000000001</v>
      </c>
      <c r="AA11" s="122">
        <f>AA16</f>
        <v/>
      </c>
      <c r="AB11" s="652">
        <f>AB16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13099.53577</v>
      </c>
      <c r="H12" s="85" t="n">
        <v>1248.056316</v>
      </c>
      <c r="I12" s="85" t="n">
        <v>0</v>
      </c>
      <c r="J12" s="85" t="n">
        <v>0</v>
      </c>
      <c r="K12" s="85">
        <f>SUM(H12:J12)</f>
        <v/>
      </c>
      <c r="L12" s="85" t="n">
        <v>2574.496213</v>
      </c>
      <c r="M12" s="85" t="n">
        <v>2927.70165</v>
      </c>
      <c r="N12" s="85" t="n">
        <v>157.909964</v>
      </c>
      <c r="O12" s="85">
        <f>SUM(L12:N12)</f>
        <v/>
      </c>
      <c r="P12" s="85" t="n">
        <v>745.691219</v>
      </c>
      <c r="Q12" s="85" t="n">
        <v>2330.36622</v>
      </c>
      <c r="R12" s="500" t="n"/>
      <c r="S12" s="85">
        <f>SUM(P12:R12)</f>
        <v/>
      </c>
      <c r="T12" s="85" t="n">
        <v>3042.835811</v>
      </c>
      <c r="U12" s="187">
        <f>SUM(K12+O12+S12+T12)</f>
        <v/>
      </c>
      <c r="V12" s="500" t="n"/>
      <c r="W12" s="91">
        <f>K12/(F12/((YEAR(E12)*12+MONTH(E12))-(YEAR(D12)*12+MONTH(D12))+1))</f>
        <v/>
      </c>
      <c r="X12" s="91">
        <f>G12/F12</f>
        <v/>
      </c>
      <c r="Y12" s="567">
        <f>F12-G12</f>
        <v/>
      </c>
      <c r="Z12" s="500" t="n"/>
      <c r="AA12" s="500" t="n"/>
      <c r="AB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43.4733</v>
      </c>
      <c r="M13" s="85" t="n">
        <v>0</v>
      </c>
      <c r="N13" s="85" t="n">
        <v>10.334614</v>
      </c>
      <c r="O13" s="85">
        <f>SUM(L13:N13)</f>
        <v/>
      </c>
      <c r="P13" s="85" t="n">
        <v>0</v>
      </c>
      <c r="Q13" s="85" t="n">
        <v>0</v>
      </c>
      <c r="R13" s="500" t="n"/>
      <c r="S13" s="85">
        <f>SUM(P13:R13)</f>
        <v/>
      </c>
      <c r="T13" s="85" t="n">
        <v>0</v>
      </c>
      <c r="U13" s="187">
        <f>SUM(K13+O13+S13+T13)</f>
        <v/>
      </c>
      <c r="V13" s="500" t="n"/>
      <c r="W13" s="91">
        <f>K13/(F13/((YEAR(E13)*12+MONTH(E13))-(YEAR(D13)*12+MONTH(D13))+1))</f>
        <v/>
      </c>
      <c r="X13" s="91">
        <f>G13/F13</f>
        <v/>
      </c>
      <c r="Y13" s="567">
        <f>F13-G13</f>
        <v/>
      </c>
      <c r="Z13" s="500" t="n"/>
      <c r="AA13" s="500" t="n"/>
      <c r="AB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17115.15</v>
      </c>
      <c r="G14" s="565" t="n">
        <v>5485.146</v>
      </c>
      <c r="H14" s="85" t="n">
        <v>398.502</v>
      </c>
      <c r="I14" s="85" t="n">
        <v>0</v>
      </c>
      <c r="J14" s="85" t="n">
        <v>0</v>
      </c>
      <c r="K14" s="85">
        <f>SUM(H14:J14)</f>
        <v/>
      </c>
      <c r="L14" s="85" t="n">
        <v>3556.620439</v>
      </c>
      <c r="M14" s="85" t="n">
        <v>0</v>
      </c>
      <c r="N14" s="85" t="n">
        <v>305.115987</v>
      </c>
      <c r="O14" s="85">
        <f>SUM(L14:N14)</f>
        <v/>
      </c>
      <c r="P14" s="85" t="n">
        <v>1054.327266</v>
      </c>
      <c r="Q14" s="85" t="n">
        <v>0</v>
      </c>
      <c r="R14" s="500" t="n"/>
      <c r="S14" s="85">
        <f>SUM(P14:R14)</f>
        <v/>
      </c>
      <c r="T14" s="85" t="n">
        <v>692.512431</v>
      </c>
      <c r="U14" s="187">
        <f>SUM(K14+O14+S14+T14)</f>
        <v/>
      </c>
      <c r="V14" s="500" t="n"/>
      <c r="W14" s="91">
        <f>K14/(F14/((YEAR(E14)*12+MONTH(E14))-(YEAR(D14)*12+MONTH(D14))+1))</f>
        <v/>
      </c>
      <c r="X14" s="91">
        <f>G14/F14</f>
        <v/>
      </c>
      <c r="Y14" s="567">
        <f>F14-G14</f>
        <v/>
      </c>
      <c r="Z14" s="500" t="n"/>
      <c r="AA14" s="500" t="n"/>
      <c r="AB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0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856.9360799999999</v>
      </c>
      <c r="N15" s="100" t="n">
        <v>0</v>
      </c>
      <c r="O15" s="100">
        <f>SUM(L15:N15)</f>
        <v/>
      </c>
      <c r="P15" s="100" t="n">
        <v>0</v>
      </c>
      <c r="Q15" s="100" t="n">
        <v>0</v>
      </c>
      <c r="R15" s="501" t="n"/>
      <c r="S15" s="100">
        <f>SUM(P15:R15)</f>
        <v/>
      </c>
      <c r="T15" s="100" t="n">
        <v>0</v>
      </c>
      <c r="U15" s="187">
        <f>SUM(K15+O15+S15+T15)</f>
        <v/>
      </c>
      <c r="V15" s="501" t="n"/>
      <c r="W15" s="205">
        <f>K15/(F15/((YEAR(E15)*12+MONTH(E15))-(YEAR(D15)*12+MONTH(D15))+1))</f>
        <v/>
      </c>
      <c r="X15" s="205">
        <f>G15/F15</f>
        <v/>
      </c>
      <c r="Y15" s="576">
        <f>F15-G15</f>
        <v/>
      </c>
      <c r="Z15" s="501" t="n"/>
      <c r="AA15" s="501" t="n"/>
      <c r="AB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SUM(Q11:Q15)</f>
        <v/>
      </c>
      <c r="R16" s="580">
        <f>SUM(R11:R15)</f>
        <v/>
      </c>
      <c r="S16" s="580">
        <f>SUM(S11:S15)</f>
        <v/>
      </c>
      <c r="T16" s="580">
        <f>SUM(T11:T15)</f>
        <v/>
      </c>
      <c r="U16" s="580">
        <f>SUM(K16+O16+S16+T16)</f>
        <v/>
      </c>
      <c r="V16" s="109" t="inlineStr"/>
      <c r="W16" s="207">
        <f>K16/(F16/((YEAR(E11)*12+MONTH(E11))-(YEAR(D11)*12+MONTH(D11))+1))</f>
        <v/>
      </c>
      <c r="X16" s="207">
        <f>G16/F16</f>
        <v/>
      </c>
      <c r="Y16" s="580">
        <f>F16-G16</f>
        <v/>
      </c>
      <c r="Z16" s="208">
        <f>Z11</f>
        <v/>
      </c>
      <c r="AA16" s="209">
        <f>U16/Z11</f>
        <v/>
      </c>
      <c r="AB16" s="650">
        <f>Z11-U16</f>
        <v/>
      </c>
      <c r="AC16" s="651" t="inlineStr"/>
      <c r="AD16" s="651" t="inlineStr"/>
      <c r="AE16" s="651" t="inlineStr"/>
      <c r="AF16" s="651" t="inlineStr"/>
      <c r="AG16" s="651" t="inlineStr"/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46054</v>
      </c>
      <c r="E17" s="638" t="n">
        <v>46203</v>
      </c>
      <c r="F17" s="116" t="n">
        <v>25870.625</v>
      </c>
      <c r="G17" s="586" t="n">
        <v>22745.807528</v>
      </c>
      <c r="H17" s="589" t="n">
        <v>158.49756</v>
      </c>
      <c r="I17" s="589" t="n">
        <v>0</v>
      </c>
      <c r="J17" s="589" t="n">
        <v>0</v>
      </c>
      <c r="K17" s="589">
        <f>SUM(H17:J17)</f>
        <v/>
      </c>
      <c r="L17" s="589" t="n">
        <v>3406.959578</v>
      </c>
      <c r="M17" s="589" t="n">
        <v>14793.1056</v>
      </c>
      <c r="N17" s="589" t="n">
        <v>528.8586769999999</v>
      </c>
      <c r="O17" s="589">
        <f>SUM(L17:N17)</f>
        <v/>
      </c>
      <c r="P17" s="118" t="n">
        <v>3557.362586</v>
      </c>
      <c r="Q17" s="118" t="n">
        <v>0</v>
      </c>
      <c r="R17" s="118" t="n">
        <v>301.023526</v>
      </c>
      <c r="S17" s="118">
        <f>SUM(P17:R17)</f>
        <v/>
      </c>
      <c r="T17" s="118" t="n">
        <v>8988.571889000001</v>
      </c>
      <c r="U17" s="187">
        <f>SUM(K17+O17+S17+T17)</f>
        <v/>
      </c>
      <c r="V17" s="526" t="inlineStr"/>
      <c r="W17" s="122">
        <f>K17/(F17/((YEAR(E17)*12+MONTH(E17))-(YEAR(D17)*12+MONTH(D17))+1))</f>
        <v/>
      </c>
      <c r="X17" s="122">
        <f>G17/F17</f>
        <v/>
      </c>
      <c r="Y17" s="587">
        <f>F17-G17</f>
        <v/>
      </c>
      <c r="Z17" s="214" t="n">
        <v>62089.5</v>
      </c>
      <c r="AA17" s="122">
        <f>AA22</f>
        <v/>
      </c>
      <c r="AB17" s="652">
        <f>AB22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5151.813163</v>
      </c>
      <c r="H18" s="85" t="n">
        <v>0</v>
      </c>
      <c r="I18" s="85" t="n">
        <v>0</v>
      </c>
      <c r="J18" s="85" t="n">
        <v>0</v>
      </c>
      <c r="K18" s="85">
        <f>SUM(H18:J18)</f>
        <v/>
      </c>
      <c r="L18" s="85" t="n">
        <v>1305.1575</v>
      </c>
      <c r="M18" s="85" t="n">
        <v>1178.4864</v>
      </c>
      <c r="N18" s="85" t="n">
        <v>22.441342</v>
      </c>
      <c r="O18" s="85">
        <f>SUM(L18:N18)</f>
        <v/>
      </c>
      <c r="P18" s="85" t="n">
        <v>0</v>
      </c>
      <c r="Q18" s="85" t="n">
        <v>0</v>
      </c>
      <c r="R18" s="500" t="n"/>
      <c r="S18" s="85">
        <f>SUM(P18:R18)</f>
        <v/>
      </c>
      <c r="T18" s="85" t="n">
        <v>2630.55</v>
      </c>
      <c r="U18" s="187">
        <f>SUM(K18+O18+S18+T18)</f>
        <v/>
      </c>
      <c r="V18" s="500" t="n"/>
      <c r="W18" s="91">
        <f>K18/(F18/((YEAR(E18)*12+MONTH(E18))-(YEAR(D18)*12+MONTH(D18))+1))</f>
        <v/>
      </c>
      <c r="X18" s="91">
        <f>G18/F18</f>
        <v/>
      </c>
      <c r="Y18" s="567">
        <f>F18-G18</f>
        <v/>
      </c>
      <c r="Z18" s="500" t="n"/>
      <c r="AA18" s="500" t="n"/>
      <c r="AB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9.721463</v>
      </c>
      <c r="O19" s="85">
        <f>SUM(L19:N19)</f>
        <v/>
      </c>
      <c r="P19" s="85" t="n">
        <v>0</v>
      </c>
      <c r="Q19" s="85" t="n">
        <v>0</v>
      </c>
      <c r="R19" s="500" t="n"/>
      <c r="S19" s="85">
        <f>SUM(P19:R19)</f>
        <v/>
      </c>
      <c r="T19" s="85" t="n">
        <v>9.587089000000001</v>
      </c>
      <c r="U19" s="187">
        <f>SUM(K19+O19+S19+T19)</f>
        <v/>
      </c>
      <c r="V19" s="500" t="n"/>
      <c r="W19" s="91">
        <f>K19/(F19/((YEAR(E19)*12+MONTH(E19))-(YEAR(D19)*12+MONTH(D19))+1))</f>
        <v/>
      </c>
      <c r="X19" s="91">
        <f>G19/F19</f>
        <v/>
      </c>
      <c r="Y19" s="567">
        <f>F19-G19</f>
        <v/>
      </c>
      <c r="Z19" s="500" t="n"/>
      <c r="AA19" s="500" t="n"/>
      <c r="AB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0</v>
      </c>
      <c r="M20" s="85" t="n">
        <v>0</v>
      </c>
      <c r="N20" s="85" t="n">
        <v>3.23046</v>
      </c>
      <c r="O20" s="85">
        <f>SUM(L20:N20)</f>
        <v/>
      </c>
      <c r="P20" s="85" t="n">
        <v>25.0224</v>
      </c>
      <c r="Q20" s="85" t="n">
        <v>1050.9408</v>
      </c>
      <c r="R20" s="500" t="n"/>
      <c r="S20" s="85">
        <f>SUM(P20:R20)</f>
        <v/>
      </c>
      <c r="T20" s="85" t="n">
        <v>125.112</v>
      </c>
      <c r="U20" s="187">
        <f>SUM(K20+O20+S20+T20)</f>
        <v/>
      </c>
      <c r="V20" s="500" t="n"/>
      <c r="W20" s="91">
        <f>K20/(F20/((YEAR(E20)*12+MONTH(E20))-(YEAR(D20)*12+MONTH(D20))+1))</f>
        <v/>
      </c>
      <c r="X20" s="91">
        <f>G20/F20</f>
        <v/>
      </c>
      <c r="Y20" s="567">
        <f>F20-G20</f>
        <v/>
      </c>
      <c r="Z20" s="500" t="n"/>
      <c r="AA20" s="500" t="n"/>
      <c r="AB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00" t="n">
        <v>0</v>
      </c>
      <c r="R21" s="501" t="n"/>
      <c r="S21" s="100">
        <f>SUM(P21:R21)</f>
        <v/>
      </c>
      <c r="T21" s="100" t="n">
        <v>0</v>
      </c>
      <c r="U21" s="187">
        <f>SUM(K21+O21+S21+T21)</f>
        <v/>
      </c>
      <c r="V21" s="501" t="n"/>
      <c r="W21" s="205">
        <f>K21/(F21/((YEAR(E21)*12+MONTH(E21))-(YEAR(D21)*12+MONTH(D21))+1))</f>
        <v/>
      </c>
      <c r="X21" s="205">
        <f>G21/F21</f>
        <v/>
      </c>
      <c r="Y21" s="576">
        <f>F21-G21</f>
        <v/>
      </c>
      <c r="Z21" s="501" t="n"/>
      <c r="AA21" s="501" t="n"/>
      <c r="AB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SUM(Q17:Q21)</f>
        <v/>
      </c>
      <c r="R22" s="580">
        <f>SUM(R17:R21)</f>
        <v/>
      </c>
      <c r="S22" s="580">
        <f>SUM(S17:S21)</f>
        <v/>
      </c>
      <c r="T22" s="580">
        <f>SUM(T17:T21)</f>
        <v/>
      </c>
      <c r="U22" s="580">
        <f>SUM(K22+O22+S22+T22)</f>
        <v/>
      </c>
      <c r="V22" s="109" t="inlineStr"/>
      <c r="W22" s="207">
        <f>K22/(F22/((YEAR(E17)*12+MONTH(E17))-(YEAR(D17)*12+MONTH(D17))+1))</f>
        <v/>
      </c>
      <c r="X22" s="207">
        <f>G22/F22</f>
        <v/>
      </c>
      <c r="Y22" s="580">
        <f>F22-G22</f>
        <v/>
      </c>
      <c r="Z22" s="208">
        <f>Z17</f>
        <v/>
      </c>
      <c r="AA22" s="209">
        <f>U22/Z17</f>
        <v/>
      </c>
      <c r="AB22" s="650">
        <f>Z17-U22</f>
        <v/>
      </c>
      <c r="AC22" s="651" t="inlineStr"/>
      <c r="AD22" s="651" t="inlineStr"/>
      <c r="AE22" s="651" t="inlineStr"/>
      <c r="AF22" s="651" t="inlineStr"/>
      <c r="AG22" s="651" t="inlineStr"/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701.917414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653" t="n">
        <v>3.487333</v>
      </c>
      <c r="M23" s="653" t="n">
        <v>0</v>
      </c>
      <c r="N23" s="653" t="n">
        <v>144.61482</v>
      </c>
      <c r="O23" s="653">
        <f>SUM(L23:N23)</f>
        <v/>
      </c>
      <c r="P23" s="118" t="n">
        <v>190.944681</v>
      </c>
      <c r="Q23" s="118" t="n">
        <v>0</v>
      </c>
      <c r="R23" s="123" t="n">
        <v>71.82064699999999</v>
      </c>
      <c r="S23" s="118">
        <f>SUM(P23:R23)</f>
        <v/>
      </c>
      <c r="T23" s="118" t="n">
        <v>291.049933</v>
      </c>
      <c r="U23" s="187">
        <f>SUM(K23+O23+S23+T23)</f>
        <v/>
      </c>
      <c r="V23" s="526" t="inlineStr"/>
      <c r="W23" s="122">
        <f>K23/(F23/((YEAR(E23)*12+MONTH(E23))-(YEAR(D23)*12+MONTH(D23))+1))</f>
        <v/>
      </c>
      <c r="X23" s="122">
        <f>G23/F23</f>
        <v/>
      </c>
      <c r="Y23" s="587">
        <f>F23-G23</f>
        <v/>
      </c>
      <c r="Z23" s="217" t="n">
        <v>64020.88</v>
      </c>
      <c r="AA23" s="218">
        <f>AA27</f>
        <v/>
      </c>
      <c r="AB23" s="652">
        <f>AB27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4863.227807</v>
      </c>
      <c r="H24" s="126" t="n">
        <v>0</v>
      </c>
      <c r="I24" s="126" t="n">
        <v>0</v>
      </c>
      <c r="J24" s="126" t="n">
        <v>0</v>
      </c>
      <c r="K24" s="85">
        <f>SUM(H24:J24)</f>
        <v/>
      </c>
      <c r="L24" s="126" t="n">
        <v>198.1746</v>
      </c>
      <c r="M24" s="126" t="n">
        <v>0</v>
      </c>
      <c r="N24" s="126" t="n">
        <v>29.640215</v>
      </c>
      <c r="O24" s="85">
        <f>SUM(L24:N24)</f>
        <v/>
      </c>
      <c r="P24" s="85" t="n">
        <v>0.8469</v>
      </c>
      <c r="Q24" s="85" t="n">
        <v>4558.0158</v>
      </c>
      <c r="R24" s="530" t="n"/>
      <c r="S24" s="85">
        <f>SUM(P24:R24)</f>
        <v/>
      </c>
      <c r="T24" s="85" t="n">
        <v>21.644177</v>
      </c>
      <c r="U24" s="187">
        <f>SUM(K24+O24+S24+T24)</f>
        <v/>
      </c>
      <c r="V24" s="500" t="n"/>
      <c r="W24" s="91">
        <f>K24/(F24/((YEAR(E24)*12+MONTH(E24))-(YEAR(D24)*12+MONTH(D24))+1))</f>
        <v/>
      </c>
      <c r="X24" s="91">
        <f>G24/F24</f>
        <v/>
      </c>
      <c r="Y24" s="567">
        <f>F24-G24</f>
        <v/>
      </c>
      <c r="Z24" s="500" t="n"/>
      <c r="AA24" s="500" t="n"/>
      <c r="AB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8145.158311</v>
      </c>
      <c r="H25" s="126" t="n">
        <v>1344.47274</v>
      </c>
      <c r="I25" s="126" t="n">
        <v>0</v>
      </c>
      <c r="J25" s="126" t="n">
        <v>0</v>
      </c>
      <c r="K25" s="85">
        <f>SUM(H25:J25)</f>
        <v/>
      </c>
      <c r="L25" s="126" t="n">
        <v>220.16475</v>
      </c>
      <c r="M25" s="126" t="n">
        <v>0</v>
      </c>
      <c r="N25" s="126" t="n">
        <v>154.524295</v>
      </c>
      <c r="O25" s="85">
        <f>SUM(L25:N25)</f>
        <v/>
      </c>
      <c r="P25" s="85" t="n">
        <v>3847.561596</v>
      </c>
      <c r="Q25" s="85" t="n">
        <v>0</v>
      </c>
      <c r="R25" s="530" t="n"/>
      <c r="S25" s="85">
        <f>SUM(P25:R25)</f>
        <v/>
      </c>
      <c r="T25" s="85" t="n">
        <v>2540.064804</v>
      </c>
      <c r="U25" s="187">
        <f>SUM(K25+O25+S25+T25)</f>
        <v/>
      </c>
      <c r="V25" s="500" t="n"/>
      <c r="W25" s="91">
        <f>K25/(F25/((YEAR(E25)*12+MONTH(E25))-(YEAR(D25)*12+MONTH(D25))+1))</f>
        <v/>
      </c>
      <c r="X25" s="91">
        <f>G25/F25</f>
        <v/>
      </c>
      <c r="Y25" s="567">
        <f>F25-G25</f>
        <v/>
      </c>
      <c r="Z25" s="500" t="n"/>
      <c r="AA25" s="500" t="n"/>
      <c r="AB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32.04495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27" t="n">
        <v>0</v>
      </c>
      <c r="M26" s="127" t="n">
        <v>0</v>
      </c>
      <c r="N26" s="127" t="n">
        <v>32.04495</v>
      </c>
      <c r="O26" s="100">
        <f>SUM(L26:N26)</f>
        <v/>
      </c>
      <c r="P26" s="100" t="n">
        <v>0</v>
      </c>
      <c r="Q26" s="100" t="n">
        <v>0</v>
      </c>
      <c r="R26" s="532" t="n"/>
      <c r="S26" s="100">
        <f>SUM(P26:R26)</f>
        <v/>
      </c>
      <c r="T26" s="100" t="n">
        <v>0</v>
      </c>
      <c r="U26" s="187">
        <f>SUM(K26+O26+S26+T26)</f>
        <v/>
      </c>
      <c r="V26" s="501" t="n"/>
      <c r="W26" s="91">
        <f>K26/(F26/((YEAR(E26)*12+MONTH(E26))-(YEAR(D26)*12+MONTH(D26))+1))</f>
        <v/>
      </c>
      <c r="X26" s="91">
        <f>G26/F26</f>
        <v/>
      </c>
      <c r="Y26" s="567">
        <f>F26-G26</f>
        <v/>
      </c>
      <c r="Z26" s="513" t="n"/>
      <c r="AA26" s="513" t="n"/>
      <c r="AB26" s="501" t="n"/>
      <c r="AE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1">
        <f>SUM(L23:L26)</f>
        <v/>
      </c>
      <c r="M27" s="591">
        <f>SUM(M23:M26)</f>
        <v/>
      </c>
      <c r="N27" s="591">
        <f>SUM(N23:N26)</f>
        <v/>
      </c>
      <c r="O27" s="579">
        <f>SUM(O23:O26)</f>
        <v/>
      </c>
      <c r="P27" s="590">
        <f>SUM(P23:P26)</f>
        <v/>
      </c>
      <c r="Q27" s="590">
        <f>SUM(Q23:Q26)</f>
        <v/>
      </c>
      <c r="R27" s="591">
        <f>SUM(R23:R26)</f>
        <v/>
      </c>
      <c r="S27" s="579">
        <f>SUM(S23:S26)</f>
        <v/>
      </c>
      <c r="T27" s="579">
        <f>SUM(T23:T26)</f>
        <v/>
      </c>
      <c r="U27" s="580">
        <f>SUM(K27+O27+S27+T27)</f>
        <v/>
      </c>
      <c r="V27" s="579" t="inlineStr"/>
      <c r="W27" s="220">
        <f>K27/(F27/((YEAR(E23)*12+MONTH(E23))-(YEAR(D23)*12+MONTH(D23))+1))</f>
        <v/>
      </c>
      <c r="X27" s="221">
        <f>G27/F27</f>
        <v/>
      </c>
      <c r="Y27" s="579">
        <f>F27-G27</f>
        <v/>
      </c>
      <c r="Z27" s="222">
        <f>Z23</f>
        <v/>
      </c>
      <c r="AA27" s="220">
        <f>U27/Z23</f>
        <v/>
      </c>
      <c r="AB27" s="654">
        <f>Z23-U27</f>
        <v/>
      </c>
      <c r="AC27" s="651" t="inlineStr"/>
      <c r="AD27" s="651" t="inlineStr"/>
      <c r="AE27" s="651" t="inlineStr"/>
      <c r="AF27" s="651" t="inlineStr"/>
      <c r="AG27" s="651" t="inlineStr"/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3559.070364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653" t="n">
        <v>50.830377</v>
      </c>
      <c r="M28" s="653" t="n">
        <v>0</v>
      </c>
      <c r="N28" s="653" t="n">
        <v>765.053569</v>
      </c>
      <c r="O28" s="653">
        <f>SUM(L28:N28)</f>
        <v/>
      </c>
      <c r="P28" s="118" t="n">
        <v>153.11976</v>
      </c>
      <c r="Q28" s="118" t="n">
        <v>0</v>
      </c>
      <c r="R28" s="118" t="n">
        <v>560.548117</v>
      </c>
      <c r="S28" s="118">
        <f>SUM(P28:R28)</f>
        <v/>
      </c>
      <c r="T28" s="118" t="n">
        <v>2029.518541</v>
      </c>
      <c r="U28" s="187">
        <f>SUM(K28+O28+S28+T28)</f>
        <v/>
      </c>
      <c r="V28" s="526" t="inlineStr"/>
      <c r="W28" s="122">
        <f>K28/(F28/((YEAR(E28)*12+MONTH(E28))-(YEAR(D28)*12+MONTH(D28))+1))</f>
        <v/>
      </c>
      <c r="X28" s="122">
        <f>G28/F28</f>
        <v/>
      </c>
      <c r="Y28" s="587">
        <f>F28-G28</f>
        <v/>
      </c>
      <c r="Z28" s="214" t="n">
        <v>39429.22</v>
      </c>
      <c r="AA28" s="122">
        <f>AA31</f>
        <v/>
      </c>
      <c r="AB28" s="652">
        <f>AB31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24387.283383</v>
      </c>
      <c r="H29" s="85" t="n">
        <v>-5595.554109</v>
      </c>
      <c r="I29" s="85" t="n">
        <v>0</v>
      </c>
      <c r="J29" s="85" t="n">
        <v>0</v>
      </c>
      <c r="K29" s="85">
        <f>SUM(H29:J29)</f>
        <v/>
      </c>
      <c r="L29" s="85" t="n">
        <v>2164.476574</v>
      </c>
      <c r="M29" s="85" t="n">
        <v>0</v>
      </c>
      <c r="N29" s="85" t="n">
        <v>365.27682</v>
      </c>
      <c r="O29" s="85">
        <f>SUM(L29:N29)</f>
        <v/>
      </c>
      <c r="P29" s="85" t="n">
        <v>2346.171162</v>
      </c>
      <c r="Q29" s="85" t="n">
        <v>0</v>
      </c>
      <c r="R29" s="500" t="n"/>
      <c r="S29" s="85">
        <f>SUM(P29:R29)</f>
        <v/>
      </c>
      <c r="T29" s="85" t="n">
        <v>24919.495747</v>
      </c>
      <c r="U29" s="187">
        <f>SUM(K29+O29+S29+T29)</f>
        <v/>
      </c>
      <c r="V29" s="500" t="n"/>
      <c r="W29" s="91">
        <f>K29/(F29/((YEAR(E29)*12+MONTH(E29))-(YEAR(D29)*12+MONTH(D29))+1))</f>
        <v/>
      </c>
      <c r="X29" s="91">
        <f>G29/F29</f>
        <v/>
      </c>
      <c r="Y29" s="567">
        <f>F29-G29</f>
        <v/>
      </c>
      <c r="Z29" s="500" t="n"/>
      <c r="AA29" s="500" t="n"/>
      <c r="AB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1138.55362</v>
      </c>
      <c r="H30" s="100" t="n">
        <v>0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2.181886</v>
      </c>
      <c r="O30" s="100">
        <f>SUM(L30:N30)</f>
        <v/>
      </c>
      <c r="P30" s="100" t="n">
        <v>0</v>
      </c>
      <c r="Q30" s="100" t="n">
        <v>0</v>
      </c>
      <c r="R30" s="501" t="n"/>
      <c r="S30" s="100">
        <f>SUM(P30:R30)</f>
        <v/>
      </c>
      <c r="T30" s="100" t="n">
        <v>66.75825</v>
      </c>
      <c r="U30" s="187">
        <f>SUM(K30+O30+S30+T30)</f>
        <v/>
      </c>
      <c r="V30" s="501" t="n"/>
      <c r="W30" s="205">
        <f>K30/(F30/((YEAR(E30)*12+MONTH(E30))-(YEAR(D30)*12+MONTH(D30))+1))</f>
        <v/>
      </c>
      <c r="X30" s="205">
        <f>G30/F30</f>
        <v/>
      </c>
      <c r="Y30" s="576">
        <f>F30-G30</f>
        <v/>
      </c>
      <c r="Z30" s="501" t="n"/>
      <c r="AA30" s="501" t="n"/>
      <c r="AB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1">
        <f>SUM(L28:L30)</f>
        <v/>
      </c>
      <c r="M31" s="591">
        <f>SUM(M28:M30)</f>
        <v/>
      </c>
      <c r="N31" s="591">
        <f>SUM(N28:N30)</f>
        <v/>
      </c>
      <c r="O31" s="579">
        <f>SUM(O28:O30)</f>
        <v/>
      </c>
      <c r="P31" s="590">
        <f>SUM(P28:P30)</f>
        <v/>
      </c>
      <c r="Q31" s="590">
        <f>SUM(Q28:Q30)</f>
        <v/>
      </c>
      <c r="R31" s="591">
        <f>SUM(R28:R30)</f>
        <v/>
      </c>
      <c r="S31" s="579">
        <f>SUM(S28:S30)</f>
        <v/>
      </c>
      <c r="T31" s="579">
        <f>SUM(T28:T30)</f>
        <v/>
      </c>
      <c r="U31" s="580">
        <f>SUM(K31+O31+S31+T31)</f>
        <v/>
      </c>
      <c r="V31" s="579" t="inlineStr"/>
      <c r="W31" s="220">
        <f>K31/(F31/((YEAR(E28)*12+MONTH(E28))-(YEAR(D28)*12+MONTH(D28))+1))</f>
        <v/>
      </c>
      <c r="X31" s="221">
        <f>G31/F31</f>
        <v/>
      </c>
      <c r="Y31" s="579">
        <f>F31-G31</f>
        <v/>
      </c>
      <c r="Z31" s="222">
        <f>Z28</f>
        <v/>
      </c>
      <c r="AA31" s="220">
        <f>U31/Z28</f>
        <v/>
      </c>
      <c r="AB31" s="654">
        <f>Z28-U31</f>
        <v/>
      </c>
      <c r="AC31" s="651" t="inlineStr"/>
      <c r="AD31" s="651" t="inlineStr"/>
      <c r="AE31" s="651" t="inlineStr"/>
      <c r="AF31" s="651" t="inlineStr"/>
      <c r="AG31" s="651" t="inlineStr"/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46082</v>
      </c>
      <c r="E32" s="638" t="n">
        <v>46234</v>
      </c>
      <c r="F32" s="116" t="n">
        <v>3056.1223</v>
      </c>
      <c r="G32" s="565" t="n">
        <v>153.213747</v>
      </c>
      <c r="H32" s="653" t="n">
        <v>0</v>
      </c>
      <c r="I32" s="653" t="n">
        <v>0</v>
      </c>
      <c r="J32" s="653" t="n">
        <v>0</v>
      </c>
      <c r="K32" s="653">
        <f>SUM(H32:J32)</f>
        <v/>
      </c>
      <c r="L32" s="653" t="n">
        <v>103.23148</v>
      </c>
      <c r="M32" s="653" t="n">
        <v>0</v>
      </c>
      <c r="N32" s="653" t="n">
        <v>49.982267</v>
      </c>
      <c r="O32" s="653">
        <f>SUM(L32:N32)</f>
        <v/>
      </c>
      <c r="P32" s="118" t="n">
        <v>51.706393</v>
      </c>
      <c r="Q32" s="118" t="n">
        <v>90.204069</v>
      </c>
      <c r="R32" s="118" t="n">
        <v>16.925117</v>
      </c>
      <c r="S32" s="118">
        <f>SUM(P32:R32)</f>
        <v/>
      </c>
      <c r="T32" s="118" t="n">
        <v>193.330405</v>
      </c>
      <c r="U32" s="187">
        <f>SUM(K32+O32+S32+T32)</f>
        <v/>
      </c>
      <c r="V32" s="526" t="inlineStr"/>
      <c r="W32" s="122">
        <f>K32/(F32/((YEAR(E32)*12+MONTH(E32))-(YEAR(D32)*12+MONTH(D32))+1))</f>
        <v/>
      </c>
      <c r="X32" s="122">
        <f>G32/F32</f>
        <v/>
      </c>
      <c r="Y32" s="587">
        <f>F32-G32</f>
        <v/>
      </c>
      <c r="Z32" s="214" t="n">
        <v>24216.5</v>
      </c>
      <c r="AA32" s="122">
        <f>AA35</f>
        <v/>
      </c>
      <c r="AB32" s="652">
        <f>AB35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9914.281359000001</v>
      </c>
      <c r="H33" s="85" t="n">
        <v>0</v>
      </c>
      <c r="I33" s="85" t="n">
        <v>0</v>
      </c>
      <c r="J33" s="85" t="n">
        <v>0</v>
      </c>
      <c r="K33" s="85">
        <f>SUM(H33:J33)</f>
        <v/>
      </c>
      <c r="L33" s="85" t="n">
        <v>3314.503374</v>
      </c>
      <c r="M33" s="85" t="n">
        <v>0</v>
      </c>
      <c r="N33" s="85" t="n">
        <v>534.556203</v>
      </c>
      <c r="O33" s="85">
        <f>SUM(L33:N33)</f>
        <v/>
      </c>
      <c r="P33" s="85" t="n">
        <v>4769.379014</v>
      </c>
      <c r="Q33" s="85" t="n">
        <v>0</v>
      </c>
      <c r="R33" s="500" t="n"/>
      <c r="S33" s="85">
        <f>SUM(P33:R33)</f>
        <v/>
      </c>
      <c r="T33" s="85" t="n">
        <v>1069.968142</v>
      </c>
      <c r="U33" s="187">
        <f>SUM(K33+O33+S33+T33)</f>
        <v/>
      </c>
      <c r="V33" s="500" t="n"/>
      <c r="W33" s="91">
        <f>K33/(F33/((YEAR(E33)*12+MONTH(E33))-(YEAR(D33)*12+MONTH(D33))+1))</f>
        <v/>
      </c>
      <c r="X33" s="91">
        <f>G33/F33</f>
        <v/>
      </c>
      <c r="Y33" s="567">
        <f>F33-G33</f>
        <v/>
      </c>
      <c r="Z33" s="500" t="n"/>
      <c r="AA33" s="500" t="n"/>
      <c r="AB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12455.879022</v>
      </c>
      <c r="H34" s="100" t="n">
        <v>174.03672</v>
      </c>
      <c r="I34" s="100" t="n">
        <v>0</v>
      </c>
      <c r="J34" s="100" t="n">
        <v>0</v>
      </c>
      <c r="K34" s="100">
        <f>SUM(H34:J34)</f>
        <v/>
      </c>
      <c r="L34" s="100" t="n">
        <v>2158.292651</v>
      </c>
      <c r="M34" s="100" t="n">
        <v>8187.6366</v>
      </c>
      <c r="N34" s="100" t="n">
        <v>194.447373</v>
      </c>
      <c r="O34" s="100">
        <f>SUM(L34:N34)</f>
        <v/>
      </c>
      <c r="P34" s="100" t="n">
        <v>474.6456</v>
      </c>
      <c r="Q34" s="100" t="n">
        <v>0</v>
      </c>
      <c r="R34" s="501" t="n"/>
      <c r="S34" s="100">
        <f>SUM(P34:R34)</f>
        <v/>
      </c>
      <c r="T34" s="100" t="n">
        <v>1144.784607</v>
      </c>
      <c r="U34" s="187">
        <f>SUM(K34+O34+S34+T34)</f>
        <v/>
      </c>
      <c r="V34" s="501" t="n"/>
      <c r="W34" s="205">
        <f>K34/(F34/((YEAR(E34)*12+MONTH(E34))-(YEAR(D34)*12+MONTH(D34))+1))</f>
        <v/>
      </c>
      <c r="X34" s="205">
        <f>G34/F34</f>
        <v/>
      </c>
      <c r="Y34" s="576">
        <f>F34-G34</f>
        <v/>
      </c>
      <c r="Z34" s="501" t="n"/>
      <c r="AA34" s="501" t="n"/>
      <c r="AB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641">
        <f>SUM(O32:O34)</f>
        <v/>
      </c>
      <c r="P35" s="597">
        <f>SUM(P32:P34)</f>
        <v/>
      </c>
      <c r="Q35" s="597">
        <f>SUM(Q32:Q34)</f>
        <v/>
      </c>
      <c r="R35" s="597">
        <f>SUM(R32:R34)</f>
        <v/>
      </c>
      <c r="S35" s="597">
        <f>SUM(S32:S34)</f>
        <v/>
      </c>
      <c r="T35" s="641">
        <f>SUM(T32:T34)</f>
        <v/>
      </c>
      <c r="U35" s="580">
        <f>SUM(K35+O35+S35+T35)</f>
        <v/>
      </c>
      <c r="V35" s="598" t="inlineStr"/>
      <c r="W35" s="226">
        <f>K35/(F35/((YEAR(E32)*12+MONTH(E32))-(YEAR(D32)*12+MONTH(D32))+1))</f>
        <v/>
      </c>
      <c r="X35" s="227">
        <f>G35/F35</f>
        <v/>
      </c>
      <c r="Y35" s="598">
        <f>F35-G35</f>
        <v/>
      </c>
      <c r="Z35" s="228">
        <f>Z32</f>
        <v/>
      </c>
      <c r="AA35" s="226">
        <f>U35/Z32</f>
        <v/>
      </c>
      <c r="AB35" s="655">
        <f>Z32-U35</f>
        <v/>
      </c>
      <c r="AC35" s="651" t="inlineStr"/>
      <c r="AD35" s="651" t="inlineStr"/>
      <c r="AE35" s="651" t="inlineStr"/>
      <c r="AF35" s="651" t="inlineStr"/>
      <c r="AG35" s="651" t="inlineStr"/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27342.906873</v>
      </c>
      <c r="H36" s="142" t="n">
        <v>235.299993</v>
      </c>
      <c r="I36" s="142" t="n">
        <v>0</v>
      </c>
      <c r="J36" s="142" t="n">
        <v>0</v>
      </c>
      <c r="K36" s="197">
        <f>SUM(H36:J36)</f>
        <v/>
      </c>
      <c r="L36" s="142" t="n">
        <v>10803.329409</v>
      </c>
      <c r="M36" s="142" t="n">
        <v>0</v>
      </c>
      <c r="N36" s="142" t="n">
        <v>322.318526</v>
      </c>
      <c r="O36" s="197">
        <f>SUM(L36:N36)</f>
        <v/>
      </c>
      <c r="P36" s="142" t="n">
        <v>6594.535422</v>
      </c>
      <c r="Q36" s="142" t="n">
        <v>0</v>
      </c>
      <c r="R36" s="142" t="n">
        <v>271.914403</v>
      </c>
      <c r="S36" s="197">
        <f>SUM(P36:R36)</f>
        <v/>
      </c>
      <c r="T36" s="197" t="n">
        <v>9115.509121999999</v>
      </c>
      <c r="U36" s="187">
        <f>SUM(K36+O36+S36+T36)</f>
        <v/>
      </c>
      <c r="V36" s="644" t="inlineStr"/>
      <c r="W36" s="148">
        <f>K36/(F36/((YEAR(E36)*12+MONTH(E36))-(YEAR(D36)*12+MONTH(D36))+1))</f>
        <v/>
      </c>
      <c r="X36" s="148">
        <f>G36/F36</f>
        <v/>
      </c>
      <c r="Y36" s="604">
        <f>F36-G36</f>
        <v/>
      </c>
      <c r="Z36" s="230" t="n">
        <v>30127.5</v>
      </c>
      <c r="AA36" s="148">
        <f>AA38</f>
        <v/>
      </c>
      <c r="AB36" s="656">
        <f>AB38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46049</v>
      </c>
      <c r="E37" s="645" t="n">
        <v>46229</v>
      </c>
      <c r="F37" s="153" t="n">
        <v>2762.98</v>
      </c>
      <c r="G37" s="565" t="n">
        <v>1139.104239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0</v>
      </c>
      <c r="M37" s="154" t="n">
        <v>342.296351</v>
      </c>
      <c r="N37" s="154" t="n">
        <v>9.529415999999999</v>
      </c>
      <c r="O37" s="154">
        <f>SUM(L37:N37)</f>
        <v/>
      </c>
      <c r="P37" s="154" t="n">
        <v>440.8209</v>
      </c>
      <c r="Q37" s="154" t="n">
        <v>0</v>
      </c>
      <c r="R37" s="501" t="n"/>
      <c r="S37" s="154">
        <f>SUM(P37:R37)</f>
        <v/>
      </c>
      <c r="T37" s="154" t="n">
        <v>0</v>
      </c>
      <c r="U37" s="187">
        <f>SUM(K37+O37+S37+T37)</f>
        <v/>
      </c>
      <c r="V37" s="501" t="n"/>
      <c r="W37" s="232">
        <f>K37/(F37/((YEAR(E37)*12+MONTH(E37))-(YEAR(D37)*12+MONTH(D37))+1))</f>
        <v/>
      </c>
      <c r="X37" s="232">
        <f>G37/F37</f>
        <v/>
      </c>
      <c r="Y37" s="611">
        <f>F37-G37</f>
        <v/>
      </c>
      <c r="Z37" s="607" t="n"/>
      <c r="AA37" s="501" t="n"/>
      <c r="AB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538">
        <f>SUM(L36:L37)</f>
        <v/>
      </c>
      <c r="M38" s="538">
        <f>SUM(M36:M37)</f>
        <v/>
      </c>
      <c r="N38" s="538">
        <f>SUM(N36:N37)</f>
        <v/>
      </c>
      <c r="O38" s="538">
        <f>SUM(O36:O37)</f>
        <v/>
      </c>
      <c r="P38" s="614">
        <f>SUM(P36:P37)</f>
        <v/>
      </c>
      <c r="Q38" s="614">
        <f>SUM(Q36:Q37)</f>
        <v/>
      </c>
      <c r="R38" s="614">
        <f>SUM(R36:R37)</f>
        <v/>
      </c>
      <c r="S38" s="614">
        <f>SUM(S36:S37)</f>
        <v/>
      </c>
      <c r="T38" s="614">
        <f>SUM(T36:T37)</f>
        <v/>
      </c>
      <c r="U38" s="580">
        <f>SUM(K38+O38+S38+T38)</f>
        <v/>
      </c>
      <c r="V38" s="614" t="inlineStr"/>
      <c r="W38" s="234">
        <f>K38/(F38/((YEAR(E36)*12+MONTH(E36))-(YEAR(D36)*12+MONTH(D36))+1))</f>
        <v/>
      </c>
      <c r="X38" s="235">
        <f>G38/F38</f>
        <v/>
      </c>
      <c r="Y38" s="615">
        <f>F38-G38</f>
        <v/>
      </c>
      <c r="Z38" s="236">
        <f>Z36</f>
        <v/>
      </c>
      <c r="AA38" s="234">
        <f>U38/Z36</f>
        <v/>
      </c>
      <c r="AB38" s="657">
        <f>Z36-U38</f>
        <v/>
      </c>
      <c r="AC38" s="651" t="inlineStr"/>
      <c r="AD38" s="651" t="inlineStr"/>
      <c r="AE38" s="651" t="inlineStr"/>
      <c r="AF38" s="651" t="inlineStr"/>
      <c r="AG38" s="651" t="inlineStr"/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5535.694322</v>
      </c>
      <c r="H39" s="142" t="n">
        <v>871.197576</v>
      </c>
      <c r="I39" s="142" t="n">
        <v>0</v>
      </c>
      <c r="J39" s="142" t="n">
        <v>0</v>
      </c>
      <c r="K39" s="142">
        <f>SUM(H39:J39)</f>
        <v/>
      </c>
      <c r="L39" s="142" t="n">
        <v>731.292658</v>
      </c>
      <c r="M39" s="142" t="n">
        <v>1570.344134</v>
      </c>
      <c r="N39" s="142" t="n">
        <v>339.948287</v>
      </c>
      <c r="O39" s="142">
        <f>SUM(L39:N39)</f>
        <v/>
      </c>
      <c r="P39" s="142" t="n">
        <v>1738.204897</v>
      </c>
      <c r="Q39" s="142" t="n">
        <v>0</v>
      </c>
      <c r="R39" s="142" t="n">
        <v>284.706769</v>
      </c>
      <c r="S39" s="142">
        <f>SUM(P39:R39)</f>
        <v/>
      </c>
      <c r="T39" s="142" t="n">
        <v>1538.392041</v>
      </c>
      <c r="U39" s="187">
        <f>SUM(K39+O39+S39+T39)</f>
        <v/>
      </c>
      <c r="V39" s="644" t="inlineStr"/>
      <c r="W39" s="148">
        <f>K39/(F39/((YEAR(E39)*12+MONTH(E39))-(YEAR(D39)*12+MONTH(D39))+1))</f>
        <v/>
      </c>
      <c r="X39" s="148">
        <f>G39/F39</f>
        <v/>
      </c>
      <c r="Y39" s="616">
        <f>F39-G39</f>
        <v/>
      </c>
      <c r="Z39" s="230" t="n">
        <v>26246.88</v>
      </c>
      <c r="AA39" s="148">
        <f>AA41</f>
        <v/>
      </c>
      <c r="AB39" s="656">
        <f>AB41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45922</v>
      </c>
      <c r="E40" s="645" t="n">
        <v>46102</v>
      </c>
      <c r="F40" s="153" t="n">
        <v>12213.96</v>
      </c>
      <c r="G40" s="565" t="n">
        <v>795.1018749999999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809.929895</v>
      </c>
      <c r="M40" s="154" t="n">
        <v>0</v>
      </c>
      <c r="N40" s="154" t="n">
        <v>47.503424</v>
      </c>
      <c r="O40" s="154">
        <f>SUM(L40:N40)</f>
        <v/>
      </c>
      <c r="P40" s="154" t="n">
        <v>176.20858</v>
      </c>
      <c r="Q40" s="154" t="n">
        <v>0</v>
      </c>
      <c r="R40" s="501" t="n"/>
      <c r="S40" s="154">
        <f>SUM(P40:R40)</f>
        <v/>
      </c>
      <c r="T40" s="154" t="n">
        <v>12.282809</v>
      </c>
      <c r="U40" s="187">
        <f>SUM(K40+O40+S40+T40)</f>
        <v/>
      </c>
      <c r="V40" s="501" t="n"/>
      <c r="W40" s="232">
        <f>K40/(F40/((YEAR(E40)*12+MONTH(E40))-(YEAR(D40)*12+MONTH(D40))+1))</f>
        <v/>
      </c>
      <c r="X40" s="232">
        <f>G40/F40</f>
        <v/>
      </c>
      <c r="Y40" s="617">
        <f>F40-G40</f>
        <v/>
      </c>
      <c r="Z40" s="607" t="n"/>
      <c r="AA40" s="501" t="n"/>
      <c r="AB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538">
        <f>SUM(L39:L40)</f>
        <v/>
      </c>
      <c r="M41" s="538">
        <f>SUM(M39:M40)</f>
        <v/>
      </c>
      <c r="N41" s="538">
        <f>SUM(N39:N40)</f>
        <v/>
      </c>
      <c r="O41" s="538">
        <f>SUM(O39:O40)</f>
        <v/>
      </c>
      <c r="P41" s="621">
        <f>SUM(P39:P40)</f>
        <v/>
      </c>
      <c r="Q41" s="621">
        <f>SUM(Q39:Q40)</f>
        <v/>
      </c>
      <c r="R41" s="621">
        <f>SUM(R39:R40)</f>
        <v/>
      </c>
      <c r="S41" s="621">
        <f>SUM(S39:S40)</f>
        <v/>
      </c>
      <c r="T41" s="621">
        <f>SUM(T39:T40)</f>
        <v/>
      </c>
      <c r="U41" s="580">
        <f>SUM(K41+O41+S41+T41)</f>
        <v/>
      </c>
      <c r="V41" s="621" t="inlineStr"/>
      <c r="W41" s="239">
        <f>K41/(F41/((YEAR(E39)*12+MONTH(E39))-(YEAR(D39)*12+MONTH(D39))+1))</f>
        <v/>
      </c>
      <c r="X41" s="240">
        <f>G41/F41</f>
        <v/>
      </c>
      <c r="Y41" s="621">
        <f>F41-G41</f>
        <v/>
      </c>
      <c r="Z41" s="241">
        <f>Z39</f>
        <v/>
      </c>
      <c r="AA41" s="242">
        <f>U41/Z39</f>
        <v/>
      </c>
      <c r="AB41" s="658">
        <f>Z39-U41</f>
        <v/>
      </c>
      <c r="AC41" s="651" t="inlineStr"/>
      <c r="AD41" s="651" t="inlineStr"/>
      <c r="AE41" s="651" t="inlineStr"/>
      <c r="AF41" s="651" t="inlineStr"/>
      <c r="AG41" s="651" t="inlineStr"/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13478.206896</v>
      </c>
      <c r="H42" s="142" t="n">
        <v>0</v>
      </c>
      <c r="I42" s="142" t="n">
        <v>0</v>
      </c>
      <c r="J42" s="142" t="n">
        <v>0</v>
      </c>
      <c r="K42" s="142">
        <f>SUM(H42:J42)</f>
        <v/>
      </c>
      <c r="L42" s="142" t="n">
        <v>9546.464904</v>
      </c>
      <c r="M42" s="142" t="n">
        <v>0</v>
      </c>
      <c r="N42" s="142" t="n">
        <v>316.814478</v>
      </c>
      <c r="O42" s="142">
        <f>SUM(L42:N42)</f>
        <v/>
      </c>
      <c r="P42" s="142" t="n">
        <v>1081.878995</v>
      </c>
      <c r="Q42" s="142" t="n">
        <v>523.50012</v>
      </c>
      <c r="R42" s="142" t="n">
        <v>135.589522</v>
      </c>
      <c r="S42" s="142">
        <f>SUM(P42:R42)</f>
        <v/>
      </c>
      <c r="T42" s="142" t="n">
        <v>1873.958877</v>
      </c>
      <c r="U42" s="187">
        <f>SUM(K42+O42+S42+T42)</f>
        <v/>
      </c>
      <c r="V42" s="644" t="inlineStr"/>
      <c r="W42" s="148">
        <f>K42/(F42/((YEAR(E42)*12+MONTH(E42))-(YEAR(D42)*12+MONTH(D42))+1))</f>
        <v/>
      </c>
      <c r="X42" s="148">
        <f>G42/F42</f>
        <v/>
      </c>
      <c r="Y42" s="616">
        <f>F42-G42</f>
        <v/>
      </c>
      <c r="Z42" s="230" t="n">
        <v>32744.18</v>
      </c>
      <c r="AA42" s="148">
        <f>AA44</f>
        <v/>
      </c>
      <c r="AB42" s="656">
        <f>AB44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597.141293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47.229437</v>
      </c>
      <c r="M43" s="154" t="n">
        <v>0</v>
      </c>
      <c r="N43" s="154" t="n">
        <v>24.120644</v>
      </c>
      <c r="O43" s="154">
        <f>SUM(L43:N43)</f>
        <v/>
      </c>
      <c r="P43" s="154" t="n">
        <v>524.574731</v>
      </c>
      <c r="Q43" s="154" t="n">
        <v>0</v>
      </c>
      <c r="R43" s="501" t="n"/>
      <c r="S43" s="154">
        <f>SUM(P43:R43)</f>
        <v/>
      </c>
      <c r="T43" s="154" t="n">
        <v>0</v>
      </c>
      <c r="U43" s="187">
        <f>SUM(K43+O43+S43+T43)</f>
        <v/>
      </c>
      <c r="V43" s="501" t="n"/>
      <c r="W43" s="232">
        <f>K43/(F43/((YEAR(E43)*12+MONTH(E43))-(YEAR(D43)*12+MONTH(D43))+1))</f>
        <v/>
      </c>
      <c r="X43" s="232">
        <f>G43/F43</f>
        <v/>
      </c>
      <c r="Y43" s="617">
        <f>F43-G43</f>
        <v/>
      </c>
      <c r="Z43" s="607" t="n"/>
      <c r="AA43" s="501" t="n"/>
      <c r="AB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538">
        <f>SUM(L42:L43)</f>
        <v/>
      </c>
      <c r="M44" s="538">
        <f>SUM(M42:M43)</f>
        <v/>
      </c>
      <c r="N44" s="538">
        <f>SUM(N42:N43)</f>
        <v/>
      </c>
      <c r="O44" s="538">
        <f>SUM(O42:O43)</f>
        <v/>
      </c>
      <c r="P44" s="621">
        <f>SUM(P42:P43)</f>
        <v/>
      </c>
      <c r="Q44" s="621">
        <f>SUM(Q42:Q43)</f>
        <v/>
      </c>
      <c r="R44" s="621">
        <f>SUM(R42:R43)</f>
        <v/>
      </c>
      <c r="S44" s="621">
        <f>SUM(S42:S43)</f>
        <v/>
      </c>
      <c r="T44" s="621">
        <f>SUM(T42:T43)</f>
        <v/>
      </c>
      <c r="U44" s="580">
        <f>SUM(K44+O44+S44+T44)</f>
        <v/>
      </c>
      <c r="V44" s="621" t="inlineStr"/>
      <c r="W44" s="239">
        <f>K44/(F44/((YEAR(E42)*12+MONTH(E42))-(YEAR(D42)*12+MONTH(D42))+1))</f>
        <v/>
      </c>
      <c r="X44" s="240">
        <f>G44/F44</f>
        <v/>
      </c>
      <c r="Y44" s="621">
        <f>F44-G44</f>
        <v/>
      </c>
      <c r="Z44" s="241">
        <f>Z42</f>
        <v/>
      </c>
      <c r="AA44" s="242">
        <f>U44/Z42</f>
        <v/>
      </c>
      <c r="AB44" s="658">
        <f>Z42-U44</f>
        <v/>
      </c>
      <c r="AC44" s="651" t="inlineStr"/>
      <c r="AD44" s="651" t="inlineStr"/>
      <c r="AE44" s="651" t="inlineStr"/>
      <c r="AF44" s="651" t="inlineStr"/>
      <c r="AG44" s="651" t="inlineStr"/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6532.095938</v>
      </c>
      <c r="H45" s="589" t="n">
        <v>98.0538</v>
      </c>
      <c r="I45" s="589" t="n">
        <v>0</v>
      </c>
      <c r="J45" s="589" t="n">
        <v>0</v>
      </c>
      <c r="K45" s="589">
        <f>SUM(H45:J45)</f>
        <v/>
      </c>
      <c r="L45" s="589" t="n">
        <v>1550.383391</v>
      </c>
      <c r="M45" s="589" t="n">
        <v>0</v>
      </c>
      <c r="N45" s="589" t="n">
        <v>2098.905896</v>
      </c>
      <c r="O45" s="589">
        <f>SUM(L45:N45)</f>
        <v/>
      </c>
      <c r="P45" s="118" t="n">
        <v>1396.194268</v>
      </c>
      <c r="Q45" s="118" t="n">
        <v>0</v>
      </c>
      <c r="R45" s="118" t="n">
        <v>1388.558583</v>
      </c>
      <c r="S45" s="118">
        <f>SUM(P45:R45)</f>
        <v/>
      </c>
      <c r="T45" s="118" t="n">
        <v>7198.740986</v>
      </c>
      <c r="U45" s="187">
        <f>SUM(K45+O45+S45+T45)</f>
        <v/>
      </c>
      <c r="V45" s="526" t="inlineStr"/>
      <c r="W45" s="122">
        <f>K45/(F45/((YEAR(E45)*12+MONTH(E45))-(YEAR(D45)*12+MONTH(D45))+1))</f>
        <v/>
      </c>
      <c r="X45" s="122">
        <f>G45/F45</f>
        <v/>
      </c>
      <c r="Y45" s="587">
        <f>F45-G45</f>
        <v/>
      </c>
      <c r="Z45" s="244" t="n">
        <v>125710</v>
      </c>
      <c r="AA45" s="171">
        <f>AA49</f>
        <v/>
      </c>
      <c r="AB45" s="659">
        <f>AB49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10607.929822</v>
      </c>
      <c r="H46" s="85" t="n">
        <v>0</v>
      </c>
      <c r="I46" s="85" t="n">
        <v>0</v>
      </c>
      <c r="J46" s="85" t="n">
        <v>0</v>
      </c>
      <c r="K46" s="85">
        <f>SUM(H46:J46)</f>
        <v/>
      </c>
      <c r="L46" s="85" t="n">
        <v>2747.788321</v>
      </c>
      <c r="M46" s="85" t="n">
        <v>0</v>
      </c>
      <c r="N46" s="85" t="n">
        <v>610.841506</v>
      </c>
      <c r="O46" s="85">
        <f>SUM(L46:N46)</f>
        <v/>
      </c>
      <c r="P46" s="85" t="n">
        <v>1566.390968</v>
      </c>
      <c r="Q46" s="85" t="n">
        <v>1037.679365</v>
      </c>
      <c r="R46" s="500" t="n"/>
      <c r="S46" s="118">
        <f>SUM(P46:R46)</f>
        <v/>
      </c>
      <c r="T46" s="118" t="n">
        <v>4333.574839</v>
      </c>
      <c r="U46" s="187">
        <f>SUM(K46+O46+S46+T46)</f>
        <v/>
      </c>
      <c r="V46" s="500" t="n"/>
      <c r="W46" s="91">
        <f>K46/(F46/((YEAR(E46)*12+MONTH(E46))-(YEAR(D46)*12+MONTH(D46))+1))</f>
        <v/>
      </c>
      <c r="X46" s="91">
        <f>G46/F46</f>
        <v/>
      </c>
      <c r="Y46" s="567">
        <f>F46-G46</f>
        <v/>
      </c>
      <c r="Z46" s="626" t="n"/>
      <c r="AA46" s="500" t="n"/>
      <c r="AB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15738.943641</v>
      </c>
      <c r="H47" s="85" t="n">
        <v>0</v>
      </c>
      <c r="I47" s="85" t="n">
        <v>0</v>
      </c>
      <c r="J47" s="85" t="n">
        <v>0</v>
      </c>
      <c r="K47" s="85">
        <f>SUM(H47:J47)</f>
        <v/>
      </c>
      <c r="L47" s="85" t="n">
        <v>3160.387028</v>
      </c>
      <c r="M47" s="85" t="n">
        <v>0</v>
      </c>
      <c r="N47" s="85" t="n">
        <v>3164.9414</v>
      </c>
      <c r="O47" s="85">
        <f>SUM(L47:N47)</f>
        <v/>
      </c>
      <c r="P47" s="85" t="n">
        <v>3065.24731</v>
      </c>
      <c r="Q47" s="85" t="n">
        <v>0</v>
      </c>
      <c r="R47" s="500" t="n"/>
      <c r="S47" s="85">
        <f>SUM(P47:R47)</f>
        <v/>
      </c>
      <c r="T47" s="85" t="n">
        <v>4881.758761</v>
      </c>
      <c r="U47" s="187">
        <f>SUM(K47+O47+S47+T47)</f>
        <v/>
      </c>
      <c r="V47" s="500" t="n"/>
      <c r="W47" s="91">
        <f>K47/(F47/((YEAR(E47)*12+MONTH(E47))-(YEAR(D47)*12+MONTH(D47))+1))</f>
        <v/>
      </c>
      <c r="X47" s="91">
        <f>G47/F47</f>
        <v/>
      </c>
      <c r="Y47" s="567">
        <f>F47-G47</f>
        <v/>
      </c>
      <c r="Z47" s="626" t="n"/>
      <c r="AA47" s="500" t="n"/>
      <c r="AB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120.3072</v>
      </c>
      <c r="I48" s="100" t="n">
        <v>0</v>
      </c>
      <c r="J48" s="100" t="n">
        <v>0</v>
      </c>
      <c r="K48" s="100">
        <f>SUM(H48:J48)</f>
        <v/>
      </c>
      <c r="L48" s="100" t="n">
        <v>1958.298381</v>
      </c>
      <c r="M48" s="100" t="n">
        <v>0</v>
      </c>
      <c r="N48" s="100" t="n">
        <v>668.610552</v>
      </c>
      <c r="O48" s="100">
        <f>SUM(L48:N48)</f>
        <v/>
      </c>
      <c r="P48" s="100" t="n">
        <v>2837.047697</v>
      </c>
      <c r="Q48" s="100" t="n">
        <v>0</v>
      </c>
      <c r="R48" s="501" t="n"/>
      <c r="S48" s="100">
        <f>SUM(P48:R48)</f>
        <v/>
      </c>
      <c r="T48" s="100" t="n">
        <v>2547.377488</v>
      </c>
      <c r="U48" s="187">
        <f>SUM(K48+O48+S48+T48)</f>
        <v/>
      </c>
      <c r="V48" s="501" t="n"/>
      <c r="W48" s="103" t="inlineStr"/>
      <c r="X48" s="205">
        <f>G48/F48</f>
        <v/>
      </c>
      <c r="Y48" s="576">
        <f>F48-G48</f>
        <v/>
      </c>
      <c r="Z48" s="628" t="n"/>
      <c r="AA48" s="513" t="n"/>
      <c r="AB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1">
        <f>SUM(L45:L48)</f>
        <v/>
      </c>
      <c r="M49" s="591">
        <f>SUM(M45:M48)</f>
        <v/>
      </c>
      <c r="N49" s="591">
        <f>SUM(N45:N48)</f>
        <v/>
      </c>
      <c r="O49" s="579">
        <f>SUM(O45:O48)</f>
        <v/>
      </c>
      <c r="P49" s="590">
        <f>SUM(P45:P48)</f>
        <v/>
      </c>
      <c r="Q49" s="590">
        <f>SUM(Q45:Q48)</f>
        <v/>
      </c>
      <c r="R49" s="591">
        <f>SUM(R45:R48)</f>
        <v/>
      </c>
      <c r="S49" s="579">
        <f>SUM(S45:S48)</f>
        <v/>
      </c>
      <c r="T49" s="579">
        <f>SUM(T45:T48)</f>
        <v/>
      </c>
      <c r="U49" s="646">
        <f>SUM(K49+O49+S49+T49)</f>
        <v/>
      </c>
      <c r="V49" s="579" t="inlineStr"/>
      <c r="W49" s="220">
        <f>K49/(F49/((YEAR(E45)*12+MONTH(E45))-(YEAR(D45)*12+MONTH(D45))+1))</f>
        <v/>
      </c>
      <c r="X49" s="221">
        <f>G49/F49</f>
        <v/>
      </c>
      <c r="Y49" s="598">
        <f>F49-G49</f>
        <v/>
      </c>
      <c r="Z49" s="228">
        <f>Z45</f>
        <v/>
      </c>
      <c r="AA49" s="226">
        <f>U49/Z45</f>
        <v/>
      </c>
      <c r="AB49" s="655">
        <f>Z45-U49</f>
        <v/>
      </c>
      <c r="AC49" s="651" t="inlineStr"/>
      <c r="AD49" s="651" t="inlineStr"/>
      <c r="AE49" s="651" t="inlineStr"/>
      <c r="AF49" s="651" t="inlineStr"/>
      <c r="AG49" s="651" t="inlineStr"/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1">
        <f>O10+O16+O22+O27+O31+O35+O38+O41+O44+O49</f>
        <v/>
      </c>
      <c r="P50" s="660">
        <f>P10+P16+P22+P27+P31+P35+P38+P41+P44+P49</f>
        <v/>
      </c>
      <c r="Q50" s="660">
        <f>Q10+Q16+Q22+Q27+Q31+Q35+Q38+Q41+Q44+Q49</f>
        <v/>
      </c>
      <c r="R50" s="660">
        <f>R10+R16+R22+R27+R31+R35+R38+R41+R44+R49</f>
        <v/>
      </c>
      <c r="S50" s="660">
        <f>S10+S16+S22+S27+S31+S35+S38+S41+S44+S49</f>
        <v/>
      </c>
      <c r="T50" s="661">
        <f>T10+T16+T22+T27+T31+T35+T38+T41+T44+T49</f>
        <v/>
      </c>
      <c r="U50" s="662">
        <f>U10+U16+U22+U27+U31+U35+U38+U41+U44+U49</f>
        <v/>
      </c>
      <c r="V50" s="632" t="inlineStr"/>
      <c r="W50" s="249">
        <f>K50/(F50/((YEAR(E4)*12+MONTH(E4))-(YEAR(D4)*12+MONTH(D4))+1))</f>
        <v/>
      </c>
      <c r="X50" s="250">
        <f>G50/F50</f>
        <v/>
      </c>
      <c r="Y50" s="663">
        <f>F50-G50</f>
        <v/>
      </c>
      <c r="Z50" s="663">
        <f>Z10+Z16+Z22+Z27+Z31+Z35+Z38+Z41+Z44+Z49</f>
        <v/>
      </c>
      <c r="AA50" s="252">
        <f>U50/Z50</f>
        <v/>
      </c>
      <c r="AB50" s="663">
        <f>Z50-U50</f>
        <v/>
      </c>
      <c r="AC50" s="664" t="inlineStr"/>
      <c r="AD50" s="664" t="inlineStr"/>
      <c r="AE50" s="664" t="inlineStr"/>
      <c r="AF50" s="664" t="inlineStr"/>
      <c r="AG50" s="664" t="inlineStr"/>
    </row>
    <row r="51" ht="24" customFormat="1" customHeight="1" s="483">
      <c r="Y51" s="633" t="inlineStr">
        <is>
          <t>公司目标</t>
        </is>
      </c>
      <c r="Z51" s="633" t="n">
        <v>630987.38</v>
      </c>
      <c r="AA51" s="252">
        <f>IF(Z51&lt;&gt;0,U50/Z51,"")</f>
        <v/>
      </c>
      <c r="AB51" s="663">
        <f>Z51-U50</f>
        <v/>
      </c>
    </row>
  </sheetData>
  <mergeCells count="99">
    <mergeCell ref="A45:A48"/>
    <mergeCell ref="U2:U3"/>
    <mergeCell ref="Z28:Z30"/>
    <mergeCell ref="R17:R21"/>
    <mergeCell ref="AB28:AB30"/>
    <mergeCell ref="A2:A3"/>
    <mergeCell ref="C2:C3"/>
    <mergeCell ref="R42:R43"/>
    <mergeCell ref="E2:E3"/>
    <mergeCell ref="V36:V37"/>
    <mergeCell ref="W2:W3"/>
    <mergeCell ref="Z39:Z40"/>
    <mergeCell ref="AB39:AB40"/>
    <mergeCell ref="Z11:Z15"/>
    <mergeCell ref="AA2:AA3"/>
    <mergeCell ref="V45:V48"/>
    <mergeCell ref="Z4:Z9"/>
    <mergeCell ref="AA42:AA43"/>
    <mergeCell ref="V2:V3"/>
    <mergeCell ref="X2:X3"/>
    <mergeCell ref="R32:R34"/>
    <mergeCell ref="A49:E49"/>
    <mergeCell ref="AB17:AB21"/>
    <mergeCell ref="A32:A34"/>
    <mergeCell ref="N2:N3"/>
    <mergeCell ref="V23:V26"/>
    <mergeCell ref="F2:F3"/>
    <mergeCell ref="P2:P3"/>
    <mergeCell ref="H2:H3"/>
    <mergeCell ref="AA11:AA15"/>
    <mergeCell ref="AA32:AA34"/>
    <mergeCell ref="R36:R37"/>
    <mergeCell ref="K2:K3"/>
    <mergeCell ref="Z42:Z43"/>
    <mergeCell ref="AA45:AA48"/>
    <mergeCell ref="AB36:AB37"/>
    <mergeCell ref="V39:V40"/>
    <mergeCell ref="A23:A26"/>
    <mergeCell ref="AA4:AA9"/>
    <mergeCell ref="O2:O3"/>
    <mergeCell ref="Q2:Q3"/>
    <mergeCell ref="V17:V21"/>
    <mergeCell ref="V28:V30"/>
    <mergeCell ref="A4:A9"/>
    <mergeCell ref="A38:E38"/>
    <mergeCell ref="A39:A40"/>
    <mergeCell ref="A31:E31"/>
    <mergeCell ref="S2:S3"/>
    <mergeCell ref="AA23:AA26"/>
    <mergeCell ref="V11:V15"/>
    <mergeCell ref="A36:A37"/>
    <mergeCell ref="B2:B3"/>
    <mergeCell ref="D2:D3"/>
    <mergeCell ref="V32:V34"/>
    <mergeCell ref="A17:A21"/>
    <mergeCell ref="R4:R9"/>
    <mergeCell ref="AA39:AA40"/>
    <mergeCell ref="A16:E16"/>
    <mergeCell ref="V4:V9"/>
    <mergeCell ref="A28:A30"/>
    <mergeCell ref="Z2:Z3"/>
    <mergeCell ref="AA36:AA37"/>
    <mergeCell ref="AB2:AB3"/>
    <mergeCell ref="T2:T3"/>
    <mergeCell ref="AA17:AA21"/>
    <mergeCell ref="AA28:AA30"/>
    <mergeCell ref="A50:E50"/>
    <mergeCell ref="A11:A15"/>
    <mergeCell ref="R28:R30"/>
    <mergeCell ref="A22:E22"/>
    <mergeCell ref="AB42:AB43"/>
    <mergeCell ref="A44:E44"/>
    <mergeCell ref="G2:G3"/>
    <mergeCell ref="V42:V43"/>
    <mergeCell ref="I2:I3"/>
    <mergeCell ref="R39:R40"/>
    <mergeCell ref="Z36:Z37"/>
    <mergeCell ref="R23:R26"/>
    <mergeCell ref="Z17:Z21"/>
    <mergeCell ref="AB11:AB15"/>
    <mergeCell ref="M2:M3"/>
    <mergeCell ref="Z45:Z48"/>
    <mergeCell ref="Y2:Y3"/>
    <mergeCell ref="AB45:AB48"/>
    <mergeCell ref="AB4:AB9"/>
    <mergeCell ref="A41:E41"/>
    <mergeCell ref="R45:R48"/>
    <mergeCell ref="A27:E27"/>
    <mergeCell ref="Z23:Z26"/>
    <mergeCell ref="AB23:AB26"/>
    <mergeCell ref="A42:A43"/>
    <mergeCell ref="R11:R15"/>
    <mergeCell ref="Z32:Z34"/>
    <mergeCell ref="R2:R3"/>
    <mergeCell ref="AB32:AB34"/>
    <mergeCell ref="J2:J3"/>
    <mergeCell ref="L2:L3"/>
    <mergeCell ref="A35:E35"/>
    <mergeCell ref="A10:E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width="12.875" customWidth="1" style="533" min="20" max="20"/>
    <col width="9" customWidth="1" style="533" min="21" max="21"/>
    <col width="14" customWidth="1" style="533" min="22" max="22"/>
    <col width="14.125" customWidth="1" style="533" min="23" max="23"/>
    <col width="9" customWidth="1" style="533" min="24" max="32"/>
  </cols>
  <sheetData>
    <row r="1" ht="20.25" customFormat="1" customHeight="1" s="483">
      <c r="A1" s="665" t="inlineStr">
        <is>
          <t>私人财富管理部折标销售进度表-截止20260417</t>
        </is>
      </c>
      <c r="X1" s="552" t="inlineStr">
        <is>
          <t>上半年时间进度</t>
        </is>
      </c>
      <c r="AA1" s="70">
        <f>AF7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传统202604</t>
        </is>
      </c>
      <c r="I2" s="541" t="inlineStr">
        <is>
          <t>保险202604</t>
        </is>
      </c>
      <c r="J2" s="541" t="inlineStr">
        <is>
          <t>管理费202604</t>
        </is>
      </c>
      <c r="K2" s="669" t="inlineStr">
        <is>
          <t>2026年
4月折标</t>
        </is>
      </c>
      <c r="L2" s="541" t="inlineStr">
        <is>
          <t>传统202603</t>
        </is>
      </c>
      <c r="M2" s="541" t="inlineStr">
        <is>
          <t>保险202603</t>
        </is>
      </c>
      <c r="N2" s="541" t="inlineStr">
        <is>
          <t>管理费202603</t>
        </is>
      </c>
      <c r="O2" s="669" t="inlineStr">
        <is>
          <t>2026年
3月折标</t>
        </is>
      </c>
      <c r="P2" s="541" t="inlineStr">
        <is>
          <t>传统202602</t>
        </is>
      </c>
      <c r="Q2" s="541" t="inlineStr">
        <is>
          <t>保险202602</t>
        </is>
      </c>
      <c r="R2" s="541" t="inlineStr">
        <is>
          <t>管理费202602</t>
        </is>
      </c>
      <c r="S2" s="669" t="inlineStr">
        <is>
          <t>2026年
2月折标</t>
        </is>
      </c>
      <c r="T2" s="669" t="inlineStr">
        <is>
          <t>2026年
1月折标</t>
        </is>
      </c>
      <c r="U2" s="670" t="inlineStr">
        <is>
          <t>2026年YTD折标</t>
        </is>
      </c>
      <c r="V2" s="671" t="inlineStr">
        <is>
          <t>月度
完成率</t>
        </is>
      </c>
      <c r="W2" s="666" t="inlineStr">
        <is>
          <t>考核期完成率（累计）</t>
        </is>
      </c>
      <c r="X2" s="672" t="inlineStr">
        <is>
          <t>考核期差距</t>
        </is>
      </c>
      <c r="Y2" s="673" t="inlineStr">
        <is>
          <t>财富中心
上半年年任务</t>
        </is>
      </c>
      <c r="Z2" s="263" t="inlineStr">
        <is>
          <t>财富中心
上半年任务完成率</t>
        </is>
      </c>
      <c r="AA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9807.584428</v>
      </c>
      <c r="H4" s="85" t="n">
        <v>0</v>
      </c>
      <c r="I4" s="85" t="n">
        <v>0</v>
      </c>
      <c r="J4" s="85" t="n">
        <v>0</v>
      </c>
      <c r="K4" s="187">
        <f>SUM(H4:J4)</f>
        <v/>
      </c>
      <c r="L4" s="85" t="n">
        <v>1613.445926</v>
      </c>
      <c r="M4" s="85" t="n">
        <v>0</v>
      </c>
      <c r="N4" s="85" t="n">
        <v>308.206872</v>
      </c>
      <c r="O4" s="187">
        <f>SUM(L4:N4)</f>
        <v/>
      </c>
      <c r="P4" s="85" t="n">
        <v>454.800547</v>
      </c>
      <c r="Q4" s="85" t="n">
        <v>0</v>
      </c>
      <c r="R4" s="85" t="n">
        <v>289.117436</v>
      </c>
      <c r="S4" s="187">
        <f>SUM(P4:R4)</f>
        <v/>
      </c>
      <c r="T4" s="187" t="n">
        <v>3311.566531</v>
      </c>
      <c r="U4" s="187">
        <f>SUM(K4+O4+S4+T4)</f>
        <v/>
      </c>
      <c r="V4" s="91">
        <f>K4/(F4/((YEAR(E4)*12+MONTH(E4))-(YEAR(D4)*12+MONTH(D4))+1))</f>
        <v/>
      </c>
      <c r="W4" s="91">
        <f>G4/F4</f>
        <v/>
      </c>
      <c r="X4" s="567">
        <f>F4-G4</f>
        <v/>
      </c>
      <c r="Y4" s="203" t="n">
        <v>141926.4</v>
      </c>
      <c r="Z4" s="91">
        <f>Z9</f>
        <v/>
      </c>
      <c r="AA4" s="569">
        <f>AA9</f>
        <v/>
      </c>
      <c r="AD4" s="570" t="inlineStr">
        <is>
          <t>开始日期</t>
        </is>
      </c>
      <c r="AE4" s="570" t="inlineStr">
        <is>
          <t>结束日期</t>
        </is>
      </c>
      <c r="AF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37754.774675</v>
      </c>
      <c r="H5" s="85" t="n">
        <v>987.0861</v>
      </c>
      <c r="I5" s="85" t="n">
        <v>0</v>
      </c>
      <c r="J5" s="85" t="n">
        <v>0</v>
      </c>
      <c r="K5" s="187">
        <f>SUM(H5:J5)</f>
        <v/>
      </c>
      <c r="L5" s="85" t="n">
        <v>1444.66245</v>
      </c>
      <c r="M5" s="85" t="n">
        <v>0</v>
      </c>
      <c r="N5" s="85" t="n">
        <v>797.422443</v>
      </c>
      <c r="O5" s="187">
        <f>SUM(L5:N5)</f>
        <v/>
      </c>
      <c r="P5" s="85" t="n">
        <v>9688.821542</v>
      </c>
      <c r="Q5" s="85" t="n">
        <v>0</v>
      </c>
      <c r="R5" s="500" t="n"/>
      <c r="S5" s="187">
        <f>SUM(P5:R5)</f>
        <v/>
      </c>
      <c r="T5" s="188" t="n">
        <v>13116.995922</v>
      </c>
      <c r="U5" s="187">
        <f>SUM(K5+O5+S5+T5)</f>
        <v/>
      </c>
      <c r="V5" s="91">
        <f>K5/(F5/((YEAR(E5)*12+MONTH(E5))-(YEAR(D5)*12+MONTH(D5))+1))</f>
        <v/>
      </c>
      <c r="W5" s="91">
        <f>G5/F5</f>
        <v/>
      </c>
      <c r="X5" s="567">
        <f>F5-G5</f>
        <v/>
      </c>
      <c r="Y5" s="500" t="n"/>
      <c r="Z5" s="500" t="n"/>
      <c r="AA5" s="500" t="n"/>
      <c r="AD5" s="94" t="n">
        <v>46023</v>
      </c>
      <c r="AE5" s="94" t="n">
        <v>46203</v>
      </c>
      <c r="AF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3302.032251</v>
      </c>
      <c r="H6" s="85" t="n">
        <v>0</v>
      </c>
      <c r="I6" s="85" t="n">
        <v>0</v>
      </c>
      <c r="J6" s="85" t="n">
        <v>0</v>
      </c>
      <c r="K6" s="187">
        <f>SUM(H6:J6)</f>
        <v/>
      </c>
      <c r="L6" s="85" t="n">
        <v>500.150742</v>
      </c>
      <c r="M6" s="85" t="n">
        <v>0</v>
      </c>
      <c r="N6" s="85" t="n">
        <v>157.397938</v>
      </c>
      <c r="O6" s="187">
        <f>SUM(L6:N6)</f>
        <v/>
      </c>
      <c r="P6" s="85" t="n">
        <v>267.1032</v>
      </c>
      <c r="Q6" s="85" t="n">
        <v>0</v>
      </c>
      <c r="R6" s="500" t="n"/>
      <c r="S6" s="187">
        <f>SUM(P6:R6)</f>
        <v/>
      </c>
      <c r="T6" s="187" t="n">
        <v>2351.885696</v>
      </c>
      <c r="U6" s="187">
        <f>SUM(K6+O6+S6+T6)</f>
        <v/>
      </c>
      <c r="V6" s="91">
        <f>K6/(F6/((YEAR(E6)*12+MONTH(E6))-(YEAR(D6)*12+MONTH(D6))+1))</f>
        <v/>
      </c>
      <c r="W6" s="91">
        <f>G6/F6</f>
        <v/>
      </c>
      <c r="X6" s="567">
        <f>F6-G6</f>
        <v/>
      </c>
      <c r="Y6" s="500" t="n"/>
      <c r="Z6" s="500" t="n"/>
      <c r="AA6" s="500" t="n"/>
      <c r="AD6" s="570" t="inlineStr">
        <is>
          <t>计算日期</t>
        </is>
      </c>
      <c r="AE6" s="570">
        <f>W5-V5</f>
        <v/>
      </c>
      <c r="AF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18501.173408</v>
      </c>
      <c r="H7" s="85" t="n">
        <v>2519.52277</v>
      </c>
      <c r="I7" s="85" t="n">
        <v>0</v>
      </c>
      <c r="J7" s="85" t="n">
        <v>0</v>
      </c>
      <c r="K7" s="187">
        <f>SUM(H7:J7)</f>
        <v/>
      </c>
      <c r="L7" s="85" t="n">
        <v>8704.796721000001</v>
      </c>
      <c r="M7" s="85" t="n">
        <v>0</v>
      </c>
      <c r="N7" s="85" t="n">
        <v>1242.252932</v>
      </c>
      <c r="O7" s="187">
        <f>SUM(L7:N7)</f>
        <v/>
      </c>
      <c r="P7" s="85" t="n">
        <v>1402.304143</v>
      </c>
      <c r="Q7" s="85" t="n">
        <v>742.65048</v>
      </c>
      <c r="R7" s="500" t="n"/>
      <c r="S7" s="187">
        <f>SUM(P7:R7)</f>
        <v/>
      </c>
      <c r="T7" s="187" t="n">
        <v>3459.265113</v>
      </c>
      <c r="U7" s="187">
        <f>SUM(K7+O7+S7+T7)</f>
        <v/>
      </c>
      <c r="V7" s="91">
        <f>K7/(F7/((YEAR(E7)*12+MONTH(E7))-(YEAR(D7)*12+MONTH(D7))+1))</f>
        <v/>
      </c>
      <c r="W7" s="91">
        <f>G7/F7</f>
        <v/>
      </c>
      <c r="X7" s="567">
        <f>F7-G7</f>
        <v/>
      </c>
      <c r="Y7" s="500" t="n"/>
      <c r="Z7" s="500" t="n"/>
      <c r="AA7" s="500" t="n"/>
      <c r="AD7" s="94" t="n">
        <v>46129</v>
      </c>
      <c r="AE7" s="204">
        <f>AE5-AD5+1</f>
        <v/>
      </c>
      <c r="AF7" s="70">
        <f>(AD7-AD5+1)/AE7</f>
        <v/>
      </c>
    </row>
    <row r="8" ht="14.25" customFormat="1" customHeight="1" s="483">
      <c r="A8" s="513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879.203188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0</v>
      </c>
      <c r="M8" s="85" t="n">
        <v>22785.2352</v>
      </c>
      <c r="N8" s="85" t="n">
        <v>13.774172</v>
      </c>
      <c r="O8" s="187">
        <f>SUM(L8:N8)</f>
        <v/>
      </c>
      <c r="P8" s="85" t="n">
        <v>41.2776</v>
      </c>
      <c r="Q8" s="85" t="n">
        <v>0</v>
      </c>
      <c r="R8" s="501" t="n"/>
      <c r="S8" s="187">
        <f>SUM(P8:R8)</f>
        <v/>
      </c>
      <c r="T8" s="187" t="n">
        <v>683.02396</v>
      </c>
      <c r="U8" s="187">
        <f>SUM(K8+O8+S8+T8)</f>
        <v/>
      </c>
      <c r="V8" s="91">
        <f>K8/(F8/((YEAR(E8)*12+MONTH(E8))-(YEAR(D8)*12+MONTH(D8))+1))</f>
        <v/>
      </c>
      <c r="W8" s="91">
        <f>G8/F8</f>
        <v/>
      </c>
      <c r="X8" s="567">
        <f>F8-G8</f>
        <v/>
      </c>
      <c r="Y8" s="501" t="n"/>
      <c r="Z8" s="501" t="n"/>
      <c r="AA8" s="501" t="n"/>
      <c r="AD8" s="570" t="inlineStr"/>
      <c r="AE8" s="570" t="inlineStr"/>
      <c r="AF8" s="570" t="inlineStr"/>
    </row>
    <row r="9" ht="14.25" customFormat="1" customHeight="1" s="483">
      <c r="A9" s="577" t="inlineStr">
        <is>
          <t>合计</t>
        </is>
      </c>
      <c r="B9" s="518" t="n"/>
      <c r="C9" s="518" t="n"/>
      <c r="D9" s="518" t="n"/>
      <c r="E9" s="578" t="n"/>
      <c r="F9" s="206">
        <f>SUM(F4:F8)</f>
        <v/>
      </c>
      <c r="G9" s="580">
        <f>SUM(G4:G8)</f>
        <v/>
      </c>
      <c r="H9" s="580">
        <f>SUM(H4:H8)</f>
        <v/>
      </c>
      <c r="I9" s="580">
        <f>SUM(I4:I8)</f>
        <v/>
      </c>
      <c r="J9" s="580">
        <f>SUM(J4:J8)</f>
        <v/>
      </c>
      <c r="K9" s="580">
        <f>SUM(K4:K8)</f>
        <v/>
      </c>
      <c r="L9" s="580">
        <f>SUM(L4:L8)</f>
        <v/>
      </c>
      <c r="M9" s="580">
        <f>SUM(M4:M8)</f>
        <v/>
      </c>
      <c r="N9" s="580">
        <f>SUM(N4:N8)</f>
        <v/>
      </c>
      <c r="O9" s="580">
        <f>SUM(O4:O8)</f>
        <v/>
      </c>
      <c r="P9" s="580">
        <f>SUM(P4:P8)</f>
        <v/>
      </c>
      <c r="Q9" s="580">
        <f>SUM(Q4:Q8)</f>
        <v/>
      </c>
      <c r="R9" s="580">
        <f>SUM(R4:R8)</f>
        <v/>
      </c>
      <c r="S9" s="580">
        <f>SUM(S4:S8)</f>
        <v/>
      </c>
      <c r="T9" s="580">
        <f>SUM(T4:T8)</f>
        <v/>
      </c>
      <c r="U9" s="580">
        <f>SUM(K9+O9+S9+T9)</f>
        <v/>
      </c>
      <c r="V9" s="207">
        <f>K9/(F9/((YEAR(E4)*12+MONTH(E4))-(YEAR(D4)*12+MONTH(D4))+1))</f>
        <v/>
      </c>
      <c r="W9" s="207">
        <f>G9/F9</f>
        <v/>
      </c>
      <c r="X9" s="580">
        <f>F9-G9</f>
        <v/>
      </c>
      <c r="Y9" s="208">
        <f>Y4</f>
        <v/>
      </c>
      <c r="Z9" s="209">
        <f>U9/Y4</f>
        <v/>
      </c>
      <c r="AA9" s="650">
        <f>Y4-U9</f>
        <v/>
      </c>
      <c r="AB9" s="651" t="inlineStr"/>
      <c r="AC9" s="651" t="inlineStr"/>
      <c r="AD9" s="212" t="n">
        <v>46129</v>
      </c>
      <c r="AE9" s="651" t="inlineStr"/>
      <c r="AF9" s="213">
        <f>(AD9-DATE(YEAR(AD9),1,1)+1)/#REF!</f>
        <v/>
      </c>
    </row>
    <row r="10" ht="14.1" customFormat="1" customHeight="1" s="483">
      <c r="A10" s="589" t="inlineStr">
        <is>
          <t>理财师014</t>
        </is>
      </c>
      <c r="B10" s="584" t="inlineStr">
        <is>
          <t>理财师013</t>
        </is>
      </c>
      <c r="C10" s="584" t="inlineStr">
        <is>
          <t>私人财富管理总监PWA3-5</t>
        </is>
      </c>
      <c r="D10" s="638" t="n">
        <v>46023</v>
      </c>
      <c r="E10" s="638" t="n">
        <v>46203</v>
      </c>
      <c r="F10" s="116" t="n">
        <v>24619.48</v>
      </c>
      <c r="G10" s="586" t="n">
        <v>15749.831484</v>
      </c>
      <c r="H10" s="589" t="n">
        <v>5719.894428</v>
      </c>
      <c r="I10" s="589" t="n">
        <v>0</v>
      </c>
      <c r="J10" s="589" t="n">
        <v>0</v>
      </c>
      <c r="K10" s="589">
        <f>SUM(H10:J10)</f>
        <v/>
      </c>
      <c r="L10" s="589" t="n">
        <v>2659.960961</v>
      </c>
      <c r="M10" s="589" t="n">
        <v>0</v>
      </c>
      <c r="N10" s="589" t="n">
        <v>743.622962</v>
      </c>
      <c r="O10" s="589">
        <f>SUM(L10:N10)</f>
        <v/>
      </c>
      <c r="P10" s="118" t="n">
        <v>0</v>
      </c>
      <c r="Q10" s="118" t="n">
        <v>0</v>
      </c>
      <c r="R10" s="118" t="n">
        <v>144.157177</v>
      </c>
      <c r="S10" s="118">
        <f>SUM(P10:R10)</f>
        <v/>
      </c>
      <c r="T10" s="118" t="n">
        <v>6482.195956</v>
      </c>
      <c r="U10" s="187">
        <f>SUM(K10+O10+S10+T10)</f>
        <v/>
      </c>
      <c r="V10" s="122">
        <f>K10/(F10/((YEAR(E10)*12+MONTH(E10))-(YEAR(D10)*12+MONTH(D10))+1))</f>
        <v/>
      </c>
      <c r="W10" s="122">
        <f>G10/F10</f>
        <v/>
      </c>
      <c r="X10" s="587">
        <f>F10-G10</f>
        <v/>
      </c>
      <c r="Y10" s="214" t="n">
        <v>84476.32000000001</v>
      </c>
      <c r="Z10" s="122">
        <f>Z15</f>
        <v/>
      </c>
      <c r="AA10" s="652">
        <f>AA15</f>
        <v/>
      </c>
    </row>
    <row r="11" ht="14.1" customFormat="1" customHeight="1" s="483">
      <c r="A11" s="500" t="n"/>
      <c r="B11" s="563" t="inlineStr">
        <is>
          <t>理财师014</t>
        </is>
      </c>
      <c r="C11" s="563" t="inlineStr">
        <is>
          <t>私人财富管理总监PWA3-2</t>
        </is>
      </c>
      <c r="D11" s="636" t="n">
        <v>46023</v>
      </c>
      <c r="E11" s="636" t="n">
        <v>46203</v>
      </c>
      <c r="F11" s="83" t="n">
        <v>9928.559999999999</v>
      </c>
      <c r="G11" s="565" t="n">
        <v>13096.373951</v>
      </c>
      <c r="H11" s="85" t="n">
        <v>1248.056316</v>
      </c>
      <c r="I11" s="85" t="n">
        <v>0</v>
      </c>
      <c r="J11" s="85" t="n">
        <v>0</v>
      </c>
      <c r="K11" s="85">
        <f>SUM(H11:J11)</f>
        <v/>
      </c>
      <c r="L11" s="85" t="n">
        <v>2574.496213</v>
      </c>
      <c r="M11" s="85" t="n">
        <v>2927.70165</v>
      </c>
      <c r="N11" s="85" t="n">
        <v>154.748145</v>
      </c>
      <c r="O11" s="85">
        <f>SUM(L11:N11)</f>
        <v/>
      </c>
      <c r="P11" s="85" t="n">
        <v>745.691219</v>
      </c>
      <c r="Q11" s="85" t="n">
        <v>2330.36622</v>
      </c>
      <c r="R11" s="500" t="n"/>
      <c r="S11" s="85">
        <f>SUM(P11:R11)</f>
        <v/>
      </c>
      <c r="T11" s="85" t="n">
        <v>3042.835811</v>
      </c>
      <c r="U11" s="187">
        <f>SUM(K11+O11+S11+T11)</f>
        <v/>
      </c>
      <c r="V11" s="91">
        <f>K11/(F11/((YEAR(E11)*12+MONTH(E11))-(YEAR(D11)*12+MONTH(D11))+1))</f>
        <v/>
      </c>
      <c r="W11" s="91">
        <f>G11/F11</f>
        <v/>
      </c>
      <c r="X11" s="567">
        <f>F11-G11</f>
        <v/>
      </c>
      <c r="Y11" s="500" t="n"/>
      <c r="Z11" s="500" t="n"/>
      <c r="AA11" s="500" t="n"/>
    </row>
    <row r="12" ht="14.1" customFormat="1" customHeight="1" s="483">
      <c r="A12" s="500" t="n"/>
      <c r="B12" s="563" t="inlineStr">
        <is>
          <t>理财师022</t>
        </is>
      </c>
      <c r="C12" s="563" t="inlineStr">
        <is>
          <t>私人财富管理总监PWA3-1</t>
        </is>
      </c>
      <c r="D12" s="636" t="n">
        <v>45792</v>
      </c>
      <c r="E12" s="636" t="n">
        <v>45976</v>
      </c>
      <c r="F12" s="83" t="n">
        <v>8248.780000000001</v>
      </c>
      <c r="G12" s="565" t="n">
        <v>0</v>
      </c>
      <c r="H12" s="85" t="n">
        <v>0</v>
      </c>
      <c r="I12" s="85" t="n">
        <v>0</v>
      </c>
      <c r="J12" s="85" t="n">
        <v>0</v>
      </c>
      <c r="K12" s="85">
        <f>SUM(H12:J12)</f>
        <v/>
      </c>
      <c r="L12" s="85" t="n">
        <v>43.4733</v>
      </c>
      <c r="M12" s="85" t="n">
        <v>0</v>
      </c>
      <c r="N12" s="85" t="n">
        <v>10.334614</v>
      </c>
      <c r="O12" s="85">
        <f>SUM(L12:N12)</f>
        <v/>
      </c>
      <c r="P12" s="85" t="n">
        <v>0</v>
      </c>
      <c r="Q12" s="85" t="n">
        <v>0</v>
      </c>
      <c r="R12" s="500" t="n"/>
      <c r="S12" s="85">
        <f>SUM(P12:R12)</f>
        <v/>
      </c>
      <c r="T12" s="85" t="n">
        <v>0</v>
      </c>
      <c r="U12" s="187">
        <f>SUM(K12+O12+S12+T12)</f>
        <v/>
      </c>
      <c r="V12" s="91">
        <f>K12/(F12/((YEAR(E12)*12+MONTH(E12))-(YEAR(D12)*12+MONTH(D12))+1))</f>
        <v/>
      </c>
      <c r="W12" s="91">
        <f>G12/F12</f>
        <v/>
      </c>
      <c r="X12" s="567">
        <f>F12-G12</f>
        <v/>
      </c>
      <c r="Y12" s="500" t="n"/>
      <c r="Z12" s="500" t="n"/>
      <c r="AA12" s="500" t="n"/>
    </row>
    <row r="13" ht="14.45" customFormat="1" customHeight="1" s="483">
      <c r="A13" s="500" t="n"/>
      <c r="B13" s="563" t="inlineStr">
        <is>
          <t>理财师024</t>
        </is>
      </c>
      <c r="C13" s="563" t="inlineStr">
        <is>
          <t>私人财富管理总监PWA3-4</t>
        </is>
      </c>
      <c r="D13" s="636" t="n">
        <v>46054</v>
      </c>
      <c r="E13" s="636" t="n">
        <v>46203</v>
      </c>
      <c r="F13" s="83" t="n">
        <v>17115.15</v>
      </c>
      <c r="G13" s="565" t="n">
        <v>6282.15</v>
      </c>
      <c r="H13" s="85" t="n">
        <v>1195.506</v>
      </c>
      <c r="I13" s="85" t="n">
        <v>0</v>
      </c>
      <c r="J13" s="85" t="n">
        <v>0</v>
      </c>
      <c r="K13" s="85">
        <f>SUM(H13:J13)</f>
        <v/>
      </c>
      <c r="L13" s="85" t="n">
        <v>3556.620439</v>
      </c>
      <c r="M13" s="85" t="n">
        <v>0</v>
      </c>
      <c r="N13" s="85" t="n">
        <v>305.115987</v>
      </c>
      <c r="O13" s="85">
        <f>SUM(L13:N13)</f>
        <v/>
      </c>
      <c r="P13" s="85" t="n">
        <v>1054.327266</v>
      </c>
      <c r="Q13" s="85" t="n">
        <v>0</v>
      </c>
      <c r="R13" s="500" t="n"/>
      <c r="S13" s="85">
        <f>SUM(P13:R13)</f>
        <v/>
      </c>
      <c r="T13" s="85" t="n">
        <v>692.512431</v>
      </c>
      <c r="U13" s="187">
        <f>SUM(K13+O13+S13+T13)</f>
        <v/>
      </c>
      <c r="V13" s="91">
        <f>K13/(F13/((YEAR(E13)*12+MONTH(E13))-(YEAR(D13)*12+MONTH(D13))+1))</f>
        <v/>
      </c>
      <c r="W13" s="91">
        <f>G13/F13</f>
        <v/>
      </c>
      <c r="X13" s="567">
        <f>F13-G13</f>
        <v/>
      </c>
      <c r="Y13" s="500" t="n"/>
      <c r="Z13" s="500" t="n"/>
      <c r="AA13" s="500" t="n"/>
    </row>
    <row r="14" ht="15" customFormat="1" customHeight="1" s="483">
      <c r="A14" s="513" t="n"/>
      <c r="B14" s="572" t="inlineStr">
        <is>
          <t>理财师188</t>
        </is>
      </c>
      <c r="C14" s="572" t="inlineStr">
        <is>
          <t>C1</t>
        </is>
      </c>
      <c r="D14" s="637" t="n">
        <v>46048</v>
      </c>
      <c r="E14" s="637" t="n">
        <v>46228</v>
      </c>
      <c r="F14" s="98" t="n">
        <v>2877.38</v>
      </c>
      <c r="G14" s="574" t="n">
        <v>856.9360799999999</v>
      </c>
      <c r="H14" s="100" t="n">
        <v>0</v>
      </c>
      <c r="I14" s="100" t="n">
        <v>0</v>
      </c>
      <c r="J14" s="100" t="n">
        <v>0</v>
      </c>
      <c r="K14" s="100">
        <f>SUM(H14:J14)</f>
        <v/>
      </c>
      <c r="L14" s="100" t="n">
        <v>0</v>
      </c>
      <c r="M14" s="100" t="n">
        <v>856.9360799999999</v>
      </c>
      <c r="N14" s="100" t="n">
        <v>0</v>
      </c>
      <c r="O14" s="100">
        <f>SUM(L14:N14)</f>
        <v/>
      </c>
      <c r="P14" s="100" t="n">
        <v>0</v>
      </c>
      <c r="Q14" s="100" t="n">
        <v>0</v>
      </c>
      <c r="R14" s="501" t="n"/>
      <c r="S14" s="100">
        <f>SUM(P14:R14)</f>
        <v/>
      </c>
      <c r="T14" s="100" t="n">
        <v>0</v>
      </c>
      <c r="U14" s="187">
        <f>SUM(K14+O14+S14+T14)</f>
        <v/>
      </c>
      <c r="V14" s="205">
        <f>K14/(F14/((YEAR(E14)*12+MONTH(E14))-(YEAR(D14)*12+MONTH(D14))+1))</f>
        <v/>
      </c>
      <c r="W14" s="205">
        <f>G14/F14</f>
        <v/>
      </c>
      <c r="X14" s="576">
        <f>F14-G14</f>
        <v/>
      </c>
      <c r="Y14" s="501" t="n"/>
      <c r="Z14" s="501" t="n"/>
      <c r="AA14" s="501" t="n"/>
    </row>
    <row r="15" ht="14.25" customFormat="1" customHeight="1" s="483">
      <c r="A15" s="577" t="inlineStr">
        <is>
          <t>合计</t>
        </is>
      </c>
      <c r="B15" s="518" t="n"/>
      <c r="C15" s="518" t="n"/>
      <c r="D15" s="518" t="n"/>
      <c r="E15" s="578" t="n"/>
      <c r="F15" s="206">
        <f>SUM(F10:F14)</f>
        <v/>
      </c>
      <c r="G15" s="580">
        <f>SUM(G10:G14)</f>
        <v/>
      </c>
      <c r="H15" s="580">
        <f>SUM(H10:H14)</f>
        <v/>
      </c>
      <c r="I15" s="580">
        <f>SUM(I10:I14)</f>
        <v/>
      </c>
      <c r="J15" s="580">
        <f>SUM(J10:J14)</f>
        <v/>
      </c>
      <c r="K15" s="580">
        <f>SUM(K10:K14)</f>
        <v/>
      </c>
      <c r="L15" s="580">
        <f>SUM(L10:L14)</f>
        <v/>
      </c>
      <c r="M15" s="580">
        <f>SUM(M10:M14)</f>
        <v/>
      </c>
      <c r="N15" s="580">
        <f>SUM(N10:N14)</f>
        <v/>
      </c>
      <c r="O15" s="580">
        <f>SUM(O10:O14)</f>
        <v/>
      </c>
      <c r="P15" s="580">
        <f>SUM(P10:P14)</f>
        <v/>
      </c>
      <c r="Q15" s="580">
        <f>SUM(Q10:Q14)</f>
        <v/>
      </c>
      <c r="R15" s="580">
        <f>SUM(R10:R14)</f>
        <v/>
      </c>
      <c r="S15" s="580">
        <f>SUM(S10:S14)</f>
        <v/>
      </c>
      <c r="T15" s="580">
        <f>SUM(T10:T14)</f>
        <v/>
      </c>
      <c r="U15" s="580">
        <f>SUM(K15+O15+S15+T15)</f>
        <v/>
      </c>
      <c r="V15" s="207">
        <f>K15/(F15/((YEAR(E10)*12+MONTH(E10))-(YEAR(D10)*12+MONTH(D10))+1))</f>
        <v/>
      </c>
      <c r="W15" s="207">
        <f>G15/F15</f>
        <v/>
      </c>
      <c r="X15" s="580">
        <f>F15-G15</f>
        <v/>
      </c>
      <c r="Y15" s="208">
        <f>Y10</f>
        <v/>
      </c>
      <c r="Z15" s="209">
        <f>U15/Y10</f>
        <v/>
      </c>
      <c r="AA15" s="650">
        <f>Y10-U15</f>
        <v/>
      </c>
      <c r="AB15" s="651" t="inlineStr"/>
      <c r="AC15" s="651" t="inlineStr"/>
      <c r="AD15" s="651" t="inlineStr"/>
      <c r="AE15" s="651" t="inlineStr"/>
      <c r="AF15" s="651" t="inlineStr"/>
    </row>
    <row r="16" ht="14.25" customFormat="1" customHeight="1" s="483">
      <c r="A16" s="589" t="inlineStr">
        <is>
          <t>理财师007</t>
        </is>
      </c>
      <c r="B16" s="584" t="inlineStr">
        <is>
          <t>理财师007</t>
        </is>
      </c>
      <c r="C16" s="584" t="inlineStr">
        <is>
          <t>私人财富管理专家PWA4-5</t>
        </is>
      </c>
      <c r="D16" s="638" t="n">
        <v>46054</v>
      </c>
      <c r="E16" s="638" t="n">
        <v>46203</v>
      </c>
      <c r="F16" s="116" t="n">
        <v>25870.625</v>
      </c>
      <c r="G16" s="586" t="n">
        <v>22753.435756</v>
      </c>
      <c r="H16" s="589" t="n">
        <v>158.49756</v>
      </c>
      <c r="I16" s="589" t="n">
        <v>0</v>
      </c>
      <c r="J16" s="589" t="n">
        <v>0</v>
      </c>
      <c r="K16" s="589">
        <f>SUM(H16:J16)</f>
        <v/>
      </c>
      <c r="L16" s="589" t="n">
        <v>3406.959578</v>
      </c>
      <c r="M16" s="589" t="n">
        <v>14793.1056</v>
      </c>
      <c r="N16" s="589" t="n">
        <v>536.486905</v>
      </c>
      <c r="O16" s="589">
        <f>SUM(L16:N16)</f>
        <v/>
      </c>
      <c r="P16" s="118" t="n">
        <v>3557.362586</v>
      </c>
      <c r="Q16" s="118" t="n">
        <v>0</v>
      </c>
      <c r="R16" s="118" t="n">
        <v>301.023526</v>
      </c>
      <c r="S16" s="118">
        <f>SUM(P16:R16)</f>
        <v/>
      </c>
      <c r="T16" s="118" t="n">
        <v>8988.571889000001</v>
      </c>
      <c r="U16" s="187">
        <f>SUM(K16+O16+S16+T16)</f>
        <v/>
      </c>
      <c r="V16" s="122">
        <f>K16/(F16/((YEAR(E16)*12+MONTH(E16))-(YEAR(D16)*12+MONTH(D16))+1))</f>
        <v/>
      </c>
      <c r="W16" s="122">
        <f>G16/F16</f>
        <v/>
      </c>
      <c r="X16" s="587">
        <f>F16-G16</f>
        <v/>
      </c>
      <c r="Y16" s="214" t="n">
        <v>62089.5</v>
      </c>
      <c r="Z16" s="122">
        <f>Z19</f>
        <v/>
      </c>
      <c r="AA16" s="652">
        <f>AA19</f>
        <v/>
      </c>
    </row>
    <row r="17" ht="14.25" customFormat="1" customHeight="1" s="483">
      <c r="A17" s="500" t="n"/>
      <c r="B17" s="563" t="inlineStr">
        <is>
          <t>理财师023</t>
        </is>
      </c>
      <c r="C17" s="563" t="inlineStr">
        <is>
          <t>私人财富管理资深顾问PWA2-4</t>
        </is>
      </c>
      <c r="D17" s="636" t="n">
        <v>46023</v>
      </c>
      <c r="E17" s="636" t="n">
        <v>46203</v>
      </c>
      <c r="F17" s="83" t="n">
        <v>15648.4</v>
      </c>
      <c r="G17" s="586" t="n">
        <v>5151.813163</v>
      </c>
      <c r="H17" s="85" t="n">
        <v>0</v>
      </c>
      <c r="I17" s="85" t="n">
        <v>0</v>
      </c>
      <c r="J17" s="85" t="n">
        <v>0</v>
      </c>
      <c r="K17" s="85">
        <f>SUM(H17:J17)</f>
        <v/>
      </c>
      <c r="L17" s="85" t="n">
        <v>1305.1575</v>
      </c>
      <c r="M17" s="85" t="n">
        <v>1178.4864</v>
      </c>
      <c r="N17" s="85" t="n">
        <v>22.441342</v>
      </c>
      <c r="O17" s="85">
        <f>SUM(L17:N17)</f>
        <v/>
      </c>
      <c r="P17" s="85" t="n">
        <v>0</v>
      </c>
      <c r="Q17" s="85" t="n">
        <v>0</v>
      </c>
      <c r="R17" s="500" t="n"/>
      <c r="S17" s="85">
        <f>SUM(P17:R17)</f>
        <v/>
      </c>
      <c r="T17" s="85" t="n">
        <v>2630.55</v>
      </c>
      <c r="U17" s="187">
        <f>SUM(K17+O17+S17+T17)</f>
        <v/>
      </c>
      <c r="V17" s="91">
        <f>K17/(F17/((YEAR(E17)*12+MONTH(E17))-(YEAR(D17)*12+MONTH(D17))+1))</f>
        <v/>
      </c>
      <c r="W17" s="91">
        <f>G17/F17</f>
        <v/>
      </c>
      <c r="X17" s="567">
        <f>F17-G17</f>
        <v/>
      </c>
      <c r="Y17" s="500" t="n"/>
      <c r="Z17" s="500" t="n"/>
      <c r="AA17" s="500" t="n"/>
    </row>
    <row r="18" ht="14.25" customFormat="1" customHeight="1" s="483">
      <c r="A18" s="513" t="n"/>
      <c r="B18" s="563" t="inlineStr">
        <is>
          <t>理财师091</t>
        </is>
      </c>
      <c r="C18" s="563" t="inlineStr">
        <is>
          <t>C3</t>
        </is>
      </c>
      <c r="D18" s="636" t="n">
        <v>45866</v>
      </c>
      <c r="E18" s="636" t="n">
        <v>46049</v>
      </c>
      <c r="F18" s="83" t="n">
        <v>4042.08</v>
      </c>
      <c r="G18" s="586" t="n">
        <v>1691.696497</v>
      </c>
      <c r="H18" s="85" t="n">
        <v>0</v>
      </c>
      <c r="I18" s="85" t="n">
        <v>0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3.23046</v>
      </c>
      <c r="O18" s="85">
        <f>SUM(L18:N18)</f>
        <v/>
      </c>
      <c r="P18" s="85" t="n">
        <v>25.0224</v>
      </c>
      <c r="Q18" s="85" t="n">
        <v>1050.9408</v>
      </c>
      <c r="R18" s="501" t="n"/>
      <c r="S18" s="85">
        <f>SUM(P18:R18)</f>
        <v/>
      </c>
      <c r="T18" s="85" t="n">
        <v>125.112</v>
      </c>
      <c r="U18" s="187">
        <f>SUM(K18+O18+S18+T18)</f>
        <v/>
      </c>
      <c r="V18" s="91">
        <f>K18/(F18/((YEAR(E18)*12+MONTH(E18))-(YEAR(D18)*12+MONTH(D18))+1))</f>
        <v/>
      </c>
      <c r="W18" s="91">
        <f>G18/F18</f>
        <v/>
      </c>
      <c r="X18" s="567">
        <f>F18-G18</f>
        <v/>
      </c>
      <c r="Y18" s="501" t="n"/>
      <c r="Z18" s="501" t="n"/>
      <c r="AA18" s="501" t="n"/>
    </row>
    <row r="19" ht="14.25" customFormat="1" customHeight="1" s="483">
      <c r="A19" s="577" t="inlineStr">
        <is>
          <t>合计</t>
        </is>
      </c>
      <c r="B19" s="518" t="n"/>
      <c r="C19" s="518" t="n"/>
      <c r="D19" s="518" t="n"/>
      <c r="E19" s="578" t="n"/>
      <c r="F19" s="206">
        <f>SUM(F16:F18)</f>
        <v/>
      </c>
      <c r="G19" s="580">
        <f>SUM(G16:G18)</f>
        <v/>
      </c>
      <c r="H19" s="580">
        <f>SUM(H16:H18)</f>
        <v/>
      </c>
      <c r="I19" s="580">
        <f>SUM(I16:I18)</f>
        <v/>
      </c>
      <c r="J19" s="580">
        <f>SUM(J16:J18)</f>
        <v/>
      </c>
      <c r="K19" s="580">
        <f>SUM(K16:K18)</f>
        <v/>
      </c>
      <c r="L19" s="580">
        <f>SUM(L16:L18)</f>
        <v/>
      </c>
      <c r="M19" s="580">
        <f>SUM(M16:M18)</f>
        <v/>
      </c>
      <c r="N19" s="580">
        <f>SUM(N16:N18)</f>
        <v/>
      </c>
      <c r="O19" s="580">
        <f>SUM(O16:O18)</f>
        <v/>
      </c>
      <c r="P19" s="580">
        <f>SUM(P16:P18)</f>
        <v/>
      </c>
      <c r="Q19" s="580">
        <f>SUM(Q16:Q18)</f>
        <v/>
      </c>
      <c r="R19" s="580">
        <f>SUM(R16:R18)</f>
        <v/>
      </c>
      <c r="S19" s="580">
        <f>SUM(S16:S18)</f>
        <v/>
      </c>
      <c r="T19" s="580">
        <f>SUM(T16:T18)</f>
        <v/>
      </c>
      <c r="U19" s="580">
        <f>SUM(K19+O19+S19+T19)</f>
        <v/>
      </c>
      <c r="V19" s="207">
        <f>K19/(F19/((YEAR(E16)*12+MONTH(E16))-(YEAR(D16)*12+MONTH(D16))+1))</f>
        <v/>
      </c>
      <c r="W19" s="207">
        <f>G19/F19</f>
        <v/>
      </c>
      <c r="X19" s="580">
        <f>F19-G19</f>
        <v/>
      </c>
      <c r="Y19" s="208">
        <f>Y16</f>
        <v/>
      </c>
      <c r="Z19" s="209">
        <f>U19/Y16</f>
        <v/>
      </c>
      <c r="AA19" s="650">
        <f>Y16-U19</f>
        <v/>
      </c>
      <c r="AB19" s="651" t="inlineStr"/>
      <c r="AC19" s="651" t="inlineStr"/>
      <c r="AD19" s="651" t="inlineStr"/>
      <c r="AE19" s="651" t="inlineStr"/>
      <c r="AF19" s="651" t="inlineStr"/>
    </row>
    <row r="20" ht="14.1" customFormat="1" customHeight="1" s="483">
      <c r="A20" s="589" t="inlineStr">
        <is>
          <t>理财师016</t>
        </is>
      </c>
      <c r="B20" s="584" t="inlineStr">
        <is>
          <t>理财师208</t>
        </is>
      </c>
      <c r="C20" s="584" t="inlineStr">
        <is>
          <t>观察期PWA0-1</t>
        </is>
      </c>
      <c r="D20" s="638" t="n">
        <v>46023</v>
      </c>
      <c r="E20" s="638" t="n">
        <v>46203</v>
      </c>
      <c r="F20" s="116" t="n">
        <v>5054.28</v>
      </c>
      <c r="G20" s="565" t="n">
        <v>701.917414</v>
      </c>
      <c r="H20" s="653" t="n">
        <v>0</v>
      </c>
      <c r="I20" s="653" t="n">
        <v>0</v>
      </c>
      <c r="J20" s="653" t="n">
        <v>0</v>
      </c>
      <c r="K20" s="653">
        <f>SUM(H20:J20)</f>
        <v/>
      </c>
      <c r="L20" s="653" t="n">
        <v>3.487333</v>
      </c>
      <c r="M20" s="653" t="n">
        <v>0</v>
      </c>
      <c r="N20" s="653" t="n">
        <v>144.61482</v>
      </c>
      <c r="O20" s="653">
        <f>SUM(L20:N20)</f>
        <v/>
      </c>
      <c r="P20" s="118" t="n">
        <v>190.944681</v>
      </c>
      <c r="Q20" s="118" t="n">
        <v>0</v>
      </c>
      <c r="R20" s="123" t="n">
        <v>71.82064699999999</v>
      </c>
      <c r="S20" s="118">
        <f>SUM(P20:R20)</f>
        <v/>
      </c>
      <c r="T20" s="118" t="n">
        <v>291.049933</v>
      </c>
      <c r="U20" s="187">
        <f>SUM(K20+O20+S20+T20)</f>
        <v/>
      </c>
      <c r="V20" s="122">
        <f>K20/(F20/((YEAR(E20)*12+MONTH(E20))-(YEAR(D20)*12+MONTH(D20))+1))</f>
        <v/>
      </c>
      <c r="W20" s="122">
        <f>G20/F20</f>
        <v/>
      </c>
      <c r="X20" s="587">
        <f>F20-G20</f>
        <v/>
      </c>
      <c r="Y20" s="217" t="n">
        <v>64020.88</v>
      </c>
      <c r="Z20" s="218">
        <f>Z24</f>
        <v/>
      </c>
      <c r="AA20" s="652">
        <f>AA24</f>
        <v/>
      </c>
    </row>
    <row r="21" ht="14.1" customFormat="1" customHeight="1" s="483">
      <c r="A21" s="500" t="n"/>
      <c r="B21" s="563" t="inlineStr">
        <is>
          <t>理财师015</t>
        </is>
      </c>
      <c r="C21" s="563" t="inlineStr">
        <is>
          <t>私人财富管理资深顾问PWA2-1</t>
        </is>
      </c>
      <c r="D21" s="636" t="n">
        <v>45992</v>
      </c>
      <c r="E21" s="636" t="n">
        <v>46203</v>
      </c>
      <c r="F21" s="83" t="n">
        <v>11461.38</v>
      </c>
      <c r="G21" s="565" t="n">
        <v>4863.227807</v>
      </c>
      <c r="H21" s="126" t="n">
        <v>0</v>
      </c>
      <c r="I21" s="126" t="n">
        <v>0</v>
      </c>
      <c r="J21" s="126" t="n">
        <v>0</v>
      </c>
      <c r="K21" s="85">
        <f>SUM(H21:J21)</f>
        <v/>
      </c>
      <c r="L21" s="126" t="n">
        <v>198.1746</v>
      </c>
      <c r="M21" s="126" t="n">
        <v>0</v>
      </c>
      <c r="N21" s="126" t="n">
        <v>29.640215</v>
      </c>
      <c r="O21" s="85">
        <f>SUM(L21:N21)</f>
        <v/>
      </c>
      <c r="P21" s="85" t="n">
        <v>0.8469</v>
      </c>
      <c r="Q21" s="85" t="n">
        <v>4558.0158</v>
      </c>
      <c r="R21" s="530" t="n"/>
      <c r="S21" s="85">
        <f>SUM(P21:R21)</f>
        <v/>
      </c>
      <c r="T21" s="85" t="n">
        <v>21.644177</v>
      </c>
      <c r="U21" s="187">
        <f>SUM(K21+O21+S21+T21)</f>
        <v/>
      </c>
      <c r="V21" s="91">
        <f>K21/(F21/((YEAR(E21)*12+MONTH(E21))-(YEAR(D21)*12+MONTH(D21))+1))</f>
        <v/>
      </c>
      <c r="W21" s="91">
        <f>G21/F21</f>
        <v/>
      </c>
      <c r="X21" s="567">
        <f>F21-G21</f>
        <v/>
      </c>
      <c r="Y21" s="500" t="n"/>
      <c r="Z21" s="500" t="n"/>
      <c r="AA21" s="500" t="n"/>
    </row>
    <row r="22" ht="14.1" customFormat="1" customHeight="1" s="483">
      <c r="A22" s="500" t="n"/>
      <c r="B22" s="563" t="inlineStr">
        <is>
          <t>理财师016</t>
        </is>
      </c>
      <c r="C22" s="563" t="inlineStr">
        <is>
          <t>私人财富管理资深顾问PWA2-4</t>
        </is>
      </c>
      <c r="D22" s="636" t="n">
        <v>46023</v>
      </c>
      <c r="E22" s="636" t="n">
        <v>46203</v>
      </c>
      <c r="F22" s="83" t="n">
        <v>8731.32</v>
      </c>
      <c r="G22" s="565" t="n">
        <v>8145.158311</v>
      </c>
      <c r="H22" s="126" t="n">
        <v>1344.47274</v>
      </c>
      <c r="I22" s="126" t="n">
        <v>0</v>
      </c>
      <c r="J22" s="126" t="n">
        <v>0</v>
      </c>
      <c r="K22" s="85">
        <f>SUM(H22:J22)</f>
        <v/>
      </c>
      <c r="L22" s="126" t="n">
        <v>220.16475</v>
      </c>
      <c r="M22" s="126" t="n">
        <v>0</v>
      </c>
      <c r="N22" s="126" t="n">
        <v>154.524295</v>
      </c>
      <c r="O22" s="85">
        <f>SUM(L22:N22)</f>
        <v/>
      </c>
      <c r="P22" s="85" t="n">
        <v>3847.561596</v>
      </c>
      <c r="Q22" s="85" t="n">
        <v>0</v>
      </c>
      <c r="R22" s="530" t="n"/>
      <c r="S22" s="85">
        <f>SUM(P22:R22)</f>
        <v/>
      </c>
      <c r="T22" s="85" t="n">
        <v>2540.064804</v>
      </c>
      <c r="U22" s="187">
        <f>SUM(K22+O22+S22+T22)</f>
        <v/>
      </c>
      <c r="V22" s="91">
        <f>K22/(F22/((YEAR(E22)*12+MONTH(E22))-(YEAR(D22)*12+MONTH(D22))+1))</f>
        <v/>
      </c>
      <c r="W22" s="91">
        <f>G22/F22</f>
        <v/>
      </c>
      <c r="X22" s="567">
        <f>F22-G22</f>
        <v/>
      </c>
      <c r="Y22" s="500" t="n"/>
      <c r="Z22" s="500" t="n"/>
      <c r="AA22" s="500" t="n"/>
    </row>
    <row r="23" ht="14.45" customFormat="1" customHeight="1" s="483">
      <c r="A23" s="513" t="n"/>
      <c r="B23" s="572" t="inlineStr">
        <is>
          <t>理财师028</t>
        </is>
      </c>
      <c r="C23" s="572" t="inlineStr">
        <is>
          <t>私人财富管理专家PWA4-5</t>
        </is>
      </c>
      <c r="D23" s="637" t="n">
        <v>46001</v>
      </c>
      <c r="E23" s="637" t="n">
        <v>46182</v>
      </c>
      <c r="F23" s="98" t="n">
        <v>23502</v>
      </c>
      <c r="G23" s="565" t="n">
        <v>32.04495</v>
      </c>
      <c r="H23" s="127" t="n">
        <v>0</v>
      </c>
      <c r="I23" s="127" t="n">
        <v>0</v>
      </c>
      <c r="J23" s="127" t="n">
        <v>0</v>
      </c>
      <c r="K23" s="100">
        <f>SUM(H23:J23)</f>
        <v/>
      </c>
      <c r="L23" s="127" t="n">
        <v>0</v>
      </c>
      <c r="M23" s="127" t="n">
        <v>0</v>
      </c>
      <c r="N23" s="127" t="n">
        <v>32.04495</v>
      </c>
      <c r="O23" s="100">
        <f>SUM(L23:N23)</f>
        <v/>
      </c>
      <c r="P23" s="100" t="n">
        <v>0</v>
      </c>
      <c r="Q23" s="100" t="n">
        <v>0</v>
      </c>
      <c r="R23" s="532" t="n"/>
      <c r="S23" s="100">
        <f>SUM(P23:R23)</f>
        <v/>
      </c>
      <c r="T23" s="100" t="n">
        <v>0</v>
      </c>
      <c r="U23" s="187">
        <f>SUM(K23+O23+S23+T23)</f>
        <v/>
      </c>
      <c r="V23" s="91">
        <f>K23/(F23/((YEAR(E23)*12+MONTH(E23))-(YEAR(D23)*12+MONTH(D23))+1))</f>
        <v/>
      </c>
      <c r="W23" s="91">
        <f>G23/F23</f>
        <v/>
      </c>
      <c r="X23" s="567">
        <f>F23-G23</f>
        <v/>
      </c>
      <c r="Y23" s="513" t="n"/>
      <c r="Z23" s="513" t="n"/>
      <c r="AA23" s="501" t="n"/>
      <c r="AD23" s="639" t="inlineStr"/>
    </row>
    <row r="24" ht="14.25" customFormat="1" customHeight="1" s="483">
      <c r="A24" s="577" t="inlineStr">
        <is>
          <t>合计</t>
        </is>
      </c>
      <c r="B24" s="518" t="n"/>
      <c r="C24" s="518" t="n"/>
      <c r="D24" s="518" t="n"/>
      <c r="E24" s="578" t="n"/>
      <c r="F24" s="219">
        <f>SUM(F20:F23)</f>
        <v/>
      </c>
      <c r="G24" s="590">
        <f>SUM(G20:G23)</f>
        <v/>
      </c>
      <c r="H24" s="591">
        <f>SUM(H20:H23)</f>
        <v/>
      </c>
      <c r="I24" s="591">
        <f>SUM(I20:I23)</f>
        <v/>
      </c>
      <c r="J24" s="591">
        <f>SUM(J20:J23)</f>
        <v/>
      </c>
      <c r="K24" s="579">
        <f>SUM(K20:K23)</f>
        <v/>
      </c>
      <c r="L24" s="591">
        <f>SUM(L20:L23)</f>
        <v/>
      </c>
      <c r="M24" s="591">
        <f>SUM(M20:M23)</f>
        <v/>
      </c>
      <c r="N24" s="591">
        <f>SUM(N20:N23)</f>
        <v/>
      </c>
      <c r="O24" s="579">
        <f>SUM(O20:O23)</f>
        <v/>
      </c>
      <c r="P24" s="590">
        <f>SUM(P20:P23)</f>
        <v/>
      </c>
      <c r="Q24" s="590">
        <f>SUM(Q20:Q23)</f>
        <v/>
      </c>
      <c r="R24" s="591">
        <f>SUM(R20:R23)</f>
        <v/>
      </c>
      <c r="S24" s="579">
        <f>SUM(S20:S23)</f>
        <v/>
      </c>
      <c r="T24" s="579">
        <f>SUM(T20:T23)</f>
        <v/>
      </c>
      <c r="U24" s="580">
        <f>SUM(K24+O24+S24+T24)</f>
        <v/>
      </c>
      <c r="V24" s="220">
        <f>K24/(F24/((YEAR(E20)*12+MONTH(E20))-(YEAR(D20)*12+MONTH(D20))+1))</f>
        <v/>
      </c>
      <c r="W24" s="221">
        <f>G24/F24</f>
        <v/>
      </c>
      <c r="X24" s="579">
        <f>F24-G24</f>
        <v/>
      </c>
      <c r="Y24" s="222">
        <f>Y20</f>
        <v/>
      </c>
      <c r="Z24" s="220">
        <f>U24/Y20</f>
        <v/>
      </c>
      <c r="AA24" s="654">
        <f>Y20-U24</f>
        <v/>
      </c>
      <c r="AB24" s="651" t="inlineStr"/>
      <c r="AC24" s="651" t="inlineStr"/>
      <c r="AD24" s="651" t="inlineStr"/>
      <c r="AE24" s="651" t="inlineStr"/>
      <c r="AF24" s="651" t="inlineStr"/>
    </row>
    <row r="25" ht="14.25" customFormat="1" customHeight="1" s="483">
      <c r="A25" s="589" t="inlineStr">
        <is>
          <t>理财师002</t>
        </is>
      </c>
      <c r="B25" s="584" t="inlineStr">
        <is>
          <t>理财师001</t>
        </is>
      </c>
      <c r="C25" s="584" t="inlineStr">
        <is>
          <t>私人财富管理顾问PWA1-2</t>
        </is>
      </c>
      <c r="D25" s="638" t="n">
        <v>46023</v>
      </c>
      <c r="E25" s="638" t="n">
        <v>46203</v>
      </c>
      <c r="F25" s="116" t="n">
        <v>4993.22</v>
      </c>
      <c r="G25" s="565" t="n">
        <v>3555.16116</v>
      </c>
      <c r="H25" s="653" t="n">
        <v>0</v>
      </c>
      <c r="I25" s="653" t="n">
        <v>0</v>
      </c>
      <c r="J25" s="653" t="n">
        <v>0</v>
      </c>
      <c r="K25" s="653">
        <f>SUM(H25:J25)</f>
        <v/>
      </c>
      <c r="L25" s="653" t="n">
        <v>50.830377</v>
      </c>
      <c r="M25" s="653" t="n">
        <v>0</v>
      </c>
      <c r="N25" s="653" t="n">
        <v>761.144365</v>
      </c>
      <c r="O25" s="653">
        <f>SUM(L25:N25)</f>
        <v/>
      </c>
      <c r="P25" s="118" t="n">
        <v>153.11976</v>
      </c>
      <c r="Q25" s="118" t="n">
        <v>0</v>
      </c>
      <c r="R25" s="118" t="n">
        <v>560.548117</v>
      </c>
      <c r="S25" s="118">
        <f>SUM(P25:R25)</f>
        <v/>
      </c>
      <c r="T25" s="118" t="n">
        <v>2029.518541</v>
      </c>
      <c r="U25" s="187">
        <f>SUM(K25+O25+S25+T25)</f>
        <v/>
      </c>
      <c r="V25" s="122">
        <f>K25/(F25/((YEAR(E25)*12+MONTH(E25))-(YEAR(D25)*12+MONTH(D25))+1))</f>
        <v/>
      </c>
      <c r="W25" s="122">
        <f>G25/F25</f>
        <v/>
      </c>
      <c r="X25" s="587">
        <f>F25-G25</f>
        <v/>
      </c>
      <c r="Y25" s="214" t="n">
        <v>39429.22</v>
      </c>
      <c r="Z25" s="122">
        <f>Z28</f>
        <v/>
      </c>
      <c r="AA25" s="652">
        <f>AA28</f>
        <v/>
      </c>
    </row>
    <row r="26" ht="14.25" customFormat="1" customHeight="1" s="483">
      <c r="A26" s="500" t="n"/>
      <c r="B26" s="563" t="inlineStr">
        <is>
          <t>理财师002</t>
        </is>
      </c>
      <c r="C26" s="563" t="inlineStr">
        <is>
          <t>私人财富管理专家PWA4-5</t>
        </is>
      </c>
      <c r="D26" s="636" t="n">
        <v>46023</v>
      </c>
      <c r="E26" s="636" t="n">
        <v>46203</v>
      </c>
      <c r="F26" s="83" t="n">
        <v>24411</v>
      </c>
      <c r="G26" s="565" t="n">
        <v>24387.283383</v>
      </c>
      <c r="H26" s="85" t="n">
        <v>-5595.554109</v>
      </c>
      <c r="I26" s="85" t="n">
        <v>0</v>
      </c>
      <c r="J26" s="85" t="n">
        <v>0</v>
      </c>
      <c r="K26" s="85">
        <f>SUM(H26:J26)</f>
        <v/>
      </c>
      <c r="L26" s="85" t="n">
        <v>2164.476574</v>
      </c>
      <c r="M26" s="85" t="n">
        <v>0</v>
      </c>
      <c r="N26" s="85" t="n">
        <v>365.27682</v>
      </c>
      <c r="O26" s="85">
        <f>SUM(L26:N26)</f>
        <v/>
      </c>
      <c r="P26" s="85" t="n">
        <v>2346.171162</v>
      </c>
      <c r="Q26" s="85" t="n">
        <v>0</v>
      </c>
      <c r="R26" s="500" t="n"/>
      <c r="S26" s="85">
        <f>SUM(P26:R26)</f>
        <v/>
      </c>
      <c r="T26" s="85" t="n">
        <v>24919.495747</v>
      </c>
      <c r="U26" s="187">
        <f>SUM(K26+O26+S26+T26)</f>
        <v/>
      </c>
      <c r="V26" s="91">
        <f>K26/(F26/((YEAR(E26)*12+MONTH(E26))-(YEAR(D26)*12+MONTH(D26))+1))</f>
        <v/>
      </c>
      <c r="W26" s="91">
        <f>G26/F26</f>
        <v/>
      </c>
      <c r="X26" s="567">
        <f>F26-G26</f>
        <v/>
      </c>
      <c r="Y26" s="500" t="n"/>
      <c r="Z26" s="500" t="n"/>
      <c r="AA26" s="500" t="n"/>
    </row>
    <row r="27" ht="15" customFormat="1" customHeight="1" s="483">
      <c r="A27" s="513" t="n"/>
      <c r="B27" s="572" t="inlineStr">
        <is>
          <t>理财师027</t>
        </is>
      </c>
      <c r="C27" s="572" t="inlineStr">
        <is>
          <t>私人财富管理资深顾问PWA2-3</t>
        </is>
      </c>
      <c r="D27" s="637" t="n">
        <v>45943</v>
      </c>
      <c r="E27" s="637" t="n">
        <v>46124</v>
      </c>
      <c r="F27" s="98" t="n">
        <v>6847</v>
      </c>
      <c r="G27" s="565" t="n">
        <v>1138.55362</v>
      </c>
      <c r="H27" s="100" t="n">
        <v>0</v>
      </c>
      <c r="I27" s="100" t="n">
        <v>0</v>
      </c>
      <c r="J27" s="100" t="n">
        <v>0</v>
      </c>
      <c r="K27" s="100">
        <f>SUM(H27:J27)</f>
        <v/>
      </c>
      <c r="L27" s="100" t="n">
        <v>0</v>
      </c>
      <c r="M27" s="100" t="n">
        <v>0</v>
      </c>
      <c r="N27" s="100" t="n">
        <v>2.181886</v>
      </c>
      <c r="O27" s="100">
        <f>SUM(L27:N27)</f>
        <v/>
      </c>
      <c r="P27" s="100" t="n">
        <v>0</v>
      </c>
      <c r="Q27" s="100" t="n">
        <v>0</v>
      </c>
      <c r="R27" s="501" t="n"/>
      <c r="S27" s="100">
        <f>SUM(P27:R27)</f>
        <v/>
      </c>
      <c r="T27" s="100" t="n">
        <v>66.75825</v>
      </c>
      <c r="U27" s="187">
        <f>SUM(K27+O27+S27+T27)</f>
        <v/>
      </c>
      <c r="V27" s="205">
        <f>K27/(F27/((YEAR(E27)*12+MONTH(E27))-(YEAR(D27)*12+MONTH(D27))+1))</f>
        <v/>
      </c>
      <c r="W27" s="205">
        <f>G27/F27</f>
        <v/>
      </c>
      <c r="X27" s="576">
        <f>F27-G27</f>
        <v/>
      </c>
      <c r="Y27" s="501" t="n"/>
      <c r="Z27" s="501" t="n"/>
      <c r="AA27" s="501" t="n"/>
    </row>
    <row r="28" ht="14.25" customFormat="1" customHeight="1" s="483">
      <c r="A28" s="640" t="inlineStr">
        <is>
          <t>合计</t>
        </is>
      </c>
      <c r="B28" s="518" t="n"/>
      <c r="C28" s="518" t="n"/>
      <c r="D28" s="518" t="n"/>
      <c r="E28" s="519" t="n"/>
      <c r="F28" s="224">
        <f>SUM(F25:F27)</f>
        <v/>
      </c>
      <c r="G28" s="593">
        <f>SUM(G25:G27)</f>
        <v/>
      </c>
      <c r="H28" s="591">
        <f>SUM(H25:H27)</f>
        <v/>
      </c>
      <c r="I28" s="591">
        <f>SUM(I25:I27)</f>
        <v/>
      </c>
      <c r="J28" s="591">
        <f>SUM(J25:J27)</f>
        <v/>
      </c>
      <c r="K28" s="579">
        <f>SUM(K25:K27)</f>
        <v/>
      </c>
      <c r="L28" s="591">
        <f>SUM(L25:L27)</f>
        <v/>
      </c>
      <c r="M28" s="591">
        <f>SUM(M25:M27)</f>
        <v/>
      </c>
      <c r="N28" s="591">
        <f>SUM(N25:N27)</f>
        <v/>
      </c>
      <c r="O28" s="579">
        <f>SUM(O25:O27)</f>
        <v/>
      </c>
      <c r="P28" s="590">
        <f>SUM(P25:P27)</f>
        <v/>
      </c>
      <c r="Q28" s="590">
        <f>SUM(Q25:Q27)</f>
        <v/>
      </c>
      <c r="R28" s="591">
        <f>SUM(R25:R27)</f>
        <v/>
      </c>
      <c r="S28" s="579">
        <f>SUM(S25:S27)</f>
        <v/>
      </c>
      <c r="T28" s="579">
        <f>SUM(T25:T27)</f>
        <v/>
      </c>
      <c r="U28" s="580">
        <f>SUM(K28+O28+S28+T28)</f>
        <v/>
      </c>
      <c r="V28" s="220">
        <f>K28/(F28/((YEAR(E25)*12+MONTH(E25))-(YEAR(D25)*12+MONTH(D25))+1))</f>
        <v/>
      </c>
      <c r="W28" s="221">
        <f>G28/F28</f>
        <v/>
      </c>
      <c r="X28" s="579">
        <f>F28-G28</f>
        <v/>
      </c>
      <c r="Y28" s="222">
        <f>Y25</f>
        <v/>
      </c>
      <c r="Z28" s="220">
        <f>U28/Y25</f>
        <v/>
      </c>
      <c r="AA28" s="654">
        <f>Y25-U28</f>
        <v/>
      </c>
      <c r="AB28" s="651" t="inlineStr"/>
      <c r="AC28" s="651" t="inlineStr"/>
      <c r="AD28" s="651" t="inlineStr"/>
      <c r="AE28" s="651" t="inlineStr"/>
      <c r="AF28" s="651" t="inlineStr"/>
    </row>
    <row r="29" ht="14.25" customFormat="1" customHeight="1" s="483">
      <c r="A29" s="589" t="inlineStr">
        <is>
          <t>理财师009</t>
        </is>
      </c>
      <c r="B29" s="584" t="inlineStr">
        <is>
          <t>理财师048</t>
        </is>
      </c>
      <c r="C29" s="584" t="inlineStr">
        <is>
          <t>观察期PWA0-2</t>
        </is>
      </c>
      <c r="D29" s="638" t="n">
        <v>46082</v>
      </c>
      <c r="E29" s="638" t="n">
        <v>46234</v>
      </c>
      <c r="F29" s="116" t="n">
        <v>3056.1223</v>
      </c>
      <c r="G29" s="565" t="n">
        <v>150.398585</v>
      </c>
      <c r="H29" s="653" t="n">
        <v>0</v>
      </c>
      <c r="I29" s="653" t="n">
        <v>0</v>
      </c>
      <c r="J29" s="653" t="n">
        <v>0</v>
      </c>
      <c r="K29" s="653">
        <f>SUM(H29:J29)</f>
        <v/>
      </c>
      <c r="L29" s="653" t="n">
        <v>103.23148</v>
      </c>
      <c r="M29" s="653" t="n">
        <v>0</v>
      </c>
      <c r="N29" s="653" t="n">
        <v>47.167105</v>
      </c>
      <c r="O29" s="653">
        <f>SUM(L29:N29)</f>
        <v/>
      </c>
      <c r="P29" s="118" t="n">
        <v>51.706393</v>
      </c>
      <c r="Q29" s="118" t="n">
        <v>90.204069</v>
      </c>
      <c r="R29" s="118" t="n">
        <v>16.925117</v>
      </c>
      <c r="S29" s="118">
        <f>SUM(P29:R29)</f>
        <v/>
      </c>
      <c r="T29" s="118" t="n">
        <v>193.330405</v>
      </c>
      <c r="U29" s="187">
        <f>SUM(K29+O29+S29+T29)</f>
        <v/>
      </c>
      <c r="V29" s="122">
        <f>K29/(F29/((YEAR(E29)*12+MONTH(E29))-(YEAR(D29)*12+MONTH(D29))+1))</f>
        <v/>
      </c>
      <c r="W29" s="122">
        <f>G29/F29</f>
        <v/>
      </c>
      <c r="X29" s="587">
        <f>F29-G29</f>
        <v/>
      </c>
      <c r="Y29" s="214" t="n">
        <v>24216.5</v>
      </c>
      <c r="Z29" s="122">
        <f>Z32</f>
        <v/>
      </c>
      <c r="AA29" s="652">
        <f>AA32</f>
        <v/>
      </c>
    </row>
    <row r="30" ht="14.25" customFormat="1" customHeight="1" s="483">
      <c r="A30" s="500" t="n"/>
      <c r="B30" s="563" t="inlineStr">
        <is>
          <t>理财师009</t>
        </is>
      </c>
      <c r="C30" s="563" t="inlineStr">
        <is>
          <t>私人财富管理专家PWA4-1</t>
        </is>
      </c>
      <c r="D30" s="636" t="n">
        <v>46023</v>
      </c>
      <c r="E30" s="636" t="n">
        <v>46203</v>
      </c>
      <c r="F30" s="83" t="n">
        <v>28282.8</v>
      </c>
      <c r="G30" s="565" t="n">
        <v>10390.634953</v>
      </c>
      <c r="H30" s="85" t="n">
        <v>476.353594</v>
      </c>
      <c r="I30" s="85" t="n">
        <v>0</v>
      </c>
      <c r="J30" s="85" t="n">
        <v>0</v>
      </c>
      <c r="K30" s="85">
        <f>SUM(H30:J30)</f>
        <v/>
      </c>
      <c r="L30" s="85" t="n">
        <v>3314.503374</v>
      </c>
      <c r="M30" s="85" t="n">
        <v>0</v>
      </c>
      <c r="N30" s="85" t="n">
        <v>534.556203</v>
      </c>
      <c r="O30" s="85">
        <f>SUM(L30:N30)</f>
        <v/>
      </c>
      <c r="P30" s="85" t="n">
        <v>4769.379014</v>
      </c>
      <c r="Q30" s="85" t="n">
        <v>0</v>
      </c>
      <c r="R30" s="500" t="n"/>
      <c r="S30" s="85">
        <f>SUM(P30:R30)</f>
        <v/>
      </c>
      <c r="T30" s="85" t="n">
        <v>1069.968142</v>
      </c>
      <c r="U30" s="187">
        <f>SUM(K30+O30+S30+T30)</f>
        <v/>
      </c>
      <c r="V30" s="91">
        <f>K30/(F30/((YEAR(E30)*12+MONTH(E30))-(YEAR(D30)*12+MONTH(D30))+1))</f>
        <v/>
      </c>
      <c r="W30" s="91">
        <f>G30/F30</f>
        <v/>
      </c>
      <c r="X30" s="567">
        <f>F30-G30</f>
        <v/>
      </c>
      <c r="Y30" s="500" t="n"/>
      <c r="Z30" s="500" t="n"/>
      <c r="AA30" s="500" t="n"/>
    </row>
    <row r="31" ht="15" customFormat="1" customHeight="1" s="483">
      <c r="A31" s="513" t="n"/>
      <c r="B31" s="572" t="inlineStr">
        <is>
          <t>理财师010</t>
        </is>
      </c>
      <c r="C31" s="572" t="inlineStr">
        <is>
          <t>观察期PWA0-2</t>
        </is>
      </c>
      <c r="D31" s="637" t="n">
        <v>46023</v>
      </c>
      <c r="E31" s="637" t="n">
        <v>46203</v>
      </c>
      <c r="F31" s="98" t="n">
        <v>4868.16</v>
      </c>
      <c r="G31" s="565" t="n">
        <v>12455.879022</v>
      </c>
      <c r="H31" s="100" t="n">
        <v>174.03672</v>
      </c>
      <c r="I31" s="100" t="n">
        <v>0</v>
      </c>
      <c r="J31" s="100" t="n">
        <v>0</v>
      </c>
      <c r="K31" s="100">
        <f>SUM(H31:J31)</f>
        <v/>
      </c>
      <c r="L31" s="100" t="n">
        <v>2158.292651</v>
      </c>
      <c r="M31" s="100" t="n">
        <v>8187.6366</v>
      </c>
      <c r="N31" s="100" t="n">
        <v>194.447373</v>
      </c>
      <c r="O31" s="100">
        <f>SUM(L31:N31)</f>
        <v/>
      </c>
      <c r="P31" s="100" t="n">
        <v>474.6456</v>
      </c>
      <c r="Q31" s="100" t="n">
        <v>0</v>
      </c>
      <c r="R31" s="501" t="n"/>
      <c r="S31" s="100">
        <f>SUM(P31:R31)</f>
        <v/>
      </c>
      <c r="T31" s="100" t="n">
        <v>1144.784607</v>
      </c>
      <c r="U31" s="187">
        <f>SUM(K31+O31+S31+T31)</f>
        <v/>
      </c>
      <c r="V31" s="205">
        <f>K31/(F31/((YEAR(E31)*12+MONTH(E31))-(YEAR(D31)*12+MONTH(D31))+1))</f>
        <v/>
      </c>
      <c r="W31" s="205">
        <f>G31/F31</f>
        <v/>
      </c>
      <c r="X31" s="576">
        <f>F31-G31</f>
        <v/>
      </c>
      <c r="Y31" s="501" t="n"/>
      <c r="Z31" s="501" t="n"/>
      <c r="AA31" s="501" t="n"/>
    </row>
    <row r="32" ht="14.25" customFormat="1" customHeight="1" s="483">
      <c r="A32" s="577" t="inlineStr">
        <is>
          <t>合计</t>
        </is>
      </c>
      <c r="B32" s="518" t="n"/>
      <c r="C32" s="518" t="n"/>
      <c r="D32" s="518" t="n"/>
      <c r="E32" s="578" t="n"/>
      <c r="F32" s="225">
        <f>SUM(F29:F31)</f>
        <v/>
      </c>
      <c r="G32" s="597">
        <f>SUM(G29:G31)</f>
        <v/>
      </c>
      <c r="H32" s="597">
        <f>SUM(H29:H31)</f>
        <v/>
      </c>
      <c r="I32" s="597">
        <f>SUM(I29:I31)</f>
        <v/>
      </c>
      <c r="J32" s="597">
        <f>SUM(J29:J31)</f>
        <v/>
      </c>
      <c r="K32" s="641">
        <f>SUM(K29:K31)</f>
        <v/>
      </c>
      <c r="L32" s="597">
        <f>SUM(L29:L31)</f>
        <v/>
      </c>
      <c r="M32" s="597">
        <f>SUM(M29:M31)</f>
        <v/>
      </c>
      <c r="N32" s="597">
        <f>SUM(N29:N31)</f>
        <v/>
      </c>
      <c r="O32" s="641">
        <f>SUM(O29:O31)</f>
        <v/>
      </c>
      <c r="P32" s="597">
        <f>SUM(P29:P31)</f>
        <v/>
      </c>
      <c r="Q32" s="597">
        <f>SUM(Q29:Q31)</f>
        <v/>
      </c>
      <c r="R32" s="597">
        <f>SUM(R29:R31)</f>
        <v/>
      </c>
      <c r="S32" s="597">
        <f>SUM(S29:S31)</f>
        <v/>
      </c>
      <c r="T32" s="641">
        <f>SUM(T29:T31)</f>
        <v/>
      </c>
      <c r="U32" s="580">
        <f>SUM(K32+O32+S32+T32)</f>
        <v/>
      </c>
      <c r="V32" s="226">
        <f>K32/(F32/((YEAR(E29)*12+MONTH(E29))-(YEAR(D29)*12+MONTH(D29))+1))</f>
        <v/>
      </c>
      <c r="W32" s="227">
        <f>G32/F32</f>
        <v/>
      </c>
      <c r="X32" s="598">
        <f>F32-G32</f>
        <v/>
      </c>
      <c r="Y32" s="228">
        <f>Y29</f>
        <v/>
      </c>
      <c r="Z32" s="226">
        <f>U32/Y29</f>
        <v/>
      </c>
      <c r="AA32" s="655">
        <f>Y29-U32</f>
        <v/>
      </c>
      <c r="AB32" s="651" t="inlineStr"/>
      <c r="AC32" s="651" t="inlineStr"/>
      <c r="AD32" s="651" t="inlineStr"/>
      <c r="AE32" s="651" t="inlineStr"/>
      <c r="AF32" s="651" t="inlineStr"/>
    </row>
    <row r="33" ht="14.25" customFormat="1" customHeight="1" s="483">
      <c r="A33" s="642" t="inlineStr">
        <is>
          <t>理财师020</t>
        </is>
      </c>
      <c r="B33" s="601" t="inlineStr">
        <is>
          <t>理财师020</t>
        </is>
      </c>
      <c r="C33" s="601" t="inlineStr">
        <is>
          <t>私人财富管理资深顾问PWA2-5</t>
        </is>
      </c>
      <c r="D33" s="643" t="n">
        <v>46023</v>
      </c>
      <c r="E33" s="643" t="n">
        <v>46203</v>
      </c>
      <c r="F33" s="141" t="n">
        <v>15907.32</v>
      </c>
      <c r="G33" s="565" t="n">
        <v>27624.900273</v>
      </c>
      <c r="H33" s="142" t="n">
        <v>517.293393</v>
      </c>
      <c r="I33" s="142" t="n">
        <v>0</v>
      </c>
      <c r="J33" s="142" t="n">
        <v>0</v>
      </c>
      <c r="K33" s="197">
        <f>SUM(H33:J33)</f>
        <v/>
      </c>
      <c r="L33" s="142" t="n">
        <v>10803.329409</v>
      </c>
      <c r="M33" s="142" t="n">
        <v>0</v>
      </c>
      <c r="N33" s="142" t="n">
        <v>322.318526</v>
      </c>
      <c r="O33" s="197">
        <f>SUM(L33:N33)</f>
        <v/>
      </c>
      <c r="P33" s="142" t="n">
        <v>6594.535422</v>
      </c>
      <c r="Q33" s="142" t="n">
        <v>0</v>
      </c>
      <c r="R33" s="142" t="n">
        <v>271.914403</v>
      </c>
      <c r="S33" s="197">
        <f>SUM(P33:R33)</f>
        <v/>
      </c>
      <c r="T33" s="197" t="n">
        <v>9115.509121999999</v>
      </c>
      <c r="U33" s="187">
        <f>SUM(K33+O33+S33+T33)</f>
        <v/>
      </c>
      <c r="V33" s="148">
        <f>K33/(F33/((YEAR(E33)*12+MONTH(E33))-(YEAR(D33)*12+MONTH(D33))+1))</f>
        <v/>
      </c>
      <c r="W33" s="148">
        <f>G33/F33</f>
        <v/>
      </c>
      <c r="X33" s="604">
        <f>F33-G33</f>
        <v/>
      </c>
      <c r="Y33" s="230" t="n">
        <v>30127.5</v>
      </c>
      <c r="Z33" s="148">
        <f>Z35</f>
        <v/>
      </c>
      <c r="AA33" s="656">
        <f>AA35</f>
        <v/>
      </c>
    </row>
    <row r="34" ht="15" customFormat="1" customHeight="1" s="483">
      <c r="A34" s="628" t="n"/>
      <c r="B34" s="608" t="inlineStr">
        <is>
          <t>理财师032</t>
        </is>
      </c>
      <c r="C34" s="608" t="inlineStr">
        <is>
          <t>C1</t>
        </is>
      </c>
      <c r="D34" s="645" t="n">
        <v>46049</v>
      </c>
      <c r="E34" s="645" t="n">
        <v>46229</v>
      </c>
      <c r="F34" s="153" t="n">
        <v>2762.98</v>
      </c>
      <c r="G34" s="565" t="n">
        <v>1490.930006</v>
      </c>
      <c r="H34" s="154" t="n">
        <v>0</v>
      </c>
      <c r="I34" s="154" t="n">
        <v>0</v>
      </c>
      <c r="J34" s="154" t="n">
        <v>0</v>
      </c>
      <c r="K34" s="154">
        <f>SUM(H34:J34)</f>
        <v/>
      </c>
      <c r="L34" s="154" t="n">
        <v>0</v>
      </c>
      <c r="M34" s="154" t="n">
        <v>342.296351</v>
      </c>
      <c r="N34" s="154" t="n">
        <v>9.529415999999999</v>
      </c>
      <c r="O34" s="154">
        <f>SUM(L34:N34)</f>
        <v/>
      </c>
      <c r="P34" s="154" t="n">
        <v>440.8209</v>
      </c>
      <c r="Q34" s="154" t="n">
        <v>0</v>
      </c>
      <c r="R34" s="501" t="n"/>
      <c r="S34" s="154">
        <f>SUM(P34:R34)</f>
        <v/>
      </c>
      <c r="T34" s="154" t="n">
        <v>0</v>
      </c>
      <c r="U34" s="187">
        <f>SUM(K34+O34+S34+T34)</f>
        <v/>
      </c>
      <c r="V34" s="232">
        <f>K34/(F34/((YEAR(E34)*12+MONTH(E34))-(YEAR(D34)*12+MONTH(D34))+1))</f>
        <v/>
      </c>
      <c r="W34" s="232">
        <f>G34/F34</f>
        <v/>
      </c>
      <c r="X34" s="611">
        <f>F34-G34</f>
        <v/>
      </c>
      <c r="Y34" s="607" t="n"/>
      <c r="Z34" s="501" t="n"/>
      <c r="AA34" s="612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33">
        <f>SUM(F33:F34)</f>
        <v/>
      </c>
      <c r="G35" s="614">
        <f>SUM(G33:G34)</f>
        <v/>
      </c>
      <c r="H35" s="538">
        <f>SUM(H33:H34)</f>
        <v/>
      </c>
      <c r="I35" s="538">
        <f>SUM(I33:I34)</f>
        <v/>
      </c>
      <c r="J35" s="538">
        <f>SUM(J33:J34)</f>
        <v/>
      </c>
      <c r="K35" s="538">
        <f>SUM(K33:K34)</f>
        <v/>
      </c>
      <c r="L35" s="538">
        <f>SUM(L33:L34)</f>
        <v/>
      </c>
      <c r="M35" s="538">
        <f>SUM(M33:M34)</f>
        <v/>
      </c>
      <c r="N35" s="538">
        <f>SUM(N33:N34)</f>
        <v/>
      </c>
      <c r="O35" s="538">
        <f>SUM(O33:O34)</f>
        <v/>
      </c>
      <c r="P35" s="614">
        <f>SUM(P33:P34)</f>
        <v/>
      </c>
      <c r="Q35" s="614">
        <f>SUM(Q33:Q34)</f>
        <v/>
      </c>
      <c r="R35" s="614">
        <f>SUM(R33:R34)</f>
        <v/>
      </c>
      <c r="S35" s="614">
        <f>SUM(S33:S34)</f>
        <v/>
      </c>
      <c r="T35" s="614">
        <f>SUM(T33:T34)</f>
        <v/>
      </c>
      <c r="U35" s="580">
        <f>SUM(K35+O35+S35+T35)</f>
        <v/>
      </c>
      <c r="V35" s="234">
        <f>K35/(F35/((YEAR(E33)*12+MONTH(E33))-(YEAR(D33)*12+MONTH(D33))+1))</f>
        <v/>
      </c>
      <c r="W35" s="235">
        <f>G35/F35</f>
        <v/>
      </c>
      <c r="X35" s="615">
        <f>F35-G35</f>
        <v/>
      </c>
      <c r="Y35" s="236">
        <f>Y33</f>
        <v/>
      </c>
      <c r="Z35" s="234">
        <f>U35/Y33</f>
        <v/>
      </c>
      <c r="AA35" s="657">
        <f>Y33-U35</f>
        <v/>
      </c>
      <c r="AB35" s="651" t="inlineStr"/>
      <c r="AC35" s="651" t="inlineStr"/>
      <c r="AD35" s="651" t="inlineStr"/>
      <c r="AE35" s="651" t="inlineStr"/>
      <c r="AF35" s="651" t="inlineStr"/>
    </row>
    <row r="36" ht="14.25" customFormat="1" customHeight="1" s="483">
      <c r="A36" s="642" t="inlineStr">
        <is>
          <t>理财师005</t>
        </is>
      </c>
      <c r="B36" s="601" t="inlineStr">
        <is>
          <t>理财师005</t>
        </is>
      </c>
      <c r="C36" s="601" t="inlineStr">
        <is>
          <t>私人财富管理资深顾问PWA2-5</t>
        </is>
      </c>
      <c r="D36" s="643" t="n">
        <v>46054</v>
      </c>
      <c r="E36" s="643" t="n">
        <v>46203</v>
      </c>
      <c r="F36" s="141" t="n">
        <v>9610.6</v>
      </c>
      <c r="G36" s="565" t="n">
        <v>5535.558348</v>
      </c>
      <c r="H36" s="142" t="n">
        <v>871.197576</v>
      </c>
      <c r="I36" s="142" t="n">
        <v>0</v>
      </c>
      <c r="J36" s="142" t="n">
        <v>0</v>
      </c>
      <c r="K36" s="142">
        <f>SUM(H36:J36)</f>
        <v/>
      </c>
      <c r="L36" s="142" t="n">
        <v>731.292658</v>
      </c>
      <c r="M36" s="142" t="n">
        <v>1570.344134</v>
      </c>
      <c r="N36" s="142" t="n">
        <v>339.812314</v>
      </c>
      <c r="O36" s="142">
        <f>SUM(L36:N36)</f>
        <v/>
      </c>
      <c r="P36" s="142" t="n">
        <v>1738.204897</v>
      </c>
      <c r="Q36" s="142" t="n">
        <v>0</v>
      </c>
      <c r="R36" s="142" t="n">
        <v>284.706769</v>
      </c>
      <c r="S36" s="142">
        <f>SUM(P36:R36)</f>
        <v/>
      </c>
      <c r="T36" s="142" t="n">
        <v>1538.392041</v>
      </c>
      <c r="U36" s="187">
        <f>SUM(K36+O36+S36+T36)</f>
        <v/>
      </c>
      <c r="V36" s="148">
        <f>K36/(F36/((YEAR(E36)*12+MONTH(E36))-(YEAR(D36)*12+MONTH(D36))+1))</f>
        <v/>
      </c>
      <c r="W36" s="148">
        <f>G36/F36</f>
        <v/>
      </c>
      <c r="X36" s="616">
        <f>F36-G36</f>
        <v/>
      </c>
      <c r="Y36" s="230" t="n">
        <v>26246.88</v>
      </c>
      <c r="Z36" s="148">
        <f>Z38</f>
        <v/>
      </c>
      <c r="AA36" s="656">
        <f>AA38</f>
        <v/>
      </c>
    </row>
    <row r="37" ht="15" customFormat="1" customHeight="1" s="483">
      <c r="A37" s="628" t="n"/>
      <c r="B37" s="608" t="inlineStr">
        <is>
          <t>理财师026</t>
        </is>
      </c>
      <c r="C37" s="608" t="inlineStr">
        <is>
          <t>私人财富管理资深顾问PWA2-5</t>
        </is>
      </c>
      <c r="D37" s="645" t="n">
        <v>45922</v>
      </c>
      <c r="E37" s="645" t="n">
        <v>46102</v>
      </c>
      <c r="F37" s="153" t="n">
        <v>12213.96</v>
      </c>
      <c r="G37" s="565" t="n">
        <v>795.1018749999999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809.929895</v>
      </c>
      <c r="M37" s="154" t="n">
        <v>0</v>
      </c>
      <c r="N37" s="154" t="n">
        <v>47.503424</v>
      </c>
      <c r="O37" s="154">
        <f>SUM(L37:N37)</f>
        <v/>
      </c>
      <c r="P37" s="154" t="n">
        <v>176.20858</v>
      </c>
      <c r="Q37" s="154" t="n">
        <v>0</v>
      </c>
      <c r="R37" s="501" t="n"/>
      <c r="S37" s="154">
        <f>SUM(P37:R37)</f>
        <v/>
      </c>
      <c r="T37" s="154" t="n">
        <v>12.282809</v>
      </c>
      <c r="U37" s="187">
        <f>SUM(K37+O37+S37+T37)</f>
        <v/>
      </c>
      <c r="V37" s="232">
        <f>K37/(F37/((YEAR(E37)*12+MONTH(E37))-(YEAR(D37)*12+MONTH(D37))+1))</f>
        <v/>
      </c>
      <c r="W37" s="232">
        <f>G37/F37</f>
        <v/>
      </c>
      <c r="X37" s="617">
        <f>F37-G37</f>
        <v/>
      </c>
      <c r="Y37" s="607" t="n"/>
      <c r="Z37" s="501" t="n"/>
      <c r="AA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8">
        <f>SUM(F36:F37)</f>
        <v/>
      </c>
      <c r="G38" s="621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538">
        <f>SUM(L36:L37)</f>
        <v/>
      </c>
      <c r="M38" s="538">
        <f>SUM(M36:M37)</f>
        <v/>
      </c>
      <c r="N38" s="538">
        <f>SUM(N36:N37)</f>
        <v/>
      </c>
      <c r="O38" s="538">
        <f>SUM(O36:O37)</f>
        <v/>
      </c>
      <c r="P38" s="621">
        <f>SUM(P36:P37)</f>
        <v/>
      </c>
      <c r="Q38" s="621">
        <f>SUM(Q36:Q37)</f>
        <v/>
      </c>
      <c r="R38" s="621">
        <f>SUM(R36:R37)</f>
        <v/>
      </c>
      <c r="S38" s="621">
        <f>SUM(S36:S37)</f>
        <v/>
      </c>
      <c r="T38" s="621">
        <f>SUM(T36:T37)</f>
        <v/>
      </c>
      <c r="U38" s="580">
        <f>SUM(K38+O38+S38+T38)</f>
        <v/>
      </c>
      <c r="V38" s="239">
        <f>K38/(F38/((YEAR(E36)*12+MONTH(E36))-(YEAR(D36)*12+MONTH(D36))+1))</f>
        <v/>
      </c>
      <c r="W38" s="240">
        <f>G38/F38</f>
        <v/>
      </c>
      <c r="X38" s="621">
        <f>F38-G38</f>
        <v/>
      </c>
      <c r="Y38" s="241">
        <f>Y36</f>
        <v/>
      </c>
      <c r="Z38" s="242">
        <f>U38/Y36</f>
        <v/>
      </c>
      <c r="AA38" s="658">
        <f>Y36-U38</f>
        <v/>
      </c>
      <c r="AB38" s="651" t="inlineStr"/>
      <c r="AC38" s="651" t="inlineStr"/>
      <c r="AD38" s="651" t="inlineStr"/>
      <c r="AE38" s="651" t="inlineStr"/>
      <c r="AF38" s="651" t="inlineStr"/>
    </row>
    <row r="39" ht="14.25" customFormat="1" customHeight="1" s="483">
      <c r="A39" s="642" t="inlineStr">
        <is>
          <t>理财师008</t>
        </is>
      </c>
      <c r="B39" s="601" t="inlineStr">
        <is>
          <t>理财师008</t>
        </is>
      </c>
      <c r="C39" s="601" t="inlineStr">
        <is>
          <t>私人财富管理专家PWA4-2</t>
        </is>
      </c>
      <c r="D39" s="643" t="n">
        <v>46023</v>
      </c>
      <c r="E39" s="643" t="n">
        <v>46203</v>
      </c>
      <c r="F39" s="141" t="n">
        <v>24202.22</v>
      </c>
      <c r="G39" s="586" t="n">
        <v>13478.206896</v>
      </c>
      <c r="H39" s="142" t="n">
        <v>0</v>
      </c>
      <c r="I39" s="142" t="n">
        <v>0</v>
      </c>
      <c r="J39" s="142" t="n">
        <v>0</v>
      </c>
      <c r="K39" s="142">
        <f>SUM(H39:J39)</f>
        <v/>
      </c>
      <c r="L39" s="142" t="n">
        <v>9546.464904</v>
      </c>
      <c r="M39" s="142" t="n">
        <v>0</v>
      </c>
      <c r="N39" s="142" t="n">
        <v>316.814478</v>
      </c>
      <c r="O39" s="142">
        <f>SUM(L39:N39)</f>
        <v/>
      </c>
      <c r="P39" s="142" t="n">
        <v>1081.878995</v>
      </c>
      <c r="Q39" s="142" t="n">
        <v>523.50012</v>
      </c>
      <c r="R39" s="142" t="n">
        <v>135.589522</v>
      </c>
      <c r="S39" s="142">
        <f>SUM(P39:R39)</f>
        <v/>
      </c>
      <c r="T39" s="142" t="n">
        <v>1873.958877</v>
      </c>
      <c r="U39" s="187">
        <f>SUM(K39+O39+S39+T39)</f>
        <v/>
      </c>
      <c r="V39" s="148">
        <f>K39/(F39/((YEAR(E39)*12+MONTH(E39))-(YEAR(D39)*12+MONTH(D39))+1))</f>
        <v/>
      </c>
      <c r="W39" s="148">
        <f>G39/F39</f>
        <v/>
      </c>
      <c r="X39" s="616">
        <f>F39-G39</f>
        <v/>
      </c>
      <c r="Y39" s="230" t="n">
        <v>32744.18</v>
      </c>
      <c r="Z39" s="148">
        <f>Z41</f>
        <v/>
      </c>
      <c r="AA39" s="656">
        <f>AA41</f>
        <v/>
      </c>
    </row>
    <row r="40" ht="15" customFormat="1" customHeight="1" s="483">
      <c r="A40" s="628" t="n"/>
      <c r="B40" s="608" t="inlineStr">
        <is>
          <t>理财师011</t>
        </is>
      </c>
      <c r="C40" s="608" t="inlineStr">
        <is>
          <t>私人财富管理资深顾问PWA2-2</t>
        </is>
      </c>
      <c r="D40" s="645" t="n">
        <v>46023</v>
      </c>
      <c r="E40" s="645" t="n">
        <v>46203</v>
      </c>
      <c r="F40" s="153" t="n">
        <v>5045.88</v>
      </c>
      <c r="G40" s="565" t="n">
        <v>597.141293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47.229437</v>
      </c>
      <c r="M40" s="154" t="n">
        <v>0</v>
      </c>
      <c r="N40" s="154" t="n">
        <v>24.120644</v>
      </c>
      <c r="O40" s="154">
        <f>SUM(L40:N40)</f>
        <v/>
      </c>
      <c r="P40" s="154" t="n">
        <v>524.574731</v>
      </c>
      <c r="Q40" s="154" t="n">
        <v>0</v>
      </c>
      <c r="R40" s="501" t="n"/>
      <c r="S40" s="154">
        <f>SUM(P40:R40)</f>
        <v/>
      </c>
      <c r="T40" s="154" t="n">
        <v>0</v>
      </c>
      <c r="U40" s="187">
        <f>SUM(K40+O40+S40+T40)</f>
        <v/>
      </c>
      <c r="V40" s="232">
        <f>K40/(F40/((YEAR(E40)*12+MONTH(E40))-(YEAR(D40)*12+MONTH(D40))+1))</f>
        <v/>
      </c>
      <c r="W40" s="232">
        <f>G40/F40</f>
        <v/>
      </c>
      <c r="X40" s="617">
        <f>F40-G40</f>
        <v/>
      </c>
      <c r="Y40" s="607" t="n"/>
      <c r="Z40" s="501" t="n"/>
      <c r="AA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538">
        <f>SUM(L39:L40)</f>
        <v/>
      </c>
      <c r="M41" s="538">
        <f>SUM(M39:M40)</f>
        <v/>
      </c>
      <c r="N41" s="538">
        <f>SUM(N39:N40)</f>
        <v/>
      </c>
      <c r="O41" s="538">
        <f>SUM(O39:O40)</f>
        <v/>
      </c>
      <c r="P41" s="621">
        <f>SUM(P39:P40)</f>
        <v/>
      </c>
      <c r="Q41" s="621">
        <f>SUM(Q39:Q40)</f>
        <v/>
      </c>
      <c r="R41" s="621">
        <f>SUM(R39:R40)</f>
        <v/>
      </c>
      <c r="S41" s="621">
        <f>SUM(S39:S40)</f>
        <v/>
      </c>
      <c r="T41" s="621">
        <f>SUM(T39:T40)</f>
        <v/>
      </c>
      <c r="U41" s="580">
        <f>SUM(K41+O41+S41+T41)</f>
        <v/>
      </c>
      <c r="V41" s="239">
        <f>K41/(F41/((YEAR(E39)*12+MONTH(E39))-(YEAR(D39)*12+MONTH(D39))+1))</f>
        <v/>
      </c>
      <c r="W41" s="240">
        <f>G41/F41</f>
        <v/>
      </c>
      <c r="X41" s="621">
        <f>F41-G41</f>
        <v/>
      </c>
      <c r="Y41" s="241">
        <f>Y39</f>
        <v/>
      </c>
      <c r="Z41" s="242">
        <f>U41/Y39</f>
        <v/>
      </c>
      <c r="AA41" s="658">
        <f>Y39-U41</f>
        <v/>
      </c>
      <c r="AB41" s="651" t="inlineStr"/>
      <c r="AC41" s="651" t="inlineStr"/>
      <c r="AD41" s="651" t="inlineStr"/>
      <c r="AE41" s="651" t="inlineStr"/>
      <c r="AF41" s="651" t="inlineStr"/>
    </row>
    <row r="42" ht="14.1" customFormat="1" customHeight="1" s="483">
      <c r="A42" s="589" t="inlineStr">
        <is>
          <t>理财师004</t>
        </is>
      </c>
      <c r="B42" s="584" t="inlineStr">
        <is>
          <t>理财师003</t>
        </is>
      </c>
      <c r="C42" s="584" t="inlineStr">
        <is>
          <t>私人财富管理资深顾问PWA2-3</t>
        </is>
      </c>
      <c r="D42" s="638" t="n">
        <v>46054</v>
      </c>
      <c r="E42" s="638" t="n">
        <v>46203</v>
      </c>
      <c r="F42" s="116" t="n">
        <v>18856.5</v>
      </c>
      <c r="G42" s="586" t="n">
        <v>6532.095938</v>
      </c>
      <c r="H42" s="589" t="n">
        <v>98.0538</v>
      </c>
      <c r="I42" s="589" t="n">
        <v>0</v>
      </c>
      <c r="J42" s="589" t="n">
        <v>0</v>
      </c>
      <c r="K42" s="589">
        <f>SUM(H42:J42)</f>
        <v/>
      </c>
      <c r="L42" s="589" t="n">
        <v>1550.383391</v>
      </c>
      <c r="M42" s="589" t="n">
        <v>0</v>
      </c>
      <c r="N42" s="589" t="n">
        <v>2098.905896</v>
      </c>
      <c r="O42" s="589">
        <f>SUM(L42:N42)</f>
        <v/>
      </c>
      <c r="P42" s="118" t="n">
        <v>1396.194268</v>
      </c>
      <c r="Q42" s="118" t="n">
        <v>0</v>
      </c>
      <c r="R42" s="118" t="n">
        <v>1388.558583</v>
      </c>
      <c r="S42" s="118">
        <f>SUM(P42:R42)</f>
        <v/>
      </c>
      <c r="T42" s="118" t="n">
        <v>7198.740986</v>
      </c>
      <c r="U42" s="187">
        <f>SUM(K42+O42+S42+T42)</f>
        <v/>
      </c>
      <c r="V42" s="122">
        <f>K42/(F42/((YEAR(E42)*12+MONTH(E42))-(YEAR(D42)*12+MONTH(D42))+1))</f>
        <v/>
      </c>
      <c r="W42" s="122">
        <f>G42/F42</f>
        <v/>
      </c>
      <c r="X42" s="587">
        <f>F42-G42</f>
        <v/>
      </c>
      <c r="Y42" s="244" t="n">
        <v>125710</v>
      </c>
      <c r="Z42" s="171">
        <f>Z46</f>
        <v/>
      </c>
      <c r="AA42" s="659">
        <f>AA46</f>
        <v/>
      </c>
    </row>
    <row r="43" ht="14.1" customFormat="1" customHeight="1" s="483">
      <c r="A43" s="500" t="n"/>
      <c r="B43" s="563" t="inlineStr">
        <is>
          <t>理财师006</t>
        </is>
      </c>
      <c r="C43" s="563" t="inlineStr">
        <is>
          <t>私人财富管理专家PWA4-5</t>
        </is>
      </c>
      <c r="D43" s="636" t="n">
        <v>46023</v>
      </c>
      <c r="E43" s="636" t="n">
        <v>46203</v>
      </c>
      <c r="F43" s="83" t="n">
        <v>17235</v>
      </c>
      <c r="G43" s="565" t="n">
        <v>11165.51892</v>
      </c>
      <c r="H43" s="85" t="n">
        <v>557.589098</v>
      </c>
      <c r="I43" s="85" t="n">
        <v>0</v>
      </c>
      <c r="J43" s="85" t="n">
        <v>0</v>
      </c>
      <c r="K43" s="85">
        <f>SUM(H43:J43)</f>
        <v/>
      </c>
      <c r="L43" s="85" t="n">
        <v>2747.788321</v>
      </c>
      <c r="M43" s="85" t="n">
        <v>0</v>
      </c>
      <c r="N43" s="85" t="n">
        <v>610.841506</v>
      </c>
      <c r="O43" s="85">
        <f>SUM(L43:N43)</f>
        <v/>
      </c>
      <c r="P43" s="85" t="n">
        <v>1566.390968</v>
      </c>
      <c r="Q43" s="85" t="n">
        <v>1037.679365</v>
      </c>
      <c r="R43" s="500" t="n"/>
      <c r="S43" s="118">
        <f>SUM(P43:R43)</f>
        <v/>
      </c>
      <c r="T43" s="118" t="n">
        <v>4333.574839</v>
      </c>
      <c r="U43" s="187">
        <f>SUM(K43+O43+S43+T43)</f>
        <v/>
      </c>
      <c r="V43" s="91">
        <f>K43/(F43/((YEAR(E43)*12+MONTH(E43))-(YEAR(D43)*12+MONTH(D43))+1))</f>
        <v/>
      </c>
      <c r="W43" s="91">
        <f>G43/F43</f>
        <v/>
      </c>
      <c r="X43" s="567">
        <f>F43-G43</f>
        <v/>
      </c>
      <c r="Y43" s="626" t="n"/>
      <c r="Z43" s="500" t="n"/>
      <c r="AA43" s="627" t="n"/>
    </row>
    <row r="44" ht="14.1" customFormat="1" customHeight="1" s="483">
      <c r="A44" s="500" t="n"/>
      <c r="B44" s="563" t="inlineStr">
        <is>
          <t>理财师012</t>
        </is>
      </c>
      <c r="C44" s="563" t="inlineStr">
        <is>
          <t>首席私人财富管理专家PWA5-3</t>
        </is>
      </c>
      <c r="D44" s="636" t="n">
        <v>46023</v>
      </c>
      <c r="E44" s="636" t="n">
        <v>46203</v>
      </c>
      <c r="F44" s="83" t="n">
        <v>51394.5</v>
      </c>
      <c r="G44" s="586" t="n">
        <v>15738.787439</v>
      </c>
      <c r="H44" s="85" t="n">
        <v>0</v>
      </c>
      <c r="I44" s="85" t="n">
        <v>0</v>
      </c>
      <c r="J44" s="85" t="n">
        <v>0</v>
      </c>
      <c r="K44" s="85">
        <f>SUM(H44:J44)</f>
        <v/>
      </c>
      <c r="L44" s="85" t="n">
        <v>3160.387028</v>
      </c>
      <c r="M44" s="85" t="n">
        <v>0</v>
      </c>
      <c r="N44" s="85" t="n">
        <v>3164.785199</v>
      </c>
      <c r="O44" s="85">
        <f>SUM(L44:N44)</f>
        <v/>
      </c>
      <c r="P44" s="85" t="n">
        <v>3065.24731</v>
      </c>
      <c r="Q44" s="85" t="n">
        <v>0</v>
      </c>
      <c r="R44" s="500" t="n"/>
      <c r="S44" s="85">
        <f>SUM(P44:R44)</f>
        <v/>
      </c>
      <c r="T44" s="85" t="n">
        <v>4881.758761</v>
      </c>
      <c r="U44" s="187">
        <f>SUM(K44+O44+S44+T44)</f>
        <v/>
      </c>
      <c r="V44" s="91">
        <f>K44/(F44/((YEAR(E44)*12+MONTH(E44))-(YEAR(D44)*12+MONTH(D44))+1))</f>
        <v/>
      </c>
      <c r="W44" s="91">
        <f>G44/F44</f>
        <v/>
      </c>
      <c r="X44" s="567">
        <f>F44-G44</f>
        <v/>
      </c>
      <c r="Y44" s="626" t="n"/>
      <c r="Z44" s="500" t="n"/>
      <c r="AA44" s="627" t="n"/>
    </row>
    <row r="45" ht="15" customFormat="1" customHeight="1" s="483">
      <c r="A45" s="513" t="n"/>
      <c r="B45" s="572" t="inlineStr">
        <is>
          <t>理财师004</t>
        </is>
      </c>
      <c r="C45" s="572" t="inlineStr"/>
      <c r="D45" s="572" t="inlineStr"/>
      <c r="E45" s="572" t="inlineStr"/>
      <c r="F45" s="98" t="inlineStr"/>
      <c r="G45" s="574" t="n">
        <v>0</v>
      </c>
      <c r="H45" s="100" t="n">
        <v>397.021472</v>
      </c>
      <c r="I45" s="100" t="n">
        <v>0</v>
      </c>
      <c r="J45" s="100" t="n">
        <v>0</v>
      </c>
      <c r="K45" s="100">
        <f>SUM(H45:J45)</f>
        <v/>
      </c>
      <c r="L45" s="100" t="n">
        <v>1958.298381</v>
      </c>
      <c r="M45" s="100" t="n">
        <v>0</v>
      </c>
      <c r="N45" s="100" t="n">
        <v>668.610552</v>
      </c>
      <c r="O45" s="100">
        <f>SUM(L45:N45)</f>
        <v/>
      </c>
      <c r="P45" s="100" t="n">
        <v>2837.047697</v>
      </c>
      <c r="Q45" s="100" t="n">
        <v>0</v>
      </c>
      <c r="R45" s="501" t="n"/>
      <c r="S45" s="100">
        <f>SUM(P45:R45)</f>
        <v/>
      </c>
      <c r="T45" s="100" t="n">
        <v>2547.377488</v>
      </c>
      <c r="U45" s="187">
        <f>SUM(K45+O45+S45+T45)</f>
        <v/>
      </c>
      <c r="V45" s="103" t="inlineStr"/>
      <c r="W45" s="205">
        <f>G45/F45</f>
        <v/>
      </c>
      <c r="X45" s="576">
        <f>F45-G45</f>
        <v/>
      </c>
      <c r="Y45" s="628" t="n"/>
      <c r="Z45" s="513" t="n"/>
      <c r="AA45" s="629" t="n"/>
    </row>
    <row r="46" ht="14.25" customFormat="1" customHeight="1" s="483">
      <c r="A46" s="577" t="inlineStr">
        <is>
          <t>合计</t>
        </is>
      </c>
      <c r="B46" s="518" t="n"/>
      <c r="C46" s="518" t="n"/>
      <c r="D46" s="518" t="n"/>
      <c r="E46" s="578" t="n"/>
      <c r="F46" s="219">
        <f>SUM(F42:F45)</f>
        <v/>
      </c>
      <c r="G46" s="590">
        <f>SUM(G42:G45)</f>
        <v/>
      </c>
      <c r="H46" s="591">
        <f>SUM(H42:H45)</f>
        <v/>
      </c>
      <c r="I46" s="591">
        <f>SUM(I42:I45)</f>
        <v/>
      </c>
      <c r="J46" s="591">
        <f>SUM(J42:J45)</f>
        <v/>
      </c>
      <c r="K46" s="579">
        <f>SUM(K42:K45)</f>
        <v/>
      </c>
      <c r="L46" s="591">
        <f>SUM(L42:L45)</f>
        <v/>
      </c>
      <c r="M46" s="591">
        <f>SUM(M42:M45)</f>
        <v/>
      </c>
      <c r="N46" s="591">
        <f>SUM(N42:N45)</f>
        <v/>
      </c>
      <c r="O46" s="579">
        <f>SUM(O42:O45)</f>
        <v/>
      </c>
      <c r="P46" s="590">
        <f>SUM(P42:P45)</f>
        <v/>
      </c>
      <c r="Q46" s="590">
        <f>SUM(Q42:Q45)</f>
        <v/>
      </c>
      <c r="R46" s="591">
        <f>SUM(R42:R45)</f>
        <v/>
      </c>
      <c r="S46" s="579">
        <f>SUM(S42:S45)</f>
        <v/>
      </c>
      <c r="T46" s="579">
        <f>SUM(T42:T45)</f>
        <v/>
      </c>
      <c r="U46" s="646">
        <f>SUM(K46+O46+S46+T46)</f>
        <v/>
      </c>
      <c r="V46" s="220">
        <f>K46/(F46/((YEAR(E42)*12+MONTH(E42))-(YEAR(D42)*12+MONTH(D42))+1))</f>
        <v/>
      </c>
      <c r="W46" s="221">
        <f>G46/F46</f>
        <v/>
      </c>
      <c r="X46" s="598">
        <f>F46-G46</f>
        <v/>
      </c>
      <c r="Y46" s="228">
        <f>Y42</f>
        <v/>
      </c>
      <c r="Z46" s="226">
        <f>U46/Y42</f>
        <v/>
      </c>
      <c r="AA46" s="655">
        <f>Y42-U46</f>
        <v/>
      </c>
      <c r="AB46" s="651" t="inlineStr"/>
      <c r="AC46" s="651" t="inlineStr"/>
      <c r="AD46" s="651" t="inlineStr"/>
      <c r="AE46" s="651" t="inlineStr"/>
      <c r="AF46" s="651" t="inlineStr"/>
    </row>
    <row r="47" ht="35.1" customFormat="1" customHeight="1" s="483">
      <c r="A47" s="630" t="inlineStr">
        <is>
          <t>合计</t>
        </is>
      </c>
      <c r="B47" s="518" t="n"/>
      <c r="C47" s="518" t="n"/>
      <c r="D47" s="518" t="n"/>
      <c r="E47" s="578" t="n"/>
      <c r="F47" s="660">
        <f>F9+F15+F19+F24+F28+F32+F35+F38+F41+F46</f>
        <v/>
      </c>
      <c r="G47" s="660">
        <f>G9+G15+G19+G24+G28+G32+G35+G38+G41+G46</f>
        <v/>
      </c>
      <c r="H47" s="660">
        <f>H9+H15+H19+H24+H28+H32+H35+H38+H41+H46</f>
        <v/>
      </c>
      <c r="I47" s="660">
        <f>I9+I15+I19+I24+I28+I32+I35+I38+I41+I46</f>
        <v/>
      </c>
      <c r="J47" s="660">
        <f>J9+J15+J19+J24+J28+J32+J35+J38+J41+J46</f>
        <v/>
      </c>
      <c r="K47" s="661">
        <f>K9+K15+K19+K24+K28+K32+K35+K38+K41+K46</f>
        <v/>
      </c>
      <c r="L47" s="660">
        <f>L9+L15+L19+L24+L28+L32+L35+L38+L41+L46</f>
        <v/>
      </c>
      <c r="M47" s="660">
        <f>M9+M15+M19+M24+M28+M32+M35+M38+M41+M46</f>
        <v/>
      </c>
      <c r="N47" s="660">
        <f>N9+N15+N19+N24+N28+N32+N35+N38+N41+N46</f>
        <v/>
      </c>
      <c r="O47" s="661">
        <f>O9+O15+O19+O24+O28+O32+O35+O38+O41+O46</f>
        <v/>
      </c>
      <c r="P47" s="660">
        <f>P9+P15+P19+P24+P28+P32+P35+P38+P41+P46</f>
        <v/>
      </c>
      <c r="Q47" s="660">
        <f>Q9+Q15+Q19+Q24+Q28+Q32+Q35+Q38+Q41+Q46</f>
        <v/>
      </c>
      <c r="R47" s="660">
        <f>R9+R15+R19+R24+R28+R32+R35+R38+R41+R46</f>
        <v/>
      </c>
      <c r="S47" s="660">
        <f>S9+S15+S19+S24+S28+S32+S35+S38+S41+S46</f>
        <v/>
      </c>
      <c r="T47" s="661">
        <f>T9+T15+T19+T24+T28+T32+T35+T38+T41+T46</f>
        <v/>
      </c>
      <c r="U47" s="662">
        <f>U9+U15+U19+U24+U28+U32+U35+U38+U41+U46</f>
        <v/>
      </c>
      <c r="V47" s="249">
        <f>K47/(F47/((YEAR(E4)*12+MONTH(E4))-(YEAR(D4)*12+MONTH(D4))+1))</f>
        <v/>
      </c>
      <c r="W47" s="250">
        <f>G47/F47</f>
        <v/>
      </c>
      <c r="X47" s="663">
        <f>F47-G47</f>
        <v/>
      </c>
      <c r="Y47" s="663">
        <f>Y9+Y15+Y19+Y24+Y28+Y32+Y35+Y38+Y41+Y46</f>
        <v/>
      </c>
      <c r="Z47" s="252">
        <f>U47/Y47</f>
        <v/>
      </c>
      <c r="AA47" s="663">
        <f>Y47-U47</f>
        <v/>
      </c>
      <c r="AB47" s="664" t="inlineStr"/>
      <c r="AC47" s="664" t="inlineStr"/>
      <c r="AD47" s="664" t="inlineStr"/>
      <c r="AE47" s="664" t="inlineStr"/>
      <c r="AF47" s="664" t="inlineStr"/>
    </row>
    <row r="48" ht="24" customFormat="1" customHeight="1" s="483">
      <c r="X48" s="633" t="inlineStr">
        <is>
          <t>公司目标</t>
        </is>
      </c>
      <c r="Y48" s="633" t="n">
        <v>630987.38</v>
      </c>
      <c r="Z48" s="252">
        <f>IF(Y48&lt;&gt;0,U47/Y48,"")</f>
        <v/>
      </c>
      <c r="AA48" s="663">
        <f>Y48-U47</f>
        <v/>
      </c>
    </row>
  </sheetData>
  <mergeCells count="90">
    <mergeCell ref="A4:A8"/>
    <mergeCell ref="A29:A31"/>
    <mergeCell ref="U2:U3"/>
    <mergeCell ref="A46:E46"/>
    <mergeCell ref="A2:A3"/>
    <mergeCell ref="C2:C3"/>
    <mergeCell ref="E2:E3"/>
    <mergeCell ref="R29:R31"/>
    <mergeCell ref="W2:W3"/>
    <mergeCell ref="Z39:Z40"/>
    <mergeCell ref="Y4:Y8"/>
    <mergeCell ref="A33:A34"/>
    <mergeCell ref="R42:R45"/>
    <mergeCell ref="AA2:AA3"/>
    <mergeCell ref="Y36:Y37"/>
    <mergeCell ref="R33:R34"/>
    <mergeCell ref="Y33:Y34"/>
    <mergeCell ref="Y29:Y31"/>
    <mergeCell ref="V2:V3"/>
    <mergeCell ref="X2:X3"/>
    <mergeCell ref="N2:N3"/>
    <mergeCell ref="F2:F3"/>
    <mergeCell ref="P2:P3"/>
    <mergeCell ref="H2:H3"/>
    <mergeCell ref="A1:W1"/>
    <mergeCell ref="Z10:Z14"/>
    <mergeCell ref="R20:R23"/>
    <mergeCell ref="R36:R37"/>
    <mergeCell ref="Z33:Z34"/>
    <mergeCell ref="AA29:AA31"/>
    <mergeCell ref="K2:K3"/>
    <mergeCell ref="O2:O3"/>
    <mergeCell ref="R25:R27"/>
    <mergeCell ref="A32:E32"/>
    <mergeCell ref="Q2:Q3"/>
    <mergeCell ref="Z20:Z23"/>
    <mergeCell ref="Z42:Z45"/>
    <mergeCell ref="A38:E38"/>
    <mergeCell ref="Y10:Y14"/>
    <mergeCell ref="A16:A18"/>
    <mergeCell ref="A25:A27"/>
    <mergeCell ref="A39:A40"/>
    <mergeCell ref="S2:S3"/>
    <mergeCell ref="A24:E24"/>
    <mergeCell ref="Y25:Y27"/>
    <mergeCell ref="AA25:AA27"/>
    <mergeCell ref="A36:A37"/>
    <mergeCell ref="B2:B3"/>
    <mergeCell ref="AA33:AA34"/>
    <mergeCell ref="D2:D3"/>
    <mergeCell ref="Y20:Y23"/>
    <mergeCell ref="Y39:Y40"/>
    <mergeCell ref="AA39:AA40"/>
    <mergeCell ref="A10:A14"/>
    <mergeCell ref="Z2:Z3"/>
    <mergeCell ref="AA20:AA23"/>
    <mergeCell ref="AA36:AA37"/>
    <mergeCell ref="T2:T3"/>
    <mergeCell ref="X1:Z1"/>
    <mergeCell ref="R10:R14"/>
    <mergeCell ref="A42:A45"/>
    <mergeCell ref="A20:A23"/>
    <mergeCell ref="A47:E47"/>
    <mergeCell ref="Z16:Z18"/>
    <mergeCell ref="R16:R18"/>
    <mergeCell ref="Z25:Z27"/>
    <mergeCell ref="A28:E28"/>
    <mergeCell ref="G2:G3"/>
    <mergeCell ref="I2:I3"/>
    <mergeCell ref="R39:R40"/>
    <mergeCell ref="Z36:Z37"/>
    <mergeCell ref="AA4:AA8"/>
    <mergeCell ref="A15:E15"/>
    <mergeCell ref="Y16:Y18"/>
    <mergeCell ref="AA16:AA18"/>
    <mergeCell ref="M2:M3"/>
    <mergeCell ref="Z4:Z8"/>
    <mergeCell ref="Z29:Z31"/>
    <mergeCell ref="Y2:Y3"/>
    <mergeCell ref="A41:E41"/>
    <mergeCell ref="AA10:AA14"/>
    <mergeCell ref="R2:R3"/>
    <mergeCell ref="J2:J3"/>
    <mergeCell ref="L2:L3"/>
    <mergeCell ref="R4:R8"/>
    <mergeCell ref="A35:E35"/>
    <mergeCell ref="A19:E19"/>
    <mergeCell ref="Y42:Y45"/>
    <mergeCell ref="AA42:AA45"/>
    <mergeCell ref="A9:E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1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width="12.875" customWidth="1" style="533" min="20" max="20"/>
    <col width="13.2143" customWidth="1" style="533" min="21" max="21"/>
    <col width="14" customWidth="1" style="533" min="22" max="22"/>
    <col width="14.125" customWidth="1" style="533" min="23" max="23"/>
    <col width="9" customWidth="1" style="533" min="24" max="32"/>
  </cols>
  <sheetData>
    <row r="1" ht="20.25" customFormat="1" customHeight="1" s="483">
      <c r="A1" s="665" t="inlineStr">
        <is>
          <t>私人财富管理部折标销售进度表-截止20260424</t>
        </is>
      </c>
      <c r="X1" s="649" t="inlineStr"/>
      <c r="Y1" s="552" t="inlineStr">
        <is>
          <t>上半年时间进度</t>
        </is>
      </c>
      <c r="AA1" s="70">
        <f>AF7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传统202604</t>
        </is>
      </c>
      <c r="I2" s="541" t="inlineStr">
        <is>
          <t>保险202604</t>
        </is>
      </c>
      <c r="J2" s="541" t="inlineStr">
        <is>
          <t>管理费202604</t>
        </is>
      </c>
      <c r="K2" s="669" t="inlineStr">
        <is>
          <t>2026年
4月折标</t>
        </is>
      </c>
      <c r="L2" s="541" t="inlineStr">
        <is>
          <t>传统202603</t>
        </is>
      </c>
      <c r="M2" s="541" t="inlineStr">
        <is>
          <t>保险202603</t>
        </is>
      </c>
      <c r="N2" s="541" t="inlineStr">
        <is>
          <t>管理费202603</t>
        </is>
      </c>
      <c r="O2" s="669" t="inlineStr">
        <is>
          <t>2026年
3月折标</t>
        </is>
      </c>
      <c r="P2" s="541" t="inlineStr">
        <is>
          <t>传统202602</t>
        </is>
      </c>
      <c r="Q2" s="541" t="inlineStr">
        <is>
          <t>保险202602</t>
        </is>
      </c>
      <c r="R2" s="541" t="inlineStr">
        <is>
          <t>管理费202602</t>
        </is>
      </c>
      <c r="S2" s="669" t="inlineStr">
        <is>
          <t>2026年
2月折标</t>
        </is>
      </c>
      <c r="T2" s="669" t="inlineStr">
        <is>
          <t>2026年
1月折标</t>
        </is>
      </c>
      <c r="U2" s="670" t="inlineStr">
        <is>
          <t>2026年YTD折标</t>
        </is>
      </c>
      <c r="V2" s="671" t="inlineStr">
        <is>
          <t>月度
完成率</t>
        </is>
      </c>
      <c r="W2" s="666" t="inlineStr">
        <is>
          <t>考核期完成率（累计）</t>
        </is>
      </c>
      <c r="X2" s="560" t="inlineStr">
        <is>
          <t>考核期差距</t>
        </is>
      </c>
      <c r="Y2" s="561" t="inlineStr">
        <is>
          <t>财富中心
上半年年任务</t>
        </is>
      </c>
      <c r="Z2" s="79" t="inlineStr">
        <is>
          <t>财富中心
上半年任务完成率</t>
        </is>
      </c>
      <c r="AA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</row>
    <row r="4" ht="14.25" customFormat="1" customHeight="1" s="483">
      <c r="A4" s="635" t="inlineStr">
        <is>
          <t>理财师018</t>
        </is>
      </c>
      <c r="B4" s="563" t="inlineStr">
        <is>
          <t>理财师017</t>
        </is>
      </c>
      <c r="C4" s="563" t="inlineStr">
        <is>
          <t>私人财富管理总监PWA3-1</t>
        </is>
      </c>
      <c r="D4" s="636" t="n">
        <v>45992</v>
      </c>
      <c r="E4" s="636" t="n">
        <v>46203</v>
      </c>
      <c r="F4" s="83" t="n">
        <v>21880.7424</v>
      </c>
      <c r="G4" s="565" t="n">
        <v>10185.467828</v>
      </c>
      <c r="H4" s="85" t="n">
        <v>197.6832</v>
      </c>
      <c r="I4" s="85" t="n">
        <v>0</v>
      </c>
      <c r="J4" s="85" t="n">
        <v>0</v>
      </c>
      <c r="K4" s="187">
        <f>SUM(H4:J4)</f>
        <v/>
      </c>
      <c r="L4" s="85" t="n">
        <v>1613.445926</v>
      </c>
      <c r="M4" s="85" t="n">
        <v>0</v>
      </c>
      <c r="N4" s="85" t="n">
        <v>488.407071</v>
      </c>
      <c r="O4" s="187">
        <f>SUM(L4:N4)</f>
        <v/>
      </c>
      <c r="P4" s="85" t="n">
        <v>454.800547</v>
      </c>
      <c r="Q4" s="85" t="n">
        <v>0</v>
      </c>
      <c r="R4" s="85" t="n">
        <v>289.117436</v>
      </c>
      <c r="S4" s="187">
        <f>SUM(P4:R4)</f>
        <v/>
      </c>
      <c r="T4" s="187" t="n">
        <v>3311.566531</v>
      </c>
      <c r="U4" s="187">
        <f>SUM(K4+O4+S4+T4)</f>
        <v/>
      </c>
      <c r="V4" s="91">
        <f>K4/(F4/((YEAR(E4)*12+MONTH(E4))-(YEAR(D4)*12+MONTH(D4))+1))</f>
        <v/>
      </c>
      <c r="W4" s="91">
        <f>G4/F4</f>
        <v/>
      </c>
      <c r="X4" s="567">
        <f>F4-G4</f>
        <v/>
      </c>
      <c r="Y4" s="203" t="n">
        <v>141926.4</v>
      </c>
      <c r="Z4" s="91">
        <f>Z10</f>
        <v/>
      </c>
      <c r="AA4" s="569">
        <f>AA10</f>
        <v/>
      </c>
      <c r="AD4" s="570" t="inlineStr">
        <is>
          <t>开始日期</t>
        </is>
      </c>
      <c r="AE4" s="570" t="inlineStr">
        <is>
          <t>结束日期</t>
        </is>
      </c>
      <c r="AF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36" t="n">
        <v>45962</v>
      </c>
      <c r="E5" s="636" t="n">
        <v>46173</v>
      </c>
      <c r="F5" s="83" t="n">
        <v>54394.9714</v>
      </c>
      <c r="G5" s="565" t="n">
        <v>38858.061199</v>
      </c>
      <c r="H5" s="85" t="n">
        <v>1824.031209</v>
      </c>
      <c r="I5" s="85" t="n">
        <v>0</v>
      </c>
      <c r="J5" s="85" t="n">
        <v>0</v>
      </c>
      <c r="K5" s="187">
        <f>SUM(H5:J5)</f>
        <v/>
      </c>
      <c r="L5" s="85" t="n">
        <v>1444.66245</v>
      </c>
      <c r="M5" s="85" t="n">
        <v>0</v>
      </c>
      <c r="N5" s="85" t="n">
        <v>1063.763858</v>
      </c>
      <c r="O5" s="187">
        <f>SUM(L5:N5)</f>
        <v/>
      </c>
      <c r="P5" s="85" t="n">
        <v>9688.821542</v>
      </c>
      <c r="Q5" s="85" t="n">
        <v>0</v>
      </c>
      <c r="R5" s="500" t="n"/>
      <c r="S5" s="187">
        <f>SUM(P5:R5)</f>
        <v/>
      </c>
      <c r="T5" s="188" t="n">
        <v>13116.995922</v>
      </c>
      <c r="U5" s="187">
        <f>SUM(K5+O5+S5+T5)</f>
        <v/>
      </c>
      <c r="V5" s="91">
        <f>K5/(F5/((YEAR(E5)*12+MONTH(E5))-(YEAR(D5)*12+MONTH(D5))+1))</f>
        <v/>
      </c>
      <c r="W5" s="91">
        <f>G5/F5</f>
        <v/>
      </c>
      <c r="X5" s="567">
        <f>F5-G5</f>
        <v/>
      </c>
      <c r="Y5" s="500" t="n"/>
      <c r="Z5" s="500" t="n"/>
      <c r="AA5" s="500" t="n"/>
      <c r="AD5" s="94" t="n">
        <v>46023</v>
      </c>
      <c r="AE5" s="94" t="n">
        <v>46203</v>
      </c>
      <c r="AF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36" t="n">
        <v>46023</v>
      </c>
      <c r="E6" s="636" t="n">
        <v>46203</v>
      </c>
      <c r="F6" s="83" t="n">
        <v>9930.76</v>
      </c>
      <c r="G6" s="565" t="n">
        <v>3435.583851</v>
      </c>
      <c r="H6" s="85" t="n">
        <v>133.5516</v>
      </c>
      <c r="I6" s="85" t="n">
        <v>0</v>
      </c>
      <c r="J6" s="85" t="n">
        <v>0</v>
      </c>
      <c r="K6" s="187">
        <f>SUM(H6:J6)</f>
        <v/>
      </c>
      <c r="L6" s="85" t="n">
        <v>500.150742</v>
      </c>
      <c r="M6" s="85" t="n">
        <v>0</v>
      </c>
      <c r="N6" s="85" t="n">
        <v>157.397938</v>
      </c>
      <c r="O6" s="187">
        <f>SUM(L6:N6)</f>
        <v/>
      </c>
      <c r="P6" s="85" t="n">
        <v>267.1032</v>
      </c>
      <c r="Q6" s="85" t="n">
        <v>0</v>
      </c>
      <c r="R6" s="500" t="n"/>
      <c r="S6" s="187">
        <f>SUM(P6:R6)</f>
        <v/>
      </c>
      <c r="T6" s="187" t="n">
        <v>2351.885696</v>
      </c>
      <c r="U6" s="187">
        <f>SUM(K6+O6+S6+T6)</f>
        <v/>
      </c>
      <c r="V6" s="91">
        <f>K6/(F6/((YEAR(E6)*12+MONTH(E6))-(YEAR(D6)*12+MONTH(D6))+1))</f>
        <v/>
      </c>
      <c r="W6" s="91">
        <f>G6/F6</f>
        <v/>
      </c>
      <c r="X6" s="567">
        <f>F6-G6</f>
        <v/>
      </c>
      <c r="Y6" s="500" t="n"/>
      <c r="Z6" s="500" t="n"/>
      <c r="AA6" s="500" t="n"/>
      <c r="AD6" s="570" t="inlineStr">
        <is>
          <t>计算日期</t>
        </is>
      </c>
      <c r="AE6" s="570">
        <f>W5-V5</f>
        <v/>
      </c>
      <c r="AF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36" t="n">
        <v>46023</v>
      </c>
      <c r="E7" s="636" t="n">
        <v>46203</v>
      </c>
      <c r="F7" s="83" t="n">
        <v>11829.32</v>
      </c>
      <c r="G7" s="565" t="n">
        <v>18536.967403</v>
      </c>
      <c r="H7" s="85" t="n">
        <v>2555.316765</v>
      </c>
      <c r="I7" s="85" t="n">
        <v>0</v>
      </c>
      <c r="J7" s="85" t="n">
        <v>0</v>
      </c>
      <c r="K7" s="187">
        <f>SUM(H7:J7)</f>
        <v/>
      </c>
      <c r="L7" s="85" t="n">
        <v>8704.796721000001</v>
      </c>
      <c r="M7" s="85" t="n">
        <v>0</v>
      </c>
      <c r="N7" s="85" t="n">
        <v>1242.252932</v>
      </c>
      <c r="O7" s="187">
        <f>SUM(L7:N7)</f>
        <v/>
      </c>
      <c r="P7" s="85" t="n">
        <v>1402.304143</v>
      </c>
      <c r="Q7" s="85" t="n">
        <v>742.65048</v>
      </c>
      <c r="R7" s="500" t="n"/>
      <c r="S7" s="187">
        <f>SUM(P7:R7)</f>
        <v/>
      </c>
      <c r="T7" s="187" t="n">
        <v>3459.265113</v>
      </c>
      <c r="U7" s="187">
        <f>SUM(K7+O7+S7+T7)</f>
        <v/>
      </c>
      <c r="V7" s="91">
        <f>K7/(F7/((YEAR(E7)*12+MONTH(E7))-(YEAR(D7)*12+MONTH(D7))+1))</f>
        <v/>
      </c>
      <c r="W7" s="91">
        <f>G7/F7</f>
        <v/>
      </c>
      <c r="X7" s="567">
        <f>F7-G7</f>
        <v/>
      </c>
      <c r="Y7" s="500" t="n"/>
      <c r="Z7" s="500" t="n"/>
      <c r="AA7" s="500" t="n"/>
      <c r="AD7" s="94" t="n">
        <v>46136</v>
      </c>
      <c r="AE7" s="204">
        <f>AE5-AD5+1</f>
        <v/>
      </c>
      <c r="AF7" s="70">
        <f>(AD7-AD5+1)/AE7</f>
        <v/>
      </c>
    </row>
    <row r="8" ht="14.25" customFormat="1" customHeight="1" s="483">
      <c r="A8" s="500" t="n"/>
      <c r="B8" s="563" t="inlineStr">
        <is>
          <t>理财师025</t>
        </is>
      </c>
      <c r="C8" s="563" t="inlineStr">
        <is>
          <t>私人财富管理专家PWA4-5</t>
        </is>
      </c>
      <c r="D8" s="636" t="n">
        <v>45916</v>
      </c>
      <c r="E8" s="636" t="n">
        <v>46096</v>
      </c>
      <c r="F8" s="83" t="n">
        <v>31752</v>
      </c>
      <c r="G8" s="565" t="n">
        <v>23664.438388</v>
      </c>
      <c r="H8" s="85" t="n">
        <v>0</v>
      </c>
      <c r="I8" s="85" t="n">
        <v>0</v>
      </c>
      <c r="J8" s="85" t="n">
        <v>0</v>
      </c>
      <c r="K8" s="187">
        <f>SUM(H8:J8)</f>
        <v/>
      </c>
      <c r="L8" s="85" t="n">
        <v>0</v>
      </c>
      <c r="M8" s="85" t="n">
        <v>22785.2352</v>
      </c>
      <c r="N8" s="85" t="n">
        <v>13.774172</v>
      </c>
      <c r="O8" s="187">
        <f>SUM(L8:N8)</f>
        <v/>
      </c>
      <c r="P8" s="85" t="n">
        <v>41.2776</v>
      </c>
      <c r="Q8" s="85" t="n">
        <v>0</v>
      </c>
      <c r="R8" s="500" t="n"/>
      <c r="S8" s="187">
        <f>SUM(P8:R8)</f>
        <v/>
      </c>
      <c r="T8" s="187" t="n">
        <v>683.02396</v>
      </c>
      <c r="U8" s="187">
        <f>SUM(K8+O8+S8+T8)</f>
        <v/>
      </c>
      <c r="V8" s="91">
        <f>K8/(F8/((YEAR(E8)*12+MONTH(E8))-(YEAR(D8)*12+MONTH(D8))+1))</f>
        <v/>
      </c>
      <c r="W8" s="91">
        <f>G8/F8</f>
        <v/>
      </c>
      <c r="X8" s="567">
        <f>F8-G8</f>
        <v/>
      </c>
      <c r="Y8" s="500" t="n"/>
      <c r="Z8" s="500" t="n"/>
      <c r="AA8" s="500" t="n"/>
      <c r="AD8" s="570" t="inlineStr"/>
      <c r="AE8" s="570" t="inlineStr"/>
      <c r="AF8" s="570" t="inlineStr"/>
    </row>
    <row r="9" ht="15" customFormat="1" customHeight="1" s="483">
      <c r="A9" s="513" t="n"/>
      <c r="B9" s="572" t="inlineStr">
        <is>
          <t>理财师277</t>
        </is>
      </c>
      <c r="C9" s="572" t="inlineStr">
        <is>
          <t>C2</t>
        </is>
      </c>
      <c r="D9" s="637" t="n">
        <v>45964</v>
      </c>
      <c r="E9" s="637" t="n">
        <v>46144</v>
      </c>
      <c r="F9" s="98" t="n">
        <v>2685.06</v>
      </c>
      <c r="G9" s="565" t="n">
        <v>0</v>
      </c>
      <c r="H9" s="100" t="n">
        <v>0</v>
      </c>
      <c r="I9" s="100" t="n">
        <v>0</v>
      </c>
      <c r="J9" s="100" t="n">
        <v>0</v>
      </c>
      <c r="K9" s="190">
        <f>SUM(H9:J9)</f>
        <v/>
      </c>
      <c r="L9" s="100" t="n">
        <v>0</v>
      </c>
      <c r="M9" s="100" t="n">
        <v>0</v>
      </c>
      <c r="N9" s="100" t="n">
        <v>0</v>
      </c>
      <c r="O9" s="190">
        <f>SUM(L9:N9)</f>
        <v/>
      </c>
      <c r="P9" s="85" t="n">
        <v>0</v>
      </c>
      <c r="Q9" s="85" t="n">
        <v>0</v>
      </c>
      <c r="R9" s="501" t="n"/>
      <c r="S9" s="187">
        <f>SUM(P9:R9)</f>
        <v/>
      </c>
      <c r="T9" s="190" t="n">
        <v>0</v>
      </c>
      <c r="U9" s="187">
        <f>SUM(K9+O9+S9+T9)</f>
        <v/>
      </c>
      <c r="V9" s="205">
        <f>K9/(F9/((YEAR(E9)*12+MONTH(E9))-(YEAR(D9)*12+MONTH(D9))+1))</f>
        <v/>
      </c>
      <c r="W9" s="205">
        <f>G9/F9</f>
        <v/>
      </c>
      <c r="X9" s="576">
        <f>F9-G9</f>
        <v/>
      </c>
      <c r="Y9" s="501" t="n"/>
      <c r="Z9" s="501" t="n"/>
      <c r="AA9" s="501" t="n"/>
      <c r="AD9" s="570" t="inlineStr">
        <is>
          <t>计算日期</t>
        </is>
      </c>
      <c r="AE9" s="570" t="n">
        <v>365</v>
      </c>
      <c r="AF9" s="570" t="inlineStr">
        <is>
          <t>全年进度</t>
        </is>
      </c>
    </row>
    <row r="10" ht="14.25" customFormat="1" customHeight="1" s="483">
      <c r="A10" s="577" t="inlineStr">
        <is>
          <t>合计</t>
        </is>
      </c>
      <c r="B10" s="518" t="n"/>
      <c r="C10" s="518" t="n"/>
      <c r="D10" s="518" t="n"/>
      <c r="E10" s="578" t="n"/>
      <c r="F10" s="206">
        <f>SUM(F4:F9)</f>
        <v/>
      </c>
      <c r="G10" s="580">
        <f>SUM(G4:G9)</f>
        <v/>
      </c>
      <c r="H10" s="580">
        <f>SUM(H4:H9)</f>
        <v/>
      </c>
      <c r="I10" s="580">
        <f>SUM(I4:I9)</f>
        <v/>
      </c>
      <c r="J10" s="580">
        <f>SUM(J4:J9)</f>
        <v/>
      </c>
      <c r="K10" s="580">
        <f>SUM(K4:K9)</f>
        <v/>
      </c>
      <c r="L10" s="580">
        <f>SUM(L4:L9)</f>
        <v/>
      </c>
      <c r="M10" s="580">
        <f>SUM(M4:M9)</f>
        <v/>
      </c>
      <c r="N10" s="580">
        <f>SUM(N4:N9)</f>
        <v/>
      </c>
      <c r="O10" s="580">
        <f>SUM(O4:O9)</f>
        <v/>
      </c>
      <c r="P10" s="580">
        <f>SUM(P4:P9)</f>
        <v/>
      </c>
      <c r="Q10" s="580">
        <f>SUM(Q4:Q9)</f>
        <v/>
      </c>
      <c r="R10" s="580">
        <f>SUM(R4:R9)</f>
        <v/>
      </c>
      <c r="S10" s="580">
        <f>SUM(S4:S9)</f>
        <v/>
      </c>
      <c r="T10" s="580">
        <f>SUM(T4:T9)</f>
        <v/>
      </c>
      <c r="U10" s="580">
        <f>SUM(K10+O10+S10+T10)</f>
        <v/>
      </c>
      <c r="V10" s="207">
        <f>K10/(F10/((YEAR(E4)*12+MONTH(E4))-(YEAR(D4)*12+MONTH(D4))+1))</f>
        <v/>
      </c>
      <c r="W10" s="207">
        <f>G10/F10</f>
        <v/>
      </c>
      <c r="X10" s="580">
        <f>F10-G10</f>
        <v/>
      </c>
      <c r="Y10" s="208">
        <f>Y4</f>
        <v/>
      </c>
      <c r="Z10" s="209">
        <f>U10/Y4</f>
        <v/>
      </c>
      <c r="AA10" s="650">
        <f>Y4-U10</f>
        <v/>
      </c>
      <c r="AD10" s="264" t="n">
        <v>46136</v>
      </c>
      <c r="AF10" s="265">
        <f>(AD10-DATE(YEAR(AD10),1,1)+1)/AE9</f>
        <v/>
      </c>
    </row>
    <row r="11" ht="14.1" customFormat="1" customHeight="1" s="483">
      <c r="A11" s="589" t="inlineStr">
        <is>
          <t>理财师014</t>
        </is>
      </c>
      <c r="B11" s="584" t="inlineStr">
        <is>
          <t>理财师013</t>
        </is>
      </c>
      <c r="C11" s="584" t="inlineStr">
        <is>
          <t>私人财富管理总监PWA3-5</t>
        </is>
      </c>
      <c r="D11" s="638" t="n">
        <v>46023</v>
      </c>
      <c r="E11" s="638" t="n">
        <v>46203</v>
      </c>
      <c r="F11" s="116" t="n">
        <v>24619.48</v>
      </c>
      <c r="G11" s="586" t="n">
        <v>15749.831484</v>
      </c>
      <c r="H11" s="589" t="n">
        <v>5719.894428</v>
      </c>
      <c r="I11" s="589" t="n">
        <v>0</v>
      </c>
      <c r="J11" s="589" t="n">
        <v>0</v>
      </c>
      <c r="K11" s="589">
        <f>SUM(H11:J11)</f>
        <v/>
      </c>
      <c r="L11" s="589" t="n">
        <v>2659.960961</v>
      </c>
      <c r="M11" s="589" t="n">
        <v>0</v>
      </c>
      <c r="N11" s="589" t="n">
        <v>743.622962</v>
      </c>
      <c r="O11" s="589">
        <f>SUM(L11:N11)</f>
        <v/>
      </c>
      <c r="P11" s="118" t="n">
        <v>0</v>
      </c>
      <c r="Q11" s="118" t="n">
        <v>0</v>
      </c>
      <c r="R11" s="118" t="n">
        <v>144.157177</v>
      </c>
      <c r="S11" s="118">
        <f>SUM(P11:R11)</f>
        <v/>
      </c>
      <c r="T11" s="118" t="n">
        <v>6482.195956</v>
      </c>
      <c r="U11" s="187">
        <f>SUM(K11+O11+S11+T11)</f>
        <v/>
      </c>
      <c r="V11" s="122">
        <f>K11/(F11/((YEAR(E11)*12+MONTH(E11))-(YEAR(D11)*12+MONTH(D11))+1))</f>
        <v/>
      </c>
      <c r="W11" s="122">
        <f>G11/F11</f>
        <v/>
      </c>
      <c r="X11" s="587">
        <f>F11-G11</f>
        <v/>
      </c>
      <c r="Y11" s="214" t="n">
        <v>84476.32000000001</v>
      </c>
      <c r="Z11" s="122">
        <f>Z16</f>
        <v/>
      </c>
      <c r="AA11" s="652">
        <f>AA16</f>
        <v/>
      </c>
    </row>
    <row r="12" ht="14.1" customFormat="1" customHeight="1" s="483">
      <c r="A12" s="500" t="n"/>
      <c r="B12" s="563" t="inlineStr">
        <is>
          <t>理财师014</t>
        </is>
      </c>
      <c r="C12" s="563" t="inlineStr">
        <is>
          <t>私人财富管理总监PWA3-2</t>
        </is>
      </c>
      <c r="D12" s="636" t="n">
        <v>46023</v>
      </c>
      <c r="E12" s="636" t="n">
        <v>46203</v>
      </c>
      <c r="F12" s="83" t="n">
        <v>9928.559999999999</v>
      </c>
      <c r="G12" s="565" t="n">
        <v>13634.838602</v>
      </c>
      <c r="H12" s="85" t="n">
        <v>1786.520967</v>
      </c>
      <c r="I12" s="85" t="n">
        <v>0</v>
      </c>
      <c r="J12" s="85" t="n">
        <v>0</v>
      </c>
      <c r="K12" s="85">
        <f>SUM(H12:J12)</f>
        <v/>
      </c>
      <c r="L12" s="85" t="n">
        <v>2574.496213</v>
      </c>
      <c r="M12" s="85" t="n">
        <v>2927.70165</v>
      </c>
      <c r="N12" s="85" t="n">
        <v>154.748145</v>
      </c>
      <c r="O12" s="85">
        <f>SUM(L12:N12)</f>
        <v/>
      </c>
      <c r="P12" s="85" t="n">
        <v>745.691219</v>
      </c>
      <c r="Q12" s="85" t="n">
        <v>2330.36622</v>
      </c>
      <c r="R12" s="500" t="n"/>
      <c r="S12" s="85">
        <f>SUM(P12:R12)</f>
        <v/>
      </c>
      <c r="T12" s="85" t="n">
        <v>3042.835811</v>
      </c>
      <c r="U12" s="187">
        <f>SUM(K12+O12+S12+T12)</f>
        <v/>
      </c>
      <c r="V12" s="91">
        <f>K12/(F12/((YEAR(E12)*12+MONTH(E12))-(YEAR(D12)*12+MONTH(D12))+1))</f>
        <v/>
      </c>
      <c r="W12" s="91">
        <f>G12/F12</f>
        <v/>
      </c>
      <c r="X12" s="567">
        <f>F12-G12</f>
        <v/>
      </c>
      <c r="Y12" s="500" t="n"/>
      <c r="Z12" s="500" t="n"/>
      <c r="AA12" s="500" t="n"/>
    </row>
    <row r="13" ht="14.1" customFormat="1" customHeight="1" s="483">
      <c r="A13" s="500" t="n"/>
      <c r="B13" s="563" t="inlineStr">
        <is>
          <t>理财师022</t>
        </is>
      </c>
      <c r="C13" s="563" t="inlineStr">
        <is>
          <t>私人财富管理总监PWA3-1</t>
        </is>
      </c>
      <c r="D13" s="636" t="n">
        <v>45792</v>
      </c>
      <c r="E13" s="636" t="n">
        <v>45976</v>
      </c>
      <c r="F13" s="83" t="n">
        <v>8248.780000000001</v>
      </c>
      <c r="G13" s="565" t="n">
        <v>0</v>
      </c>
      <c r="H13" s="85" t="n">
        <v>280.185418</v>
      </c>
      <c r="I13" s="85" t="n">
        <v>0</v>
      </c>
      <c r="J13" s="85" t="n">
        <v>0</v>
      </c>
      <c r="K13" s="85">
        <f>SUM(H13:J13)</f>
        <v/>
      </c>
      <c r="L13" s="85" t="n">
        <v>43.4733</v>
      </c>
      <c r="M13" s="85" t="n">
        <v>0</v>
      </c>
      <c r="N13" s="85" t="n">
        <v>10.334614</v>
      </c>
      <c r="O13" s="85">
        <f>SUM(L13:N13)</f>
        <v/>
      </c>
      <c r="P13" s="85" t="n">
        <v>0</v>
      </c>
      <c r="Q13" s="85" t="n">
        <v>0</v>
      </c>
      <c r="R13" s="500" t="n"/>
      <c r="S13" s="85">
        <f>SUM(P13:R13)</f>
        <v/>
      </c>
      <c r="T13" s="85" t="n">
        <v>0</v>
      </c>
      <c r="U13" s="187">
        <f>SUM(K13+O13+S13+T13)</f>
        <v/>
      </c>
      <c r="V13" s="91">
        <f>K13/(F13/((YEAR(E13)*12+MONTH(E13))-(YEAR(D13)*12+MONTH(D13))+1))</f>
        <v/>
      </c>
      <c r="W13" s="91">
        <f>G13/F13</f>
        <v/>
      </c>
      <c r="X13" s="567">
        <f>F13-G13</f>
        <v/>
      </c>
      <c r="Y13" s="500" t="n"/>
      <c r="Z13" s="500" t="n"/>
      <c r="AA13" s="500" t="n"/>
    </row>
    <row r="14" ht="14.45" customFormat="1" customHeight="1" s="483">
      <c r="A14" s="500" t="n"/>
      <c r="B14" s="563" t="inlineStr">
        <is>
          <t>理财师024</t>
        </is>
      </c>
      <c r="C14" s="563" t="inlineStr">
        <is>
          <t>私人财富管理总监PWA3-4</t>
        </is>
      </c>
      <c r="D14" s="636" t="n">
        <v>46054</v>
      </c>
      <c r="E14" s="636" t="n">
        <v>46203</v>
      </c>
      <c r="F14" s="83" t="n">
        <v>17115.15</v>
      </c>
      <c r="G14" s="565" t="n">
        <v>8490.661233999999</v>
      </c>
      <c r="H14" s="85" t="n">
        <v>3291.566745</v>
      </c>
      <c r="I14" s="85" t="n">
        <v>0</v>
      </c>
      <c r="J14" s="85" t="n">
        <v>0</v>
      </c>
      <c r="K14" s="85">
        <f>SUM(H14:J14)</f>
        <v/>
      </c>
      <c r="L14" s="85" t="n">
        <v>3556.620439</v>
      </c>
      <c r="M14" s="85" t="n">
        <v>0</v>
      </c>
      <c r="N14" s="85" t="n">
        <v>417.566476</v>
      </c>
      <c r="O14" s="85">
        <f>SUM(L14:N14)</f>
        <v/>
      </c>
      <c r="P14" s="85" t="n">
        <v>1054.327266</v>
      </c>
      <c r="Q14" s="85" t="n">
        <v>0</v>
      </c>
      <c r="R14" s="500" t="n"/>
      <c r="S14" s="85">
        <f>SUM(P14:R14)</f>
        <v/>
      </c>
      <c r="T14" s="85" t="n">
        <v>692.512431</v>
      </c>
      <c r="U14" s="187">
        <f>SUM(K14+O14+S14+T14)</f>
        <v/>
      </c>
      <c r="V14" s="91">
        <f>K14/(F14/((YEAR(E14)*12+MONTH(E14))-(YEAR(D14)*12+MONTH(D14))+1))</f>
        <v/>
      </c>
      <c r="W14" s="91">
        <f>G14/F14</f>
        <v/>
      </c>
      <c r="X14" s="567">
        <f>F14-G14</f>
        <v/>
      </c>
      <c r="Y14" s="500" t="n"/>
      <c r="Z14" s="500" t="n"/>
      <c r="AA14" s="500" t="n"/>
    </row>
    <row r="15" ht="15" customFormat="1" customHeight="1" s="483">
      <c r="A15" s="513" t="n"/>
      <c r="B15" s="572" t="inlineStr">
        <is>
          <t>理财师188</t>
        </is>
      </c>
      <c r="C15" s="572" t="inlineStr">
        <is>
          <t>C1</t>
        </is>
      </c>
      <c r="D15" s="637" t="n">
        <v>46048</v>
      </c>
      <c r="E15" s="637" t="n">
        <v>46228</v>
      </c>
      <c r="F15" s="98" t="n">
        <v>2877.38</v>
      </c>
      <c r="G15" s="574" t="n">
        <v>856.9360799999999</v>
      </c>
      <c r="H15" s="100" t="n">
        <v>0</v>
      </c>
      <c r="I15" s="100" t="n">
        <v>0</v>
      </c>
      <c r="J15" s="100" t="n">
        <v>0</v>
      </c>
      <c r="K15" s="100">
        <f>SUM(H15:J15)</f>
        <v/>
      </c>
      <c r="L15" s="100" t="n">
        <v>0</v>
      </c>
      <c r="M15" s="100" t="n">
        <v>856.9360799999999</v>
      </c>
      <c r="N15" s="100" t="n">
        <v>0</v>
      </c>
      <c r="O15" s="100">
        <f>SUM(L15:N15)</f>
        <v/>
      </c>
      <c r="P15" s="100" t="n">
        <v>0</v>
      </c>
      <c r="Q15" s="100" t="n">
        <v>0</v>
      </c>
      <c r="R15" s="501" t="n"/>
      <c r="S15" s="100">
        <f>SUM(P15:R15)</f>
        <v/>
      </c>
      <c r="T15" s="100" t="n">
        <v>0</v>
      </c>
      <c r="U15" s="187">
        <f>SUM(K15+O15+S15+T15)</f>
        <v/>
      </c>
      <c r="V15" s="205">
        <f>K15/(F15/((YEAR(E15)*12+MONTH(E15))-(YEAR(D15)*12+MONTH(D15))+1))</f>
        <v/>
      </c>
      <c r="W15" s="205">
        <f>G15/F15</f>
        <v/>
      </c>
      <c r="X15" s="576">
        <f>F15-G15</f>
        <v/>
      </c>
      <c r="Y15" s="501" t="n"/>
      <c r="Z15" s="501" t="n"/>
      <c r="AA15" s="501" t="n"/>
    </row>
    <row r="16" ht="14.25" customFormat="1" customHeight="1" s="483">
      <c r="A16" s="577" t="inlineStr">
        <is>
          <t>合计</t>
        </is>
      </c>
      <c r="B16" s="518" t="n"/>
      <c r="C16" s="518" t="n"/>
      <c r="D16" s="518" t="n"/>
      <c r="E16" s="578" t="n"/>
      <c r="F16" s="206">
        <f>SUM(F11:F15)</f>
        <v/>
      </c>
      <c r="G16" s="580">
        <f>SUM(G11:G15)</f>
        <v/>
      </c>
      <c r="H16" s="580">
        <f>SUM(H11:H15)</f>
        <v/>
      </c>
      <c r="I16" s="580">
        <f>SUM(I11:I15)</f>
        <v/>
      </c>
      <c r="J16" s="580">
        <f>SUM(J11:J15)</f>
        <v/>
      </c>
      <c r="K16" s="580">
        <f>SUM(K11:K15)</f>
        <v/>
      </c>
      <c r="L16" s="580">
        <f>SUM(L11:L15)</f>
        <v/>
      </c>
      <c r="M16" s="580">
        <f>SUM(M11:M15)</f>
        <v/>
      </c>
      <c r="N16" s="580">
        <f>SUM(N11:N15)</f>
        <v/>
      </c>
      <c r="O16" s="580">
        <f>SUM(O11:O15)</f>
        <v/>
      </c>
      <c r="P16" s="580">
        <f>SUM(P11:P15)</f>
        <v/>
      </c>
      <c r="Q16" s="580">
        <f>SUM(Q11:Q15)</f>
        <v/>
      </c>
      <c r="R16" s="580">
        <f>SUM(R11:R15)</f>
        <v/>
      </c>
      <c r="S16" s="580">
        <f>SUM(S11:S15)</f>
        <v/>
      </c>
      <c r="T16" s="580">
        <f>SUM(T11:T15)</f>
        <v/>
      </c>
      <c r="U16" s="580">
        <f>SUM(K16+O16+S16+T16)</f>
        <v/>
      </c>
      <c r="V16" s="207">
        <f>K16/(F16/((YEAR(E11)*12+MONTH(E11))-(YEAR(D11)*12+MONTH(D11))+1))</f>
        <v/>
      </c>
      <c r="W16" s="207">
        <f>G16/F16</f>
        <v/>
      </c>
      <c r="X16" s="580">
        <f>F16-G16</f>
        <v/>
      </c>
      <c r="Y16" s="208">
        <f>Y11</f>
        <v/>
      </c>
      <c r="Z16" s="209">
        <f>U16/Y11</f>
        <v/>
      </c>
      <c r="AA16" s="650">
        <f>Y11-U16</f>
        <v/>
      </c>
    </row>
    <row r="17" ht="14.25" customFormat="1" customHeight="1" s="483">
      <c r="A17" s="589" t="inlineStr">
        <is>
          <t>理财师007</t>
        </is>
      </c>
      <c r="B17" s="584" t="inlineStr">
        <is>
          <t>理财师007</t>
        </is>
      </c>
      <c r="C17" s="584" t="inlineStr">
        <is>
          <t>私人财富管理专家PWA4-5</t>
        </is>
      </c>
      <c r="D17" s="638" t="n">
        <v>46054</v>
      </c>
      <c r="E17" s="638" t="n">
        <v>46203</v>
      </c>
      <c r="F17" s="116" t="n">
        <v>25870.625</v>
      </c>
      <c r="G17" s="586" t="n">
        <v>24535.961561</v>
      </c>
      <c r="H17" s="589" t="n">
        <v>1871.15175</v>
      </c>
      <c r="I17" s="589" t="n">
        <v>0</v>
      </c>
      <c r="J17" s="589" t="n">
        <v>0</v>
      </c>
      <c r="K17" s="589">
        <f>SUM(H17:J17)</f>
        <v/>
      </c>
      <c r="L17" s="589" t="n">
        <v>3406.959578</v>
      </c>
      <c r="M17" s="589" t="n">
        <v>14793.1056</v>
      </c>
      <c r="N17" s="589" t="n">
        <v>606.358521</v>
      </c>
      <c r="O17" s="589">
        <f>SUM(L17:N17)</f>
        <v/>
      </c>
      <c r="P17" s="118" t="n">
        <v>3557.362586</v>
      </c>
      <c r="Q17" s="118" t="n">
        <v>0</v>
      </c>
      <c r="R17" s="118" t="n">
        <v>301.023526</v>
      </c>
      <c r="S17" s="118">
        <f>SUM(P17:R17)</f>
        <v/>
      </c>
      <c r="T17" s="118" t="n">
        <v>8988.571889000001</v>
      </c>
      <c r="U17" s="187">
        <f>SUM(K17+O17+S17+T17)</f>
        <v/>
      </c>
      <c r="V17" s="122">
        <f>K17/(F17/((YEAR(E17)*12+MONTH(E17))-(YEAR(D17)*12+MONTH(D17))+1))</f>
        <v/>
      </c>
      <c r="W17" s="122">
        <f>G17/F17</f>
        <v/>
      </c>
      <c r="X17" s="587">
        <f>F17-G17</f>
        <v/>
      </c>
      <c r="Y17" s="214" t="n">
        <v>62089.5</v>
      </c>
      <c r="Z17" s="122">
        <f>Z22</f>
        <v/>
      </c>
      <c r="AA17" s="652">
        <f>AA22</f>
        <v/>
      </c>
    </row>
    <row r="18" ht="14.25" customFormat="1" customHeight="1" s="483">
      <c r="A18" s="500" t="n"/>
      <c r="B18" s="563" t="inlineStr">
        <is>
          <t>理财师023</t>
        </is>
      </c>
      <c r="C18" s="563" t="inlineStr">
        <is>
          <t>私人财富管理资深顾问PWA2-4</t>
        </is>
      </c>
      <c r="D18" s="636" t="n">
        <v>46023</v>
      </c>
      <c r="E18" s="636" t="n">
        <v>46203</v>
      </c>
      <c r="F18" s="83" t="n">
        <v>15648.4</v>
      </c>
      <c r="G18" s="586" t="n">
        <v>7322.016913</v>
      </c>
      <c r="H18" s="85" t="n">
        <v>2170.20375</v>
      </c>
      <c r="I18" s="85" t="n">
        <v>0</v>
      </c>
      <c r="J18" s="85" t="n">
        <v>0</v>
      </c>
      <c r="K18" s="85">
        <f>SUM(H18:J18)</f>
        <v/>
      </c>
      <c r="L18" s="85" t="n">
        <v>1305.1575</v>
      </c>
      <c r="M18" s="85" t="n">
        <v>1178.4864</v>
      </c>
      <c r="N18" s="85" t="n">
        <v>22.441342</v>
      </c>
      <c r="O18" s="85">
        <f>SUM(L18:N18)</f>
        <v/>
      </c>
      <c r="P18" s="85" t="n">
        <v>0</v>
      </c>
      <c r="Q18" s="85" t="n">
        <v>0</v>
      </c>
      <c r="R18" s="500" t="n"/>
      <c r="S18" s="85">
        <f>SUM(P18:R18)</f>
        <v/>
      </c>
      <c r="T18" s="85" t="n">
        <v>2630.55</v>
      </c>
      <c r="U18" s="187">
        <f>SUM(K18+O18+S18+T18)</f>
        <v/>
      </c>
      <c r="V18" s="91">
        <f>K18/(F18/((YEAR(E18)*12+MONTH(E18))-(YEAR(D18)*12+MONTH(D18))+1))</f>
        <v/>
      </c>
      <c r="W18" s="91">
        <f>G18/F18</f>
        <v/>
      </c>
      <c r="X18" s="567">
        <f>F18-G18</f>
        <v/>
      </c>
      <c r="Y18" s="500" t="n"/>
      <c r="Z18" s="500" t="n"/>
      <c r="AA18" s="500" t="n"/>
    </row>
    <row r="19" ht="14.25" customFormat="1" customHeight="1" s="483">
      <c r="A19" s="500" t="n"/>
      <c r="B19" s="563" t="inlineStr">
        <is>
          <t>理财师231</t>
        </is>
      </c>
      <c r="C19" s="563" t="inlineStr">
        <is>
          <t>C3</t>
        </is>
      </c>
      <c r="D19" s="636" t="n">
        <v>45866</v>
      </c>
      <c r="E19" s="636" t="n">
        <v>46049</v>
      </c>
      <c r="F19" s="83" t="n">
        <v>7282.8</v>
      </c>
      <c r="G19" s="586" t="n">
        <v>550.760637</v>
      </c>
      <c r="H19" s="85" t="n">
        <v>0</v>
      </c>
      <c r="I19" s="85" t="n">
        <v>0</v>
      </c>
      <c r="J19" s="85" t="n">
        <v>0</v>
      </c>
      <c r="K19" s="85">
        <f>SUM(H19:J19)</f>
        <v/>
      </c>
      <c r="L19" s="85" t="n">
        <v>0</v>
      </c>
      <c r="M19" s="85" t="n">
        <v>0</v>
      </c>
      <c r="N19" s="85" t="n">
        <v>9.721463</v>
      </c>
      <c r="O19" s="85">
        <f>SUM(L19:N19)</f>
        <v/>
      </c>
      <c r="P19" s="85" t="n">
        <v>0</v>
      </c>
      <c r="Q19" s="85" t="n">
        <v>0</v>
      </c>
      <c r="R19" s="500" t="n"/>
      <c r="S19" s="85">
        <f>SUM(P19:R19)</f>
        <v/>
      </c>
      <c r="T19" s="85" t="n">
        <v>9.587089000000001</v>
      </c>
      <c r="U19" s="187">
        <f>SUM(K19+O19+S19+T19)</f>
        <v/>
      </c>
      <c r="V19" s="91">
        <f>K19/(F19/((YEAR(E19)*12+MONTH(E19))-(YEAR(D19)*12+MONTH(D19))+1))</f>
        <v/>
      </c>
      <c r="W19" s="91">
        <f>G19/F19</f>
        <v/>
      </c>
      <c r="X19" s="567">
        <f>F19-G19</f>
        <v/>
      </c>
      <c r="Y19" s="500" t="n"/>
      <c r="Z19" s="500" t="n"/>
      <c r="AA19" s="500" t="n"/>
    </row>
    <row r="20" ht="14.25" customFormat="1" customHeight="1" s="483">
      <c r="A20" s="500" t="n"/>
      <c r="B20" s="563" t="inlineStr">
        <is>
          <t>理财师091</t>
        </is>
      </c>
      <c r="C20" s="563" t="inlineStr">
        <is>
          <t>C3</t>
        </is>
      </c>
      <c r="D20" s="636" t="n">
        <v>45866</v>
      </c>
      <c r="E20" s="636" t="n">
        <v>46049</v>
      </c>
      <c r="F20" s="83" t="n">
        <v>4042.08</v>
      </c>
      <c r="G20" s="586" t="n">
        <v>1691.696497</v>
      </c>
      <c r="H20" s="85" t="n">
        <v>0</v>
      </c>
      <c r="I20" s="85" t="n">
        <v>0</v>
      </c>
      <c r="J20" s="85" t="n">
        <v>0</v>
      </c>
      <c r="K20" s="85">
        <f>SUM(H20:J20)</f>
        <v/>
      </c>
      <c r="L20" s="85" t="n">
        <v>0</v>
      </c>
      <c r="M20" s="85" t="n">
        <v>0</v>
      </c>
      <c r="N20" s="85" t="n">
        <v>3.23046</v>
      </c>
      <c r="O20" s="85">
        <f>SUM(L20:N20)</f>
        <v/>
      </c>
      <c r="P20" s="85" t="n">
        <v>25.0224</v>
      </c>
      <c r="Q20" s="85" t="n">
        <v>1050.9408</v>
      </c>
      <c r="R20" s="500" t="n"/>
      <c r="S20" s="85">
        <f>SUM(P20:R20)</f>
        <v/>
      </c>
      <c r="T20" s="85" t="n">
        <v>125.112</v>
      </c>
      <c r="U20" s="187">
        <f>SUM(K20+O20+S20+T20)</f>
        <v/>
      </c>
      <c r="V20" s="91">
        <f>K20/(F20/((YEAR(E20)*12+MONTH(E20))-(YEAR(D20)*12+MONTH(D20))+1))</f>
        <v/>
      </c>
      <c r="W20" s="91">
        <f>G20/F20</f>
        <v/>
      </c>
      <c r="X20" s="567">
        <f>F20-G20</f>
        <v/>
      </c>
      <c r="Y20" s="500" t="n"/>
      <c r="Z20" s="500" t="n"/>
      <c r="AA20" s="500" t="n"/>
    </row>
    <row r="21" ht="15" customFormat="1" customHeight="1" s="483">
      <c r="A21" s="513" t="n"/>
      <c r="B21" s="572" t="inlineStr">
        <is>
          <t>理财师278</t>
        </is>
      </c>
      <c r="C21" s="572" t="inlineStr">
        <is>
          <t>C1</t>
        </is>
      </c>
      <c r="D21" s="637" t="n">
        <v>45964</v>
      </c>
      <c r="E21" s="637" t="n">
        <v>46144</v>
      </c>
      <c r="F21" s="98" t="n">
        <v>2567.84</v>
      </c>
      <c r="G21" s="586" t="n">
        <v>0</v>
      </c>
      <c r="H21" s="100" t="n">
        <v>0</v>
      </c>
      <c r="I21" s="100" t="n">
        <v>0</v>
      </c>
      <c r="J21" s="100" t="n">
        <v>0</v>
      </c>
      <c r="K21" s="100">
        <f>SUM(H21:J21)</f>
        <v/>
      </c>
      <c r="L21" s="100" t="n">
        <v>0</v>
      </c>
      <c r="M21" s="100" t="n">
        <v>0</v>
      </c>
      <c r="N21" s="100" t="n">
        <v>0</v>
      </c>
      <c r="O21" s="100">
        <f>SUM(L21:N21)</f>
        <v/>
      </c>
      <c r="P21" s="100" t="n">
        <v>0</v>
      </c>
      <c r="Q21" s="100" t="n">
        <v>0</v>
      </c>
      <c r="R21" s="501" t="n"/>
      <c r="S21" s="100">
        <f>SUM(P21:R21)</f>
        <v/>
      </c>
      <c r="T21" s="100" t="n">
        <v>0</v>
      </c>
      <c r="U21" s="187">
        <f>SUM(K21+O21+S21+T21)</f>
        <v/>
      </c>
      <c r="V21" s="205">
        <f>K21/(F21/((YEAR(E21)*12+MONTH(E21))-(YEAR(D21)*12+MONTH(D21))+1))</f>
        <v/>
      </c>
      <c r="W21" s="205">
        <f>G21/F21</f>
        <v/>
      </c>
      <c r="X21" s="576">
        <f>F21-G21</f>
        <v/>
      </c>
      <c r="Y21" s="501" t="n"/>
      <c r="Z21" s="501" t="n"/>
      <c r="AA21" s="501" t="n"/>
    </row>
    <row r="22" ht="14.25" customFormat="1" customHeight="1" s="483">
      <c r="A22" s="577" t="inlineStr">
        <is>
          <t>合计</t>
        </is>
      </c>
      <c r="B22" s="518" t="n"/>
      <c r="C22" s="518" t="n"/>
      <c r="D22" s="518" t="n"/>
      <c r="E22" s="578" t="n"/>
      <c r="F22" s="206">
        <f>SUM(F17:F21)</f>
        <v/>
      </c>
      <c r="G22" s="580">
        <f>SUM(G17:G21)</f>
        <v/>
      </c>
      <c r="H22" s="580">
        <f>SUM(H17:H21)</f>
        <v/>
      </c>
      <c r="I22" s="580">
        <f>SUM(I17:I21)</f>
        <v/>
      </c>
      <c r="J22" s="580">
        <f>SUM(J17:J21)</f>
        <v/>
      </c>
      <c r="K22" s="580">
        <f>SUM(K17:K21)</f>
        <v/>
      </c>
      <c r="L22" s="580">
        <f>SUM(L17:L21)</f>
        <v/>
      </c>
      <c r="M22" s="580">
        <f>SUM(M17:M21)</f>
        <v/>
      </c>
      <c r="N22" s="580">
        <f>SUM(N17:N21)</f>
        <v/>
      </c>
      <c r="O22" s="580">
        <f>SUM(O17:O21)</f>
        <v/>
      </c>
      <c r="P22" s="580">
        <f>SUM(P17:P21)</f>
        <v/>
      </c>
      <c r="Q22" s="580">
        <f>SUM(Q17:Q21)</f>
        <v/>
      </c>
      <c r="R22" s="580">
        <f>SUM(R17:R21)</f>
        <v/>
      </c>
      <c r="S22" s="580">
        <f>SUM(S17:S21)</f>
        <v/>
      </c>
      <c r="T22" s="580">
        <f>SUM(T17:T21)</f>
        <v/>
      </c>
      <c r="U22" s="580">
        <f>SUM(K22+O22+S22+T22)</f>
        <v/>
      </c>
      <c r="V22" s="207">
        <f>K22/(F22/((YEAR(E17)*12+MONTH(E17))-(YEAR(D17)*12+MONTH(D17))+1))</f>
        <v/>
      </c>
      <c r="W22" s="207">
        <f>G22/F22</f>
        <v/>
      </c>
      <c r="X22" s="580">
        <f>F22-G22</f>
        <v/>
      </c>
      <c r="Y22" s="208">
        <f>Y17</f>
        <v/>
      </c>
      <c r="Z22" s="209">
        <f>U22/Y17</f>
        <v/>
      </c>
      <c r="AA22" s="650">
        <f>Y17-U22</f>
        <v/>
      </c>
    </row>
    <row r="23" ht="14.1" customFormat="1" customHeight="1" s="483">
      <c r="A23" s="589" t="inlineStr">
        <is>
          <t>理财师016</t>
        </is>
      </c>
      <c r="B23" s="584" t="inlineStr">
        <is>
          <t>理财师208</t>
        </is>
      </c>
      <c r="C23" s="584" t="inlineStr">
        <is>
          <t>观察期PWA0-1</t>
        </is>
      </c>
      <c r="D23" s="638" t="n">
        <v>46023</v>
      </c>
      <c r="E23" s="638" t="n">
        <v>46203</v>
      </c>
      <c r="F23" s="116" t="n">
        <v>5054.28</v>
      </c>
      <c r="G23" s="565" t="n">
        <v>701.917414</v>
      </c>
      <c r="H23" s="653" t="n">
        <v>0</v>
      </c>
      <c r="I23" s="653" t="n">
        <v>0</v>
      </c>
      <c r="J23" s="653" t="n">
        <v>0</v>
      </c>
      <c r="K23" s="653">
        <f>SUM(H23:J23)</f>
        <v/>
      </c>
      <c r="L23" s="653" t="n">
        <v>3.487333</v>
      </c>
      <c r="M23" s="653" t="n">
        <v>0</v>
      </c>
      <c r="N23" s="653" t="n">
        <v>144.61482</v>
      </c>
      <c r="O23" s="653">
        <f>SUM(L23:N23)</f>
        <v/>
      </c>
      <c r="P23" s="118" t="n">
        <v>190.944681</v>
      </c>
      <c r="Q23" s="118" t="n">
        <v>0</v>
      </c>
      <c r="R23" s="123" t="n">
        <v>71.82064699999999</v>
      </c>
      <c r="S23" s="118">
        <f>SUM(P23:R23)</f>
        <v/>
      </c>
      <c r="T23" s="118" t="n">
        <v>291.049933</v>
      </c>
      <c r="U23" s="187">
        <f>SUM(K23+O23+S23+T23)</f>
        <v/>
      </c>
      <c r="V23" s="122">
        <f>K23/(F23/((YEAR(E23)*12+MONTH(E23))-(YEAR(D23)*12+MONTH(D23))+1))</f>
        <v/>
      </c>
      <c r="W23" s="122">
        <f>G23/F23</f>
        <v/>
      </c>
      <c r="X23" s="587">
        <f>F23-G23</f>
        <v/>
      </c>
      <c r="Y23" s="217" t="n">
        <v>64020.88</v>
      </c>
      <c r="Z23" s="218">
        <f>Z27</f>
        <v/>
      </c>
      <c r="AA23" s="652">
        <f>AA27</f>
        <v/>
      </c>
    </row>
    <row r="24" ht="14.1" customFormat="1" customHeight="1" s="483">
      <c r="A24" s="500" t="n"/>
      <c r="B24" s="563" t="inlineStr">
        <is>
          <t>理财师015</t>
        </is>
      </c>
      <c r="C24" s="563" t="inlineStr">
        <is>
          <t>私人财富管理资深顾问PWA2-1</t>
        </is>
      </c>
      <c r="D24" s="636" t="n">
        <v>45992</v>
      </c>
      <c r="E24" s="636" t="n">
        <v>46203</v>
      </c>
      <c r="F24" s="83" t="n">
        <v>11461.38</v>
      </c>
      <c r="G24" s="565" t="n">
        <v>4863.227807</v>
      </c>
      <c r="H24" s="126" t="n">
        <v>0</v>
      </c>
      <c r="I24" s="126" t="n">
        <v>0</v>
      </c>
      <c r="J24" s="126" t="n">
        <v>0</v>
      </c>
      <c r="K24" s="85">
        <f>SUM(H24:J24)</f>
        <v/>
      </c>
      <c r="L24" s="126" t="n">
        <v>198.1746</v>
      </c>
      <c r="M24" s="126" t="n">
        <v>0</v>
      </c>
      <c r="N24" s="126" t="n">
        <v>29.640215</v>
      </c>
      <c r="O24" s="85">
        <f>SUM(L24:N24)</f>
        <v/>
      </c>
      <c r="P24" s="85" t="n">
        <v>0.8469</v>
      </c>
      <c r="Q24" s="85" t="n">
        <v>4558.0158</v>
      </c>
      <c r="R24" s="530" t="n"/>
      <c r="S24" s="85">
        <f>SUM(P24:R24)</f>
        <v/>
      </c>
      <c r="T24" s="85" t="n">
        <v>21.644177</v>
      </c>
      <c r="U24" s="187">
        <f>SUM(K24+O24+S24+T24)</f>
        <v/>
      </c>
      <c r="V24" s="91">
        <f>K24/(F24/((YEAR(E24)*12+MONTH(E24))-(YEAR(D24)*12+MONTH(D24))+1))</f>
        <v/>
      </c>
      <c r="W24" s="91">
        <f>G24/F24</f>
        <v/>
      </c>
      <c r="X24" s="567">
        <f>F24-G24</f>
        <v/>
      </c>
      <c r="Y24" s="500" t="n"/>
      <c r="Z24" s="500" t="n"/>
      <c r="AA24" s="500" t="n"/>
    </row>
    <row r="25" ht="14.1" customFormat="1" customHeight="1" s="483">
      <c r="A25" s="500" t="n"/>
      <c r="B25" s="563" t="inlineStr">
        <is>
          <t>理财师016</t>
        </is>
      </c>
      <c r="C25" s="563" t="inlineStr">
        <is>
          <t>私人财富管理资深顾问PWA2-4</t>
        </is>
      </c>
      <c r="D25" s="636" t="n">
        <v>46023</v>
      </c>
      <c r="E25" s="636" t="n">
        <v>46203</v>
      </c>
      <c r="F25" s="83" t="n">
        <v>8731.32</v>
      </c>
      <c r="G25" s="565" t="n">
        <v>8262.579511</v>
      </c>
      <c r="H25" s="126" t="n">
        <v>1461.89394</v>
      </c>
      <c r="I25" s="126" t="n">
        <v>0</v>
      </c>
      <c r="J25" s="126" t="n">
        <v>0</v>
      </c>
      <c r="K25" s="85">
        <f>SUM(H25:J25)</f>
        <v/>
      </c>
      <c r="L25" s="126" t="n">
        <v>220.16475</v>
      </c>
      <c r="M25" s="126" t="n">
        <v>0</v>
      </c>
      <c r="N25" s="126" t="n">
        <v>154.524295</v>
      </c>
      <c r="O25" s="85">
        <f>SUM(L25:N25)</f>
        <v/>
      </c>
      <c r="P25" s="85" t="n">
        <v>3847.561596</v>
      </c>
      <c r="Q25" s="85" t="n">
        <v>0</v>
      </c>
      <c r="R25" s="530" t="n"/>
      <c r="S25" s="85">
        <f>SUM(P25:R25)</f>
        <v/>
      </c>
      <c r="T25" s="85" t="n">
        <v>2540.064804</v>
      </c>
      <c r="U25" s="187">
        <f>SUM(K25+O25+S25+T25)</f>
        <v/>
      </c>
      <c r="V25" s="91">
        <f>K25/(F25/((YEAR(E25)*12+MONTH(E25))-(YEAR(D25)*12+MONTH(D25))+1))</f>
        <v/>
      </c>
      <c r="W25" s="91">
        <f>G25/F25</f>
        <v/>
      </c>
      <c r="X25" s="567">
        <f>F25-G25</f>
        <v/>
      </c>
      <c r="Y25" s="500" t="n"/>
      <c r="Z25" s="500" t="n"/>
      <c r="AA25" s="500" t="n"/>
    </row>
    <row r="26" ht="14.45" customFormat="1" customHeight="1" s="483">
      <c r="A26" s="513" t="n"/>
      <c r="B26" s="572" t="inlineStr">
        <is>
          <t>理财师028</t>
        </is>
      </c>
      <c r="C26" s="572" t="inlineStr">
        <is>
          <t>私人财富管理专家PWA4-5</t>
        </is>
      </c>
      <c r="D26" s="637" t="n">
        <v>46001</v>
      </c>
      <c r="E26" s="637" t="n">
        <v>46182</v>
      </c>
      <c r="F26" s="98" t="n">
        <v>23502</v>
      </c>
      <c r="G26" s="565" t="n">
        <v>32.04495</v>
      </c>
      <c r="H26" s="127" t="n">
        <v>0</v>
      </c>
      <c r="I26" s="127" t="n">
        <v>0</v>
      </c>
      <c r="J26" s="127" t="n">
        <v>0</v>
      </c>
      <c r="K26" s="100">
        <f>SUM(H26:J26)</f>
        <v/>
      </c>
      <c r="L26" s="127" t="n">
        <v>0</v>
      </c>
      <c r="M26" s="127" t="n">
        <v>0</v>
      </c>
      <c r="N26" s="127" t="n">
        <v>32.04495</v>
      </c>
      <c r="O26" s="100">
        <f>SUM(L26:N26)</f>
        <v/>
      </c>
      <c r="P26" s="100" t="n">
        <v>0</v>
      </c>
      <c r="Q26" s="100" t="n">
        <v>0</v>
      </c>
      <c r="R26" s="532" t="n"/>
      <c r="S26" s="100">
        <f>SUM(P26:R26)</f>
        <v/>
      </c>
      <c r="T26" s="100" t="n">
        <v>0</v>
      </c>
      <c r="U26" s="187">
        <f>SUM(K26+O26+S26+T26)</f>
        <v/>
      </c>
      <c r="V26" s="91">
        <f>K26/(F26/((YEAR(E26)*12+MONTH(E26))-(YEAR(D26)*12+MONTH(D26))+1))</f>
        <v/>
      </c>
      <c r="W26" s="91">
        <f>G26/F26</f>
        <v/>
      </c>
      <c r="X26" s="567">
        <f>F26-G26</f>
        <v/>
      </c>
      <c r="Y26" s="513" t="n"/>
      <c r="Z26" s="513" t="n"/>
      <c r="AA26" s="501" t="n"/>
      <c r="AD26" s="639" t="inlineStr"/>
    </row>
    <row r="27" ht="14.25" customFormat="1" customHeight="1" s="483">
      <c r="A27" s="577" t="inlineStr">
        <is>
          <t>合计</t>
        </is>
      </c>
      <c r="B27" s="518" t="n"/>
      <c r="C27" s="518" t="n"/>
      <c r="D27" s="518" t="n"/>
      <c r="E27" s="578" t="n"/>
      <c r="F27" s="219">
        <f>SUM(F23:F26)</f>
        <v/>
      </c>
      <c r="G27" s="590">
        <f>SUM(G23:G26)</f>
        <v/>
      </c>
      <c r="H27" s="591">
        <f>SUM(H23:H26)</f>
        <v/>
      </c>
      <c r="I27" s="591">
        <f>SUM(I23:I26)</f>
        <v/>
      </c>
      <c r="J27" s="591">
        <f>SUM(J23:J26)</f>
        <v/>
      </c>
      <c r="K27" s="579">
        <f>SUM(K23:K26)</f>
        <v/>
      </c>
      <c r="L27" s="591">
        <f>SUM(L23:L26)</f>
        <v/>
      </c>
      <c r="M27" s="591">
        <f>SUM(M23:M26)</f>
        <v/>
      </c>
      <c r="N27" s="591">
        <f>SUM(N23:N26)</f>
        <v/>
      </c>
      <c r="O27" s="579">
        <f>SUM(O23:O26)</f>
        <v/>
      </c>
      <c r="P27" s="590">
        <f>SUM(P23:P26)</f>
        <v/>
      </c>
      <c r="Q27" s="590">
        <f>SUM(Q23:Q26)</f>
        <v/>
      </c>
      <c r="R27" s="591">
        <f>SUM(R23:R26)</f>
        <v/>
      </c>
      <c r="S27" s="579">
        <f>SUM(S23:S26)</f>
        <v/>
      </c>
      <c r="T27" s="579">
        <f>SUM(T23:T26)</f>
        <v/>
      </c>
      <c r="U27" s="580">
        <f>SUM(K27+O27+S27+T27)</f>
        <v/>
      </c>
      <c r="V27" s="220">
        <f>K27/(F27/((YEAR(E23)*12+MONTH(E23))-(YEAR(D23)*12+MONTH(D23))+1))</f>
        <v/>
      </c>
      <c r="W27" s="221">
        <f>G27/F27</f>
        <v/>
      </c>
      <c r="X27" s="579">
        <f>F27-G27</f>
        <v/>
      </c>
      <c r="Y27" s="222">
        <f>Y23</f>
        <v/>
      </c>
      <c r="Z27" s="220">
        <f>U27/Y23</f>
        <v/>
      </c>
      <c r="AA27" s="654">
        <f>Y23-U27</f>
        <v/>
      </c>
    </row>
    <row r="28" ht="14.25" customFormat="1" customHeight="1" s="483">
      <c r="A28" s="589" t="inlineStr">
        <is>
          <t>理财师002</t>
        </is>
      </c>
      <c r="B28" s="584" t="inlineStr">
        <is>
          <t>理财师001</t>
        </is>
      </c>
      <c r="C28" s="584" t="inlineStr">
        <is>
          <t>私人财富管理顾问PWA1-2</t>
        </is>
      </c>
      <c r="D28" s="638" t="n">
        <v>46023</v>
      </c>
      <c r="E28" s="638" t="n">
        <v>46203</v>
      </c>
      <c r="F28" s="116" t="n">
        <v>4993.22</v>
      </c>
      <c r="G28" s="565" t="n">
        <v>3555.16116</v>
      </c>
      <c r="H28" s="653" t="n">
        <v>0</v>
      </c>
      <c r="I28" s="653" t="n">
        <v>0</v>
      </c>
      <c r="J28" s="653" t="n">
        <v>0</v>
      </c>
      <c r="K28" s="653">
        <f>SUM(H28:J28)</f>
        <v/>
      </c>
      <c r="L28" s="653" t="n">
        <v>50.830377</v>
      </c>
      <c r="M28" s="653" t="n">
        <v>0</v>
      </c>
      <c r="N28" s="653" t="n">
        <v>761.144365</v>
      </c>
      <c r="O28" s="653">
        <f>SUM(L28:N28)</f>
        <v/>
      </c>
      <c r="P28" s="118" t="n">
        <v>153.11976</v>
      </c>
      <c r="Q28" s="118" t="n">
        <v>0</v>
      </c>
      <c r="R28" s="118" t="n">
        <v>560.548117</v>
      </c>
      <c r="S28" s="118">
        <f>SUM(P28:R28)</f>
        <v/>
      </c>
      <c r="T28" s="118" t="n">
        <v>2029.518541</v>
      </c>
      <c r="U28" s="187">
        <f>SUM(K28+O28+S28+T28)</f>
        <v/>
      </c>
      <c r="V28" s="122">
        <f>K28/(F28/((YEAR(E28)*12+MONTH(E28))-(YEAR(D28)*12+MONTH(D28))+1))</f>
        <v/>
      </c>
      <c r="W28" s="122">
        <f>G28/F28</f>
        <v/>
      </c>
      <c r="X28" s="587">
        <f>F28-G28</f>
        <v/>
      </c>
      <c r="Y28" s="214" t="n">
        <v>39429.22</v>
      </c>
      <c r="Z28" s="122">
        <f>Z31</f>
        <v/>
      </c>
      <c r="AA28" s="652">
        <f>AA31</f>
        <v/>
      </c>
    </row>
    <row r="29" ht="14.25" customFormat="1" customHeight="1" s="483">
      <c r="A29" s="500" t="n"/>
      <c r="B29" s="563" t="inlineStr">
        <is>
          <t>理财师002</t>
        </is>
      </c>
      <c r="C29" s="563" t="inlineStr">
        <is>
          <t>私人财富管理专家PWA4-5</t>
        </is>
      </c>
      <c r="D29" s="636" t="n">
        <v>46023</v>
      </c>
      <c r="E29" s="636" t="n">
        <v>46203</v>
      </c>
      <c r="F29" s="83" t="n">
        <v>24411</v>
      </c>
      <c r="G29" s="565" t="n">
        <v>22887.973271</v>
      </c>
      <c r="H29" s="85" t="n">
        <v>-7094.864222</v>
      </c>
      <c r="I29" s="85" t="n">
        <v>0</v>
      </c>
      <c r="J29" s="85" t="n">
        <v>0</v>
      </c>
      <c r="K29" s="85">
        <f>SUM(H29:J29)</f>
        <v/>
      </c>
      <c r="L29" s="85" t="n">
        <v>2164.476574</v>
      </c>
      <c r="M29" s="85" t="n">
        <v>0</v>
      </c>
      <c r="N29" s="85" t="n">
        <v>365.27682</v>
      </c>
      <c r="O29" s="85">
        <f>SUM(L29:N29)</f>
        <v/>
      </c>
      <c r="P29" s="85" t="n">
        <v>2346.171162</v>
      </c>
      <c r="Q29" s="85" t="n">
        <v>0</v>
      </c>
      <c r="R29" s="500" t="n"/>
      <c r="S29" s="85">
        <f>SUM(P29:R29)</f>
        <v/>
      </c>
      <c r="T29" s="85" t="n">
        <v>24919.495747</v>
      </c>
      <c r="U29" s="187">
        <f>SUM(K29+O29+S29+T29)</f>
        <v/>
      </c>
      <c r="V29" s="91">
        <f>K29/(F29/((YEAR(E29)*12+MONTH(E29))-(YEAR(D29)*12+MONTH(D29))+1))</f>
        <v/>
      </c>
      <c r="W29" s="91">
        <f>G29/F29</f>
        <v/>
      </c>
      <c r="X29" s="567">
        <f>F29-G29</f>
        <v/>
      </c>
      <c r="Y29" s="500" t="n"/>
      <c r="Z29" s="500" t="n"/>
      <c r="AA29" s="500" t="n"/>
    </row>
    <row r="30" ht="15" customFormat="1" customHeight="1" s="483">
      <c r="A30" s="513" t="n"/>
      <c r="B30" s="572" t="inlineStr">
        <is>
          <t>理财师027</t>
        </is>
      </c>
      <c r="C30" s="572" t="inlineStr">
        <is>
          <t>私人财富管理资深顾问PWA2-3</t>
        </is>
      </c>
      <c r="D30" s="637" t="n">
        <v>45943</v>
      </c>
      <c r="E30" s="637" t="n">
        <v>46124</v>
      </c>
      <c r="F30" s="98" t="n">
        <v>6847</v>
      </c>
      <c r="G30" s="565" t="n">
        <v>1138.55362</v>
      </c>
      <c r="H30" s="100" t="n">
        <v>133.5165</v>
      </c>
      <c r="I30" s="100" t="n">
        <v>0</v>
      </c>
      <c r="J30" s="100" t="n">
        <v>0</v>
      </c>
      <c r="K30" s="100">
        <f>SUM(H30:J30)</f>
        <v/>
      </c>
      <c r="L30" s="100" t="n">
        <v>0</v>
      </c>
      <c r="M30" s="100" t="n">
        <v>0</v>
      </c>
      <c r="N30" s="100" t="n">
        <v>2.181886</v>
      </c>
      <c r="O30" s="100">
        <f>SUM(L30:N30)</f>
        <v/>
      </c>
      <c r="P30" s="100" t="n">
        <v>0</v>
      </c>
      <c r="Q30" s="100" t="n">
        <v>0</v>
      </c>
      <c r="R30" s="501" t="n"/>
      <c r="S30" s="100">
        <f>SUM(P30:R30)</f>
        <v/>
      </c>
      <c r="T30" s="100" t="n">
        <v>66.75825</v>
      </c>
      <c r="U30" s="187">
        <f>SUM(K30+O30+S30+T30)</f>
        <v/>
      </c>
      <c r="V30" s="205">
        <f>K30/(F30/((YEAR(E30)*12+MONTH(E30))-(YEAR(D30)*12+MONTH(D30))+1))</f>
        <v/>
      </c>
      <c r="W30" s="205">
        <f>G30/F30</f>
        <v/>
      </c>
      <c r="X30" s="576">
        <f>F30-G30</f>
        <v/>
      </c>
      <c r="Y30" s="501" t="n"/>
      <c r="Z30" s="501" t="n"/>
      <c r="AA30" s="501" t="n"/>
    </row>
    <row r="31" ht="14.25" customFormat="1" customHeight="1" s="483">
      <c r="A31" s="640" t="inlineStr">
        <is>
          <t>合计</t>
        </is>
      </c>
      <c r="B31" s="518" t="n"/>
      <c r="C31" s="518" t="n"/>
      <c r="D31" s="518" t="n"/>
      <c r="E31" s="519" t="n"/>
      <c r="F31" s="224">
        <f>SUM(F28:F30)</f>
        <v/>
      </c>
      <c r="G31" s="593">
        <f>SUM(G28:G30)</f>
        <v/>
      </c>
      <c r="H31" s="591">
        <f>SUM(H28:H30)</f>
        <v/>
      </c>
      <c r="I31" s="591">
        <f>SUM(I28:I30)</f>
        <v/>
      </c>
      <c r="J31" s="591">
        <f>SUM(J28:J30)</f>
        <v/>
      </c>
      <c r="K31" s="579">
        <f>SUM(K28:K30)</f>
        <v/>
      </c>
      <c r="L31" s="591">
        <f>SUM(L28:L30)</f>
        <v/>
      </c>
      <c r="M31" s="591">
        <f>SUM(M28:M30)</f>
        <v/>
      </c>
      <c r="N31" s="591">
        <f>SUM(N28:N30)</f>
        <v/>
      </c>
      <c r="O31" s="579">
        <f>SUM(O28:O30)</f>
        <v/>
      </c>
      <c r="P31" s="590">
        <f>SUM(P28:P30)</f>
        <v/>
      </c>
      <c r="Q31" s="590">
        <f>SUM(Q28:Q30)</f>
        <v/>
      </c>
      <c r="R31" s="591">
        <f>SUM(R28:R30)</f>
        <v/>
      </c>
      <c r="S31" s="579">
        <f>SUM(S28:S30)</f>
        <v/>
      </c>
      <c r="T31" s="579">
        <f>SUM(T28:T30)</f>
        <v/>
      </c>
      <c r="U31" s="580">
        <f>SUM(K31+O31+S31+T31)</f>
        <v/>
      </c>
      <c r="V31" s="220">
        <f>K31/(F31/((YEAR(E28)*12+MONTH(E28))-(YEAR(D28)*12+MONTH(D28))+1))</f>
        <v/>
      </c>
      <c r="W31" s="221">
        <f>G31/F31</f>
        <v/>
      </c>
      <c r="X31" s="579">
        <f>F31-G31</f>
        <v/>
      </c>
      <c r="Y31" s="222">
        <f>Y28</f>
        <v/>
      </c>
      <c r="Z31" s="220">
        <f>U31/Y28</f>
        <v/>
      </c>
      <c r="AA31" s="654">
        <f>Y28-U31</f>
        <v/>
      </c>
    </row>
    <row r="32" ht="14.25" customFormat="1" customHeight="1" s="483">
      <c r="A32" s="589" t="inlineStr">
        <is>
          <t>理财师009</t>
        </is>
      </c>
      <c r="B32" s="584" t="inlineStr">
        <is>
          <t>理财师048</t>
        </is>
      </c>
      <c r="C32" s="584" t="inlineStr">
        <is>
          <t>观察期PWA0-2</t>
        </is>
      </c>
      <c r="D32" s="638" t="n">
        <v>46082</v>
      </c>
      <c r="E32" s="638" t="n">
        <v>46234</v>
      </c>
      <c r="F32" s="116" t="n">
        <v>3056.1223</v>
      </c>
      <c r="G32" s="565" t="n">
        <v>150.398585</v>
      </c>
      <c r="H32" s="653" t="n">
        <v>0</v>
      </c>
      <c r="I32" s="653" t="n">
        <v>0</v>
      </c>
      <c r="J32" s="653" t="n">
        <v>0</v>
      </c>
      <c r="K32" s="653">
        <f>SUM(H32:J32)</f>
        <v/>
      </c>
      <c r="L32" s="653" t="n">
        <v>103.23148</v>
      </c>
      <c r="M32" s="653" t="n">
        <v>0</v>
      </c>
      <c r="N32" s="653" t="n">
        <v>47.167105</v>
      </c>
      <c r="O32" s="653">
        <f>SUM(L32:N32)</f>
        <v/>
      </c>
      <c r="P32" s="118" t="n">
        <v>51.706393</v>
      </c>
      <c r="Q32" s="118" t="n">
        <v>90.204069</v>
      </c>
      <c r="R32" s="118" t="n">
        <v>16.925117</v>
      </c>
      <c r="S32" s="118">
        <f>SUM(P32:R32)</f>
        <v/>
      </c>
      <c r="T32" s="118" t="n">
        <v>193.330405</v>
      </c>
      <c r="U32" s="187">
        <f>SUM(K32+O32+S32+T32)</f>
        <v/>
      </c>
      <c r="V32" s="122">
        <f>K32/(F32/((YEAR(E32)*12+MONTH(E32))-(YEAR(D32)*12+MONTH(D32))+1))</f>
        <v/>
      </c>
      <c r="W32" s="122">
        <f>G32/F32</f>
        <v/>
      </c>
      <c r="X32" s="587">
        <f>F32-G32</f>
        <v/>
      </c>
      <c r="Y32" s="214" t="n">
        <v>24216.5</v>
      </c>
      <c r="Z32" s="122">
        <f>Z35</f>
        <v/>
      </c>
      <c r="AA32" s="652">
        <f>AA35</f>
        <v/>
      </c>
    </row>
    <row r="33" ht="14.25" customFormat="1" customHeight="1" s="483">
      <c r="A33" s="500" t="n"/>
      <c r="B33" s="563" t="inlineStr">
        <is>
          <t>理财师009</t>
        </is>
      </c>
      <c r="C33" s="563" t="inlineStr">
        <is>
          <t>私人财富管理专家PWA4-1</t>
        </is>
      </c>
      <c r="D33" s="636" t="n">
        <v>46023</v>
      </c>
      <c r="E33" s="636" t="n">
        <v>46203</v>
      </c>
      <c r="F33" s="83" t="n">
        <v>28282.8</v>
      </c>
      <c r="G33" s="565" t="n">
        <v>11088.202351</v>
      </c>
      <c r="H33" s="85" t="n">
        <v>1008.987514</v>
      </c>
      <c r="I33" s="85" t="n">
        <v>0</v>
      </c>
      <c r="J33" s="85" t="n">
        <v>0</v>
      </c>
      <c r="K33" s="85">
        <f>SUM(H33:J33)</f>
        <v/>
      </c>
      <c r="L33" s="85" t="n">
        <v>3314.503374</v>
      </c>
      <c r="M33" s="85" t="n">
        <v>0</v>
      </c>
      <c r="N33" s="85" t="n">
        <v>699.48968</v>
      </c>
      <c r="O33" s="85">
        <f>SUM(L33:N33)</f>
        <v/>
      </c>
      <c r="P33" s="85" t="n">
        <v>4769.379014</v>
      </c>
      <c r="Q33" s="85" t="n">
        <v>0</v>
      </c>
      <c r="R33" s="500" t="n"/>
      <c r="S33" s="85">
        <f>SUM(P33:R33)</f>
        <v/>
      </c>
      <c r="T33" s="85" t="n">
        <v>1069.968142</v>
      </c>
      <c r="U33" s="187">
        <f>SUM(K33+O33+S33+T33)</f>
        <v/>
      </c>
      <c r="V33" s="91">
        <f>K33/(F33/((YEAR(E33)*12+MONTH(E33))-(YEAR(D33)*12+MONTH(D33))+1))</f>
        <v/>
      </c>
      <c r="W33" s="91">
        <f>G33/F33</f>
        <v/>
      </c>
      <c r="X33" s="567">
        <f>F33-G33</f>
        <v/>
      </c>
      <c r="Y33" s="500" t="n"/>
      <c r="Z33" s="500" t="n"/>
      <c r="AA33" s="500" t="n"/>
    </row>
    <row r="34" ht="15" customFormat="1" customHeight="1" s="483">
      <c r="A34" s="513" t="n"/>
      <c r="B34" s="572" t="inlineStr">
        <is>
          <t>理财师010</t>
        </is>
      </c>
      <c r="C34" s="572" t="inlineStr">
        <is>
          <t>观察期PWA0-2</t>
        </is>
      </c>
      <c r="D34" s="637" t="n">
        <v>46023</v>
      </c>
      <c r="E34" s="637" t="n">
        <v>46203</v>
      </c>
      <c r="F34" s="98" t="n">
        <v>4868.16</v>
      </c>
      <c r="G34" s="565" t="n">
        <v>13152.025902</v>
      </c>
      <c r="H34" s="100" t="n">
        <v>870.1836</v>
      </c>
      <c r="I34" s="100" t="n">
        <v>0</v>
      </c>
      <c r="J34" s="100" t="n">
        <v>0</v>
      </c>
      <c r="K34" s="100">
        <f>SUM(H34:J34)</f>
        <v/>
      </c>
      <c r="L34" s="100" t="n">
        <v>2158.292651</v>
      </c>
      <c r="M34" s="100" t="n">
        <v>8187.6366</v>
      </c>
      <c r="N34" s="100" t="n">
        <v>194.447373</v>
      </c>
      <c r="O34" s="100">
        <f>SUM(L34:N34)</f>
        <v/>
      </c>
      <c r="P34" s="100" t="n">
        <v>474.6456</v>
      </c>
      <c r="Q34" s="100" t="n">
        <v>0</v>
      </c>
      <c r="R34" s="501" t="n"/>
      <c r="S34" s="100">
        <f>SUM(P34:R34)</f>
        <v/>
      </c>
      <c r="T34" s="100" t="n">
        <v>1144.784607</v>
      </c>
      <c r="U34" s="187">
        <f>SUM(K34+O34+S34+T34)</f>
        <v/>
      </c>
      <c r="V34" s="205">
        <f>K34/(F34/((YEAR(E34)*12+MONTH(E34))-(YEAR(D34)*12+MONTH(D34))+1))</f>
        <v/>
      </c>
      <c r="W34" s="205">
        <f>G34/F34</f>
        <v/>
      </c>
      <c r="X34" s="576">
        <f>F34-G34</f>
        <v/>
      </c>
      <c r="Y34" s="501" t="n"/>
      <c r="Z34" s="501" t="n"/>
      <c r="AA34" s="501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25">
        <f>SUM(F32:F34)</f>
        <v/>
      </c>
      <c r="G35" s="597">
        <f>SUM(G32:G34)</f>
        <v/>
      </c>
      <c r="H35" s="597">
        <f>SUM(H32:H34)</f>
        <v/>
      </c>
      <c r="I35" s="597">
        <f>SUM(I32:I34)</f>
        <v/>
      </c>
      <c r="J35" s="597">
        <f>SUM(J32:J34)</f>
        <v/>
      </c>
      <c r="K35" s="641">
        <f>SUM(K32:K34)</f>
        <v/>
      </c>
      <c r="L35" s="597">
        <f>SUM(L32:L34)</f>
        <v/>
      </c>
      <c r="M35" s="597">
        <f>SUM(M32:M34)</f>
        <v/>
      </c>
      <c r="N35" s="597">
        <f>SUM(N32:N34)</f>
        <v/>
      </c>
      <c r="O35" s="641">
        <f>SUM(O32:O34)</f>
        <v/>
      </c>
      <c r="P35" s="597">
        <f>SUM(P32:P34)</f>
        <v/>
      </c>
      <c r="Q35" s="597">
        <f>SUM(Q32:Q34)</f>
        <v/>
      </c>
      <c r="R35" s="597">
        <f>SUM(R32:R34)</f>
        <v/>
      </c>
      <c r="S35" s="597">
        <f>SUM(S32:S34)</f>
        <v/>
      </c>
      <c r="T35" s="641">
        <f>SUM(T32:T34)</f>
        <v/>
      </c>
      <c r="U35" s="580">
        <f>SUM(K35+O35+S35+T35)</f>
        <v/>
      </c>
      <c r="V35" s="226">
        <f>K35/(F35/((YEAR(E32)*12+MONTH(E32))-(YEAR(D32)*12+MONTH(D32))+1))</f>
        <v/>
      </c>
      <c r="W35" s="227">
        <f>G35/F35</f>
        <v/>
      </c>
      <c r="X35" s="598">
        <f>F35-G35</f>
        <v/>
      </c>
      <c r="Y35" s="228">
        <f>Y32</f>
        <v/>
      </c>
      <c r="Z35" s="226">
        <f>U35/Y32</f>
        <v/>
      </c>
      <c r="AA35" s="655">
        <f>Y32-U35</f>
        <v/>
      </c>
    </row>
    <row r="36" ht="14.25" customFormat="1" customHeight="1" s="483">
      <c r="A36" s="642" t="inlineStr">
        <is>
          <t>理财师020</t>
        </is>
      </c>
      <c r="B36" s="601" t="inlineStr">
        <is>
          <t>理财师020</t>
        </is>
      </c>
      <c r="C36" s="601" t="inlineStr">
        <is>
          <t>私人财富管理资深顾问PWA2-5</t>
        </is>
      </c>
      <c r="D36" s="643" t="n">
        <v>46023</v>
      </c>
      <c r="E36" s="643" t="n">
        <v>46203</v>
      </c>
      <c r="F36" s="141" t="n">
        <v>15907.32</v>
      </c>
      <c r="G36" s="565" t="n">
        <v>28413.338185</v>
      </c>
      <c r="H36" s="142" t="n">
        <v>1231.676673</v>
      </c>
      <c r="I36" s="142" t="n">
        <v>0</v>
      </c>
      <c r="J36" s="142" t="n">
        <v>0</v>
      </c>
      <c r="K36" s="197">
        <f>SUM(H36:J36)</f>
        <v/>
      </c>
      <c r="L36" s="142" t="n">
        <v>10803.329409</v>
      </c>
      <c r="M36" s="142" t="n">
        <v>0</v>
      </c>
      <c r="N36" s="142" t="n">
        <v>396.373158</v>
      </c>
      <c r="O36" s="197">
        <f>SUM(L36:N36)</f>
        <v/>
      </c>
      <c r="P36" s="142" t="n">
        <v>6594.535422</v>
      </c>
      <c r="Q36" s="142" t="n">
        <v>0</v>
      </c>
      <c r="R36" s="142" t="n">
        <v>271.914403</v>
      </c>
      <c r="S36" s="197">
        <f>SUM(P36:R36)</f>
        <v/>
      </c>
      <c r="T36" s="197" t="n">
        <v>9115.509121999999</v>
      </c>
      <c r="U36" s="187">
        <f>SUM(K36+O36+S36+T36)</f>
        <v/>
      </c>
      <c r="V36" s="148">
        <f>K36/(F36/((YEAR(E36)*12+MONTH(E36))-(YEAR(D36)*12+MONTH(D36))+1))</f>
        <v/>
      </c>
      <c r="W36" s="148">
        <f>G36/F36</f>
        <v/>
      </c>
      <c r="X36" s="604">
        <f>F36-G36</f>
        <v/>
      </c>
      <c r="Y36" s="230" t="n">
        <v>30127.5</v>
      </c>
      <c r="Z36" s="148">
        <f>Z38</f>
        <v/>
      </c>
      <c r="AA36" s="656">
        <f>AA38</f>
        <v/>
      </c>
    </row>
    <row r="37" ht="15" customFormat="1" customHeight="1" s="483">
      <c r="A37" s="628" t="n"/>
      <c r="B37" s="608" t="inlineStr">
        <is>
          <t>理财师032</t>
        </is>
      </c>
      <c r="C37" s="608" t="inlineStr">
        <is>
          <t>C1</t>
        </is>
      </c>
      <c r="D37" s="645" t="n">
        <v>45962</v>
      </c>
      <c r="E37" s="645" t="n">
        <v>46229</v>
      </c>
      <c r="F37" s="153" t="n">
        <v>2762.98</v>
      </c>
      <c r="G37" s="565" t="n">
        <v>3857.440539</v>
      </c>
      <c r="H37" s="154" t="n">
        <v>1008.99006</v>
      </c>
      <c r="I37" s="154" t="n">
        <v>0</v>
      </c>
      <c r="J37" s="154" t="n">
        <v>0</v>
      </c>
      <c r="K37" s="154">
        <f>SUM(H37:J37)</f>
        <v/>
      </c>
      <c r="L37" s="154" t="n">
        <v>0</v>
      </c>
      <c r="M37" s="154" t="n">
        <v>342.296351</v>
      </c>
      <c r="N37" s="154" t="n">
        <v>35.098479</v>
      </c>
      <c r="O37" s="154">
        <f>SUM(L37:N37)</f>
        <v/>
      </c>
      <c r="P37" s="154" t="n">
        <v>440.8209</v>
      </c>
      <c r="Q37" s="154" t="n">
        <v>0</v>
      </c>
      <c r="R37" s="501" t="n"/>
      <c r="S37" s="154">
        <f>SUM(P37:R37)</f>
        <v/>
      </c>
      <c r="T37" s="154" t="n">
        <v>1310.569686</v>
      </c>
      <c r="U37" s="187">
        <f>SUM(K37+O37+S37+T37)</f>
        <v/>
      </c>
      <c r="V37" s="232">
        <f>K37/(F37/((YEAR(E37)*12+MONTH(E37))-(YEAR(D37)*12+MONTH(D37))+1))</f>
        <v/>
      </c>
      <c r="W37" s="232">
        <f>G37/F37</f>
        <v/>
      </c>
      <c r="X37" s="611">
        <f>F37-G37</f>
        <v/>
      </c>
      <c r="Y37" s="607" t="n"/>
      <c r="Z37" s="501" t="n"/>
      <c r="AA37" s="612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33">
        <f>SUM(F36:F37)</f>
        <v/>
      </c>
      <c r="G38" s="614">
        <f>SUM(G36:G37)</f>
        <v/>
      </c>
      <c r="H38" s="538">
        <f>SUM(H36:H37)</f>
        <v/>
      </c>
      <c r="I38" s="538">
        <f>SUM(I36:I37)</f>
        <v/>
      </c>
      <c r="J38" s="538">
        <f>SUM(J36:J37)</f>
        <v/>
      </c>
      <c r="K38" s="538">
        <f>SUM(K36:K37)</f>
        <v/>
      </c>
      <c r="L38" s="538">
        <f>SUM(L36:L37)</f>
        <v/>
      </c>
      <c r="M38" s="538">
        <f>SUM(M36:M37)</f>
        <v/>
      </c>
      <c r="N38" s="538">
        <f>SUM(N36:N37)</f>
        <v/>
      </c>
      <c r="O38" s="538">
        <f>SUM(O36:O37)</f>
        <v/>
      </c>
      <c r="P38" s="614">
        <f>SUM(P36:P37)</f>
        <v/>
      </c>
      <c r="Q38" s="614">
        <f>SUM(Q36:Q37)</f>
        <v/>
      </c>
      <c r="R38" s="614">
        <f>SUM(R36:R37)</f>
        <v/>
      </c>
      <c r="S38" s="614">
        <f>SUM(S36:S37)</f>
        <v/>
      </c>
      <c r="T38" s="614">
        <f>SUM(T36:T37)</f>
        <v/>
      </c>
      <c r="U38" s="580">
        <f>SUM(K38+O38+S38+T38)</f>
        <v/>
      </c>
      <c r="V38" s="234">
        <f>K38/(F38/((YEAR(E36)*12+MONTH(E36))-(YEAR(D36)*12+MONTH(D36))+1))</f>
        <v/>
      </c>
      <c r="W38" s="235">
        <f>G38/F38</f>
        <v/>
      </c>
      <c r="X38" s="615">
        <f>F38-G38</f>
        <v/>
      </c>
      <c r="Y38" s="236">
        <f>Y36</f>
        <v/>
      </c>
      <c r="Z38" s="234">
        <f>U38/Y36</f>
        <v/>
      </c>
      <c r="AA38" s="657">
        <f>Y36-U38</f>
        <v/>
      </c>
    </row>
    <row r="39" ht="14.25" customFormat="1" customHeight="1" s="483">
      <c r="A39" s="642" t="inlineStr">
        <is>
          <t>理财师005</t>
        </is>
      </c>
      <c r="B39" s="601" t="inlineStr">
        <is>
          <t>理财师005</t>
        </is>
      </c>
      <c r="C39" s="601" t="inlineStr">
        <is>
          <t>私人财富管理资深顾问PWA2-5</t>
        </is>
      </c>
      <c r="D39" s="643" t="n">
        <v>46054</v>
      </c>
      <c r="E39" s="643" t="n">
        <v>46203</v>
      </c>
      <c r="F39" s="141" t="n">
        <v>9610.6</v>
      </c>
      <c r="G39" s="565" t="n">
        <v>6413.933535</v>
      </c>
      <c r="H39" s="142" t="n">
        <v>1705.609752</v>
      </c>
      <c r="I39" s="142" t="n">
        <v>0</v>
      </c>
      <c r="J39" s="142" t="n">
        <v>0</v>
      </c>
      <c r="K39" s="142">
        <f>SUM(H39:J39)</f>
        <v/>
      </c>
      <c r="L39" s="142" t="n">
        <v>731.292658</v>
      </c>
      <c r="M39" s="142" t="n">
        <v>1570.344134</v>
      </c>
      <c r="N39" s="142" t="n">
        <v>383.775324</v>
      </c>
      <c r="O39" s="142">
        <f>SUM(L39:N39)</f>
        <v/>
      </c>
      <c r="P39" s="142" t="n">
        <v>1738.204897</v>
      </c>
      <c r="Q39" s="142" t="n">
        <v>0</v>
      </c>
      <c r="R39" s="142" t="n">
        <v>284.706769</v>
      </c>
      <c r="S39" s="142">
        <f>SUM(P39:R39)</f>
        <v/>
      </c>
      <c r="T39" s="142" t="n">
        <v>1538.392041</v>
      </c>
      <c r="U39" s="187">
        <f>SUM(K39+O39+S39+T39)</f>
        <v/>
      </c>
      <c r="V39" s="148">
        <f>K39/(F39/((YEAR(E39)*12+MONTH(E39))-(YEAR(D39)*12+MONTH(D39))+1))</f>
        <v/>
      </c>
      <c r="W39" s="148">
        <f>G39/F39</f>
        <v/>
      </c>
      <c r="X39" s="616">
        <f>F39-G39</f>
        <v/>
      </c>
      <c r="Y39" s="230" t="n">
        <v>26246.88</v>
      </c>
      <c r="Z39" s="148">
        <f>Z41</f>
        <v/>
      </c>
      <c r="AA39" s="656">
        <f>AA41</f>
        <v/>
      </c>
    </row>
    <row r="40" ht="15" customFormat="1" customHeight="1" s="483">
      <c r="A40" s="628" t="n"/>
      <c r="B40" s="608" t="inlineStr">
        <is>
          <t>理财师026</t>
        </is>
      </c>
      <c r="C40" s="608" t="inlineStr">
        <is>
          <t>私人财富管理资深顾问PWA2-5</t>
        </is>
      </c>
      <c r="D40" s="645" t="n">
        <v>46113</v>
      </c>
      <c r="E40" s="645" t="n">
        <v>46203</v>
      </c>
      <c r="F40" s="153" t="n">
        <v>1943.13</v>
      </c>
      <c r="G40" s="565" t="n">
        <v>437.370804</v>
      </c>
      <c r="H40" s="154" t="n">
        <v>437.370804</v>
      </c>
      <c r="I40" s="154" t="n">
        <v>0</v>
      </c>
      <c r="J40" s="154" t="n">
        <v>0</v>
      </c>
      <c r="K40" s="154">
        <f>SUM(H40:J40)</f>
        <v/>
      </c>
      <c r="L40" s="154" t="n">
        <v>809.929895</v>
      </c>
      <c r="M40" s="154" t="n">
        <v>0</v>
      </c>
      <c r="N40" s="154" t="n">
        <v>47.503424</v>
      </c>
      <c r="O40" s="154">
        <f>SUM(L40:N40)</f>
        <v/>
      </c>
      <c r="P40" s="154" t="n">
        <v>176.20858</v>
      </c>
      <c r="Q40" s="154" t="n">
        <v>0</v>
      </c>
      <c r="R40" s="501" t="n"/>
      <c r="S40" s="154">
        <f>SUM(P40:R40)</f>
        <v/>
      </c>
      <c r="T40" s="154" t="n">
        <v>12.282809</v>
      </c>
      <c r="U40" s="187">
        <f>SUM(K40+O40+S40+T40)</f>
        <v/>
      </c>
      <c r="V40" s="232">
        <f>K40/(F40/((YEAR(E40)*12+MONTH(E40))-(YEAR(D40)*12+MONTH(D40))+1))</f>
        <v/>
      </c>
      <c r="W40" s="232">
        <f>G40/F40</f>
        <v/>
      </c>
      <c r="X40" s="617">
        <f>F40-G40</f>
        <v/>
      </c>
      <c r="Y40" s="607" t="n"/>
      <c r="Z40" s="501" t="n"/>
      <c r="AA40" s="612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38">
        <f>SUM(F39:F40)</f>
        <v/>
      </c>
      <c r="G41" s="621">
        <f>SUM(G39:G40)</f>
        <v/>
      </c>
      <c r="H41" s="538">
        <f>SUM(H39:H40)</f>
        <v/>
      </c>
      <c r="I41" s="538">
        <f>SUM(I39:I40)</f>
        <v/>
      </c>
      <c r="J41" s="538">
        <f>SUM(J39:J40)</f>
        <v/>
      </c>
      <c r="K41" s="538">
        <f>SUM(K39:K40)</f>
        <v/>
      </c>
      <c r="L41" s="538">
        <f>SUM(L39:L40)</f>
        <v/>
      </c>
      <c r="M41" s="538">
        <f>SUM(M39:M40)</f>
        <v/>
      </c>
      <c r="N41" s="538">
        <f>SUM(N39:N40)</f>
        <v/>
      </c>
      <c r="O41" s="538">
        <f>SUM(O39:O40)</f>
        <v/>
      </c>
      <c r="P41" s="621">
        <f>SUM(P39:P40)</f>
        <v/>
      </c>
      <c r="Q41" s="621">
        <f>SUM(Q39:Q40)</f>
        <v/>
      </c>
      <c r="R41" s="621">
        <f>SUM(R39:R40)</f>
        <v/>
      </c>
      <c r="S41" s="621">
        <f>SUM(S39:S40)</f>
        <v/>
      </c>
      <c r="T41" s="621">
        <f>SUM(T39:T40)</f>
        <v/>
      </c>
      <c r="U41" s="580">
        <f>SUM(K41+O41+S41+T41)</f>
        <v/>
      </c>
      <c r="V41" s="239">
        <f>K41/(F41/((YEAR(E39)*12+MONTH(E39))-(YEAR(D39)*12+MONTH(D39))+1))</f>
        <v/>
      </c>
      <c r="W41" s="240">
        <f>G41/F41</f>
        <v/>
      </c>
      <c r="X41" s="621">
        <f>F41-G41</f>
        <v/>
      </c>
      <c r="Y41" s="241">
        <f>Y39</f>
        <v/>
      </c>
      <c r="Z41" s="242">
        <f>U41/Y39</f>
        <v/>
      </c>
      <c r="AA41" s="658">
        <f>Y39-U41</f>
        <v/>
      </c>
    </row>
    <row r="42" ht="14.25" customFormat="1" customHeight="1" s="483">
      <c r="A42" s="642" t="inlineStr">
        <is>
          <t>理财师008</t>
        </is>
      </c>
      <c r="B42" s="601" t="inlineStr">
        <is>
          <t>理财师008</t>
        </is>
      </c>
      <c r="C42" s="601" t="inlineStr">
        <is>
          <t>私人财富管理专家PWA4-2</t>
        </is>
      </c>
      <c r="D42" s="643" t="n">
        <v>46023</v>
      </c>
      <c r="E42" s="643" t="n">
        <v>46203</v>
      </c>
      <c r="F42" s="141" t="n">
        <v>24202.22</v>
      </c>
      <c r="G42" s="586" t="n">
        <v>16065.986742</v>
      </c>
      <c r="H42" s="142" t="n">
        <v>2530.25058</v>
      </c>
      <c r="I42" s="142" t="n">
        <v>0</v>
      </c>
      <c r="J42" s="142" t="n">
        <v>0</v>
      </c>
      <c r="K42" s="142">
        <f>SUM(H42:J42)</f>
        <v/>
      </c>
      <c r="L42" s="142" t="n">
        <v>9546.464904</v>
      </c>
      <c r="M42" s="142" t="n">
        <v>0</v>
      </c>
      <c r="N42" s="142" t="n">
        <v>374.343744</v>
      </c>
      <c r="O42" s="142">
        <f>SUM(L42:N42)</f>
        <v/>
      </c>
      <c r="P42" s="142" t="n">
        <v>1081.878995</v>
      </c>
      <c r="Q42" s="142" t="n">
        <v>523.50012</v>
      </c>
      <c r="R42" s="142" t="n">
        <v>135.589522</v>
      </c>
      <c r="S42" s="142">
        <f>SUM(P42:R42)</f>
        <v/>
      </c>
      <c r="T42" s="142" t="n">
        <v>1873.958877</v>
      </c>
      <c r="U42" s="187">
        <f>SUM(K42+O42+S42+T42)</f>
        <v/>
      </c>
      <c r="V42" s="148">
        <f>K42/(F42/((YEAR(E42)*12+MONTH(E42))-(YEAR(D42)*12+MONTH(D42))+1))</f>
        <v/>
      </c>
      <c r="W42" s="148">
        <f>G42/F42</f>
        <v/>
      </c>
      <c r="X42" s="616">
        <f>F42-G42</f>
        <v/>
      </c>
      <c r="Y42" s="230" t="n">
        <v>32744.18</v>
      </c>
      <c r="Z42" s="148">
        <f>Z44</f>
        <v/>
      </c>
      <c r="AA42" s="656">
        <f>AA44</f>
        <v/>
      </c>
    </row>
    <row r="43" ht="15" customFormat="1" customHeight="1" s="483">
      <c r="A43" s="628" t="n"/>
      <c r="B43" s="608" t="inlineStr">
        <is>
          <t>理财师011</t>
        </is>
      </c>
      <c r="C43" s="608" t="inlineStr">
        <is>
          <t>私人财富管理资深顾问PWA2-2</t>
        </is>
      </c>
      <c r="D43" s="645" t="n">
        <v>46023</v>
      </c>
      <c r="E43" s="645" t="n">
        <v>46203</v>
      </c>
      <c r="F43" s="153" t="n">
        <v>5045.88</v>
      </c>
      <c r="G43" s="565" t="n">
        <v>597.141293</v>
      </c>
      <c r="H43" s="154" t="n">
        <v>0</v>
      </c>
      <c r="I43" s="154" t="n">
        <v>0</v>
      </c>
      <c r="J43" s="154" t="n">
        <v>0</v>
      </c>
      <c r="K43" s="154">
        <f>SUM(H43:J43)</f>
        <v/>
      </c>
      <c r="L43" s="154" t="n">
        <v>47.229437</v>
      </c>
      <c r="M43" s="154" t="n">
        <v>0</v>
      </c>
      <c r="N43" s="154" t="n">
        <v>24.120644</v>
      </c>
      <c r="O43" s="154">
        <f>SUM(L43:N43)</f>
        <v/>
      </c>
      <c r="P43" s="154" t="n">
        <v>524.574731</v>
      </c>
      <c r="Q43" s="154" t="n">
        <v>0</v>
      </c>
      <c r="R43" s="501" t="n"/>
      <c r="S43" s="154">
        <f>SUM(P43:R43)</f>
        <v/>
      </c>
      <c r="T43" s="154" t="n">
        <v>0</v>
      </c>
      <c r="U43" s="187">
        <f>SUM(K43+O43+S43+T43)</f>
        <v/>
      </c>
      <c r="V43" s="232">
        <f>K43/(F43/((YEAR(E43)*12+MONTH(E43))-(YEAR(D43)*12+MONTH(D43))+1))</f>
        <v/>
      </c>
      <c r="W43" s="232">
        <f>G43/F43</f>
        <v/>
      </c>
      <c r="X43" s="617">
        <f>F43-G43</f>
        <v/>
      </c>
      <c r="Y43" s="607" t="n"/>
      <c r="Z43" s="501" t="n"/>
      <c r="AA43" s="612" t="n"/>
    </row>
    <row r="44" ht="14.25" customFormat="1" customHeight="1" s="483">
      <c r="A44" s="577" t="inlineStr">
        <is>
          <t>合计</t>
        </is>
      </c>
      <c r="B44" s="518" t="n"/>
      <c r="C44" s="518" t="n"/>
      <c r="D44" s="518" t="n"/>
      <c r="E44" s="578" t="n"/>
      <c r="F44" s="238">
        <f>SUM(F42:F43)</f>
        <v/>
      </c>
      <c r="G44" s="621">
        <f>SUM(G42:G43)</f>
        <v/>
      </c>
      <c r="H44" s="538">
        <f>SUM(H42:H43)</f>
        <v/>
      </c>
      <c r="I44" s="538">
        <f>SUM(I42:I43)</f>
        <v/>
      </c>
      <c r="J44" s="538">
        <f>SUM(J42:J43)</f>
        <v/>
      </c>
      <c r="K44" s="538">
        <f>SUM(K42:K43)</f>
        <v/>
      </c>
      <c r="L44" s="538">
        <f>SUM(L42:L43)</f>
        <v/>
      </c>
      <c r="M44" s="538">
        <f>SUM(M42:M43)</f>
        <v/>
      </c>
      <c r="N44" s="538">
        <f>SUM(N42:N43)</f>
        <v/>
      </c>
      <c r="O44" s="538">
        <f>SUM(O42:O43)</f>
        <v/>
      </c>
      <c r="P44" s="621">
        <f>SUM(P42:P43)</f>
        <v/>
      </c>
      <c r="Q44" s="621">
        <f>SUM(Q42:Q43)</f>
        <v/>
      </c>
      <c r="R44" s="621">
        <f>SUM(R42:R43)</f>
        <v/>
      </c>
      <c r="S44" s="621">
        <f>SUM(S42:S43)</f>
        <v/>
      </c>
      <c r="T44" s="621">
        <f>SUM(T42:T43)</f>
        <v/>
      </c>
      <c r="U44" s="580">
        <f>SUM(K44+O44+S44+T44)</f>
        <v/>
      </c>
      <c r="V44" s="239">
        <f>K44/(F44/((YEAR(E42)*12+MONTH(E42))-(YEAR(D42)*12+MONTH(D42))+1))</f>
        <v/>
      </c>
      <c r="W44" s="240">
        <f>G44/F44</f>
        <v/>
      </c>
      <c r="X44" s="621">
        <f>F44-G44</f>
        <v/>
      </c>
      <c r="Y44" s="241">
        <f>Y42</f>
        <v/>
      </c>
      <c r="Z44" s="242">
        <f>U44/Y42</f>
        <v/>
      </c>
      <c r="AA44" s="658">
        <f>Y42-U44</f>
        <v/>
      </c>
    </row>
    <row r="45" ht="14.1" customFormat="1" customHeight="1" s="483">
      <c r="A45" s="589" t="inlineStr">
        <is>
          <t>理财师004</t>
        </is>
      </c>
      <c r="B45" s="584" t="inlineStr">
        <is>
          <t>理财师003</t>
        </is>
      </c>
      <c r="C45" s="584" t="inlineStr">
        <is>
          <t>私人财富管理资深顾问PWA2-3</t>
        </is>
      </c>
      <c r="D45" s="638" t="n">
        <v>46054</v>
      </c>
      <c r="E45" s="638" t="n">
        <v>46203</v>
      </c>
      <c r="F45" s="116" t="n">
        <v>18856.5</v>
      </c>
      <c r="G45" s="586" t="n">
        <v>7160.907542</v>
      </c>
      <c r="H45" s="589" t="n">
        <v>552.2729430000001</v>
      </c>
      <c r="I45" s="589" t="n">
        <v>0</v>
      </c>
      <c r="J45" s="589" t="n">
        <v>0</v>
      </c>
      <c r="K45" s="589">
        <f>SUM(H45:J45)</f>
        <v/>
      </c>
      <c r="L45" s="589" t="n">
        <v>1550.383391</v>
      </c>
      <c r="M45" s="589" t="n">
        <v>0</v>
      </c>
      <c r="N45" s="589" t="n">
        <v>2273.498356</v>
      </c>
      <c r="O45" s="589">
        <f>SUM(L45:N45)</f>
        <v/>
      </c>
      <c r="P45" s="118" t="n">
        <v>1396.194268</v>
      </c>
      <c r="Q45" s="118" t="n">
        <v>0</v>
      </c>
      <c r="R45" s="118" t="n">
        <v>1388.558583</v>
      </c>
      <c r="S45" s="118">
        <f>SUM(P45:R45)</f>
        <v/>
      </c>
      <c r="T45" s="118" t="n">
        <v>7202.586607</v>
      </c>
      <c r="U45" s="187">
        <f>SUM(K45+O45+S45+T45)</f>
        <v/>
      </c>
      <c r="V45" s="122">
        <f>K45/(F45/((YEAR(E45)*12+MONTH(E45))-(YEAR(D45)*12+MONTH(D45))+1))</f>
        <v/>
      </c>
      <c r="W45" s="122">
        <f>G45/F45</f>
        <v/>
      </c>
      <c r="X45" s="587">
        <f>F45-G45</f>
        <v/>
      </c>
      <c r="Y45" s="244" t="n">
        <v>125710</v>
      </c>
      <c r="Z45" s="171">
        <f>Z49</f>
        <v/>
      </c>
      <c r="AA45" s="659">
        <f>AA49</f>
        <v/>
      </c>
    </row>
    <row r="46" ht="14.1" customFormat="1" customHeight="1" s="483">
      <c r="A46" s="500" t="n"/>
      <c r="B46" s="563" t="inlineStr">
        <is>
          <t>理财师006</t>
        </is>
      </c>
      <c r="C46" s="563" t="inlineStr">
        <is>
          <t>私人财富管理专家PWA4-5</t>
        </is>
      </c>
      <c r="D46" s="636" t="n">
        <v>46023</v>
      </c>
      <c r="E46" s="636" t="n">
        <v>46203</v>
      </c>
      <c r="F46" s="83" t="n">
        <v>17235</v>
      </c>
      <c r="G46" s="565" t="n">
        <v>11973.200226</v>
      </c>
      <c r="H46" s="85" t="n">
        <v>1365.270404</v>
      </c>
      <c r="I46" s="85" t="n">
        <v>0</v>
      </c>
      <c r="J46" s="85" t="n">
        <v>0</v>
      </c>
      <c r="K46" s="85">
        <f>SUM(H46:J46)</f>
        <v/>
      </c>
      <c r="L46" s="85" t="n">
        <v>2747.788321</v>
      </c>
      <c r="M46" s="85" t="n">
        <v>0</v>
      </c>
      <c r="N46" s="85" t="n">
        <v>610.841506</v>
      </c>
      <c r="O46" s="85">
        <f>SUM(L46:N46)</f>
        <v/>
      </c>
      <c r="P46" s="85" t="n">
        <v>1566.390968</v>
      </c>
      <c r="Q46" s="85" t="n">
        <v>1037.679365</v>
      </c>
      <c r="R46" s="500" t="n"/>
      <c r="S46" s="118">
        <f>SUM(P46:R46)</f>
        <v/>
      </c>
      <c r="T46" s="118" t="n">
        <v>4333.574839</v>
      </c>
      <c r="U46" s="187">
        <f>SUM(K46+O46+S46+T46)</f>
        <v/>
      </c>
      <c r="V46" s="91">
        <f>K46/(F46/((YEAR(E46)*12+MONTH(E46))-(YEAR(D46)*12+MONTH(D46))+1))</f>
        <v/>
      </c>
      <c r="W46" s="91">
        <f>G46/F46</f>
        <v/>
      </c>
      <c r="X46" s="567">
        <f>F46-G46</f>
        <v/>
      </c>
      <c r="Y46" s="626" t="n"/>
      <c r="Z46" s="500" t="n"/>
      <c r="AA46" s="627" t="n"/>
    </row>
    <row r="47" ht="14.1" customFormat="1" customHeight="1" s="483">
      <c r="A47" s="500" t="n"/>
      <c r="B47" s="563" t="inlineStr">
        <is>
          <t>理财师012</t>
        </is>
      </c>
      <c r="C47" s="563" t="inlineStr">
        <is>
          <t>首席私人财富管理专家PWA5-3</t>
        </is>
      </c>
      <c r="D47" s="636" t="n">
        <v>46023</v>
      </c>
      <c r="E47" s="636" t="n">
        <v>46203</v>
      </c>
      <c r="F47" s="83" t="n">
        <v>51394.5</v>
      </c>
      <c r="G47" s="586" t="n">
        <v>17342.830073</v>
      </c>
      <c r="H47" s="85" t="n">
        <v>888.343654</v>
      </c>
      <c r="I47" s="85" t="n">
        <v>0</v>
      </c>
      <c r="J47" s="85" t="n">
        <v>0</v>
      </c>
      <c r="K47" s="85">
        <f>SUM(H47:J47)</f>
        <v/>
      </c>
      <c r="L47" s="85" t="n">
        <v>3160.387028</v>
      </c>
      <c r="M47" s="85" t="n">
        <v>0</v>
      </c>
      <c r="N47" s="85" t="n">
        <v>3880.484178</v>
      </c>
      <c r="O47" s="85">
        <f>SUM(L47:N47)</f>
        <v/>
      </c>
      <c r="P47" s="85" t="n">
        <v>3065.24731</v>
      </c>
      <c r="Q47" s="85" t="n">
        <v>0</v>
      </c>
      <c r="R47" s="500" t="n"/>
      <c r="S47" s="85">
        <f>SUM(P47:R47)</f>
        <v/>
      </c>
      <c r="T47" s="85" t="n">
        <v>4881.758761</v>
      </c>
      <c r="U47" s="187">
        <f>SUM(K47+O47+S47+T47)</f>
        <v/>
      </c>
      <c r="V47" s="91">
        <f>K47/(F47/((YEAR(E47)*12+MONTH(E47))-(YEAR(D47)*12+MONTH(D47))+1))</f>
        <v/>
      </c>
      <c r="W47" s="91">
        <f>G47/F47</f>
        <v/>
      </c>
      <c r="X47" s="567">
        <f>F47-G47</f>
        <v/>
      </c>
      <c r="Y47" s="626" t="n"/>
      <c r="Z47" s="500" t="n"/>
      <c r="AA47" s="627" t="n"/>
    </row>
    <row r="48" ht="15" customFormat="1" customHeight="1" s="483">
      <c r="A48" s="513" t="n"/>
      <c r="B48" s="572" t="inlineStr">
        <is>
          <t>理财师004</t>
        </is>
      </c>
      <c r="C48" s="572" t="inlineStr"/>
      <c r="D48" s="572" t="inlineStr"/>
      <c r="E48" s="572" t="inlineStr"/>
      <c r="F48" s="98" t="inlineStr"/>
      <c r="G48" s="574" t="n">
        <v>0</v>
      </c>
      <c r="H48" s="100" t="n">
        <v>284.233472</v>
      </c>
      <c r="I48" s="100" t="n">
        <v>0</v>
      </c>
      <c r="J48" s="100" t="n">
        <v>0</v>
      </c>
      <c r="K48" s="100">
        <f>SUM(H48:J48)</f>
        <v/>
      </c>
      <c r="L48" s="100" t="n">
        <v>1958.298381</v>
      </c>
      <c r="M48" s="100" t="n">
        <v>0</v>
      </c>
      <c r="N48" s="100" t="n">
        <v>668.610552</v>
      </c>
      <c r="O48" s="100">
        <f>SUM(L48:N48)</f>
        <v/>
      </c>
      <c r="P48" s="100" t="n">
        <v>2837.047697</v>
      </c>
      <c r="Q48" s="100" t="n">
        <v>0</v>
      </c>
      <c r="R48" s="501" t="n"/>
      <c r="S48" s="100">
        <f>SUM(P48:R48)</f>
        <v/>
      </c>
      <c r="T48" s="100" t="n">
        <v>2545.018293</v>
      </c>
      <c r="U48" s="187">
        <f>SUM(K48+O48+S48+T48)</f>
        <v/>
      </c>
      <c r="V48" s="103" t="inlineStr"/>
      <c r="W48" s="205">
        <f>G48/F48</f>
        <v/>
      </c>
      <c r="X48" s="576">
        <f>F48-G48</f>
        <v/>
      </c>
      <c r="Y48" s="628" t="n"/>
      <c r="Z48" s="513" t="n"/>
      <c r="AA48" s="629" t="n"/>
    </row>
    <row r="49" ht="14.25" customFormat="1" customHeight="1" s="483">
      <c r="A49" s="577" t="inlineStr">
        <is>
          <t>合计</t>
        </is>
      </c>
      <c r="B49" s="518" t="n"/>
      <c r="C49" s="518" t="n"/>
      <c r="D49" s="518" t="n"/>
      <c r="E49" s="578" t="n"/>
      <c r="F49" s="219">
        <f>SUM(F45:F48)</f>
        <v/>
      </c>
      <c r="G49" s="590">
        <f>SUM(G45:G48)</f>
        <v/>
      </c>
      <c r="H49" s="591">
        <f>SUM(H45:H48)</f>
        <v/>
      </c>
      <c r="I49" s="591">
        <f>SUM(I45:I48)</f>
        <v/>
      </c>
      <c r="J49" s="591">
        <f>SUM(J45:J48)</f>
        <v/>
      </c>
      <c r="K49" s="579">
        <f>SUM(K45:K48)</f>
        <v/>
      </c>
      <c r="L49" s="591">
        <f>SUM(L45:L48)</f>
        <v/>
      </c>
      <c r="M49" s="591">
        <f>SUM(M45:M48)</f>
        <v/>
      </c>
      <c r="N49" s="591">
        <f>SUM(N45:N48)</f>
        <v/>
      </c>
      <c r="O49" s="579">
        <f>SUM(O45:O48)</f>
        <v/>
      </c>
      <c r="P49" s="590">
        <f>SUM(P45:P48)</f>
        <v/>
      </c>
      <c r="Q49" s="590">
        <f>SUM(Q45:Q48)</f>
        <v/>
      </c>
      <c r="R49" s="591">
        <f>SUM(R45:R48)</f>
        <v/>
      </c>
      <c r="S49" s="579">
        <f>SUM(S45:S48)</f>
        <v/>
      </c>
      <c r="T49" s="579">
        <f>SUM(T45:T48)</f>
        <v/>
      </c>
      <c r="U49" s="646">
        <f>SUM(K49+O49+S49+T49)</f>
        <v/>
      </c>
      <c r="V49" s="220">
        <f>K49/(F49/((YEAR(E45)*12+MONTH(E45))-(YEAR(D45)*12+MONTH(D45))+1))</f>
        <v/>
      </c>
      <c r="W49" s="221">
        <f>G49/F49</f>
        <v/>
      </c>
      <c r="X49" s="598">
        <f>F49-G49</f>
        <v/>
      </c>
      <c r="Y49" s="228">
        <f>Y45</f>
        <v/>
      </c>
      <c r="Z49" s="226">
        <f>U49/Y45</f>
        <v/>
      </c>
      <c r="AA49" s="655">
        <f>Y45-U49</f>
        <v/>
      </c>
    </row>
    <row r="50" ht="35.1" customFormat="1" customHeight="1" s="483">
      <c r="A50" s="630" t="inlineStr">
        <is>
          <t>合计</t>
        </is>
      </c>
      <c r="B50" s="518" t="n"/>
      <c r="C50" s="518" t="n"/>
      <c r="D50" s="518" t="n"/>
      <c r="E50" s="578" t="n"/>
      <c r="F50" s="660">
        <f>F10+F16+F22+F27+F31+F35+F38+F41+F44+F49</f>
        <v/>
      </c>
      <c r="G50" s="660">
        <f>G10+G16+G22+G27+G31+G35+G38+G41+G44+G49</f>
        <v/>
      </c>
      <c r="H50" s="660">
        <f>H10+H16+H22+H27+H31+H35+H38+H41+H44+H49</f>
        <v/>
      </c>
      <c r="I50" s="660">
        <f>I10+I16+I22+I27+I31+I35+I38+I41+I44+I49</f>
        <v/>
      </c>
      <c r="J50" s="660">
        <f>J10+J16+J22+J27+J31+J35+J38+J41+J44+J49</f>
        <v/>
      </c>
      <c r="K50" s="661">
        <f>K10+K16+K22+K27+K31+K35+K38+K41+K44+K49</f>
        <v/>
      </c>
      <c r="L50" s="660">
        <f>L10+L16+L22+L27+L31+L35+L38+L41+L44+L49</f>
        <v/>
      </c>
      <c r="M50" s="660">
        <f>M10+M16+M22+M27+M31+M35+M38+M41+M44+M49</f>
        <v/>
      </c>
      <c r="N50" s="660">
        <f>N10+N16+N22+N27+N31+N35+N38+N41+N44+N49</f>
        <v/>
      </c>
      <c r="O50" s="661">
        <f>O10+O16+O22+O27+O31+O35+O38+O41+O44+O49</f>
        <v/>
      </c>
      <c r="P50" s="660">
        <f>P10+P16+P22+P27+P31+P35+P38+P41+P44+P49</f>
        <v/>
      </c>
      <c r="Q50" s="660">
        <f>Q10+Q16+Q22+Q27+Q31+Q35+Q38+Q41+Q44+Q49</f>
        <v/>
      </c>
      <c r="R50" s="660">
        <f>R10+R16+R22+R27+R31+R35+R38+R41+R44+R49</f>
        <v/>
      </c>
      <c r="S50" s="660">
        <f>S10+S16+S22+S27+S31+S35+S38+S41+S44+S49</f>
        <v/>
      </c>
      <c r="T50" s="661">
        <f>T10+T16+T22+T27+T31+T35+T38+T41+T44+T49</f>
        <v/>
      </c>
      <c r="U50" s="662">
        <f>U10+U16+U22+U27+U31+U35+U38+U41+U44+U49</f>
        <v/>
      </c>
      <c r="V50" s="249">
        <f>K50/(F50/((YEAR(E4)*12+MONTH(E4))-(YEAR(D4)*12+MONTH(D4))+1))</f>
        <v/>
      </c>
      <c r="W50" s="250">
        <f>G50/F50</f>
        <v/>
      </c>
      <c r="X50" s="663">
        <f>F50-G50</f>
        <v/>
      </c>
      <c r="Y50" s="663">
        <f>Y10+Y16+Y22+Y27+Y31+Y35+Y38+Y41+Y44+Y49</f>
        <v/>
      </c>
      <c r="Z50" s="252">
        <f>U50/Y50</f>
        <v/>
      </c>
      <c r="AA50" s="663">
        <f>Y50-U50</f>
        <v/>
      </c>
    </row>
    <row r="51" ht="24" customFormat="1" customHeight="1" s="483">
      <c r="X51" s="633" t="inlineStr">
        <is>
          <t>公司目标</t>
        </is>
      </c>
      <c r="Y51" s="633" t="n">
        <v>630987.38</v>
      </c>
      <c r="Z51" s="252">
        <f>IF(Y51&lt;&gt;0,U50/Y51,"")</f>
        <v/>
      </c>
      <c r="AA51" s="663">
        <f>Y51-U50</f>
        <v/>
      </c>
    </row>
  </sheetData>
  <mergeCells count="89">
    <mergeCell ref="Y17:Y21"/>
    <mergeCell ref="A45:A48"/>
    <mergeCell ref="U2:U3"/>
    <mergeCell ref="Z28:Z30"/>
    <mergeCell ref="R17:R21"/>
    <mergeCell ref="Y32:Y34"/>
    <mergeCell ref="A2:A3"/>
    <mergeCell ref="C2:C3"/>
    <mergeCell ref="R42:R43"/>
    <mergeCell ref="E2:E3"/>
    <mergeCell ref="W2:W3"/>
    <mergeCell ref="Z39:Z40"/>
    <mergeCell ref="Z11:Z15"/>
    <mergeCell ref="AA2:AA3"/>
    <mergeCell ref="Y36:Y37"/>
    <mergeCell ref="Z4:Z9"/>
    <mergeCell ref="Y42:Y43"/>
    <mergeCell ref="AA42:AA43"/>
    <mergeCell ref="V2:V3"/>
    <mergeCell ref="X2:X3"/>
    <mergeCell ref="R32:R34"/>
    <mergeCell ref="A49:E49"/>
    <mergeCell ref="Y28:Y30"/>
    <mergeCell ref="A32:A34"/>
    <mergeCell ref="N2:N3"/>
    <mergeCell ref="F2:F3"/>
    <mergeCell ref="P2:P3"/>
    <mergeCell ref="H2:H3"/>
    <mergeCell ref="A1:W1"/>
    <mergeCell ref="AA11:AA15"/>
    <mergeCell ref="AA32:AA34"/>
    <mergeCell ref="R36:R37"/>
    <mergeCell ref="K2:K3"/>
    <mergeCell ref="Z42:Z43"/>
    <mergeCell ref="AA45:AA48"/>
    <mergeCell ref="A23:A26"/>
    <mergeCell ref="AA4:AA9"/>
    <mergeCell ref="O2:O3"/>
    <mergeCell ref="Q2:Q3"/>
    <mergeCell ref="A4:A9"/>
    <mergeCell ref="A38:E38"/>
    <mergeCell ref="A39:A40"/>
    <mergeCell ref="A31:E31"/>
    <mergeCell ref="Y23:Y26"/>
    <mergeCell ref="S2:S3"/>
    <mergeCell ref="AA23:AA26"/>
    <mergeCell ref="A36:A37"/>
    <mergeCell ref="B2:B3"/>
    <mergeCell ref="D2:D3"/>
    <mergeCell ref="A17:A21"/>
    <mergeCell ref="R4:R9"/>
    <mergeCell ref="Y39:Y40"/>
    <mergeCell ref="AA39:AA40"/>
    <mergeCell ref="A16:E16"/>
    <mergeCell ref="A28:A30"/>
    <mergeCell ref="Z2:Z3"/>
    <mergeCell ref="AA36:AA37"/>
    <mergeCell ref="T2:T3"/>
    <mergeCell ref="AA17:AA21"/>
    <mergeCell ref="AA28:AA30"/>
    <mergeCell ref="A50:E50"/>
    <mergeCell ref="A11:A15"/>
    <mergeCell ref="R28:R30"/>
    <mergeCell ref="A22:E22"/>
    <mergeCell ref="Y45:Y48"/>
    <mergeCell ref="Y11:Y15"/>
    <mergeCell ref="A44:E44"/>
    <mergeCell ref="G2:G3"/>
    <mergeCell ref="I2:I3"/>
    <mergeCell ref="R39:R40"/>
    <mergeCell ref="Z36:Z37"/>
    <mergeCell ref="R23:R26"/>
    <mergeCell ref="Y4:Y9"/>
    <mergeCell ref="Z17:Z21"/>
    <mergeCell ref="M2:M3"/>
    <mergeCell ref="Z45:Z48"/>
    <mergeCell ref="Y2:Y3"/>
    <mergeCell ref="A41:E41"/>
    <mergeCell ref="R45:R48"/>
    <mergeCell ref="A27:E27"/>
    <mergeCell ref="Z23:Z26"/>
    <mergeCell ref="A42:A43"/>
    <mergeCell ref="R11:R15"/>
    <mergeCell ref="Z32:Z34"/>
    <mergeCell ref="R2:R3"/>
    <mergeCell ref="J2:J3"/>
    <mergeCell ref="L2:L3"/>
    <mergeCell ref="A35:E35"/>
    <mergeCell ref="A10:E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width="9" customWidth="1" style="533" min="24" max="36"/>
  </cols>
  <sheetData>
    <row r="1" ht="20.25" customFormat="1" customHeight="1" s="483">
      <c r="A1" s="754" t="inlineStr">
        <is>
          <t>私人财富管理部折标销售进度表-截止20260508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552" t="inlineStr">
        <is>
          <t>上半年时间进度</t>
        </is>
      </c>
      <c r="AE1" s="70">
        <f>AF7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传统202605</t>
        </is>
      </c>
      <c r="I2" s="541" t="inlineStr">
        <is>
          <t>保险202605</t>
        </is>
      </c>
      <c r="J2" s="541" t="inlineStr">
        <is>
          <t>管理费202605</t>
        </is>
      </c>
      <c r="K2" s="669" t="inlineStr">
        <is>
          <t>2026年
5月折标</t>
        </is>
      </c>
      <c r="L2" s="541" t="inlineStr">
        <is>
          <t>传统202604</t>
        </is>
      </c>
      <c r="M2" s="541" t="inlineStr">
        <is>
          <t>保险202604</t>
        </is>
      </c>
      <c r="N2" s="541" t="inlineStr">
        <is>
          <t>管理费202604</t>
        </is>
      </c>
      <c r="O2" s="669" t="inlineStr">
        <is>
          <t>2026年
4月折标</t>
        </is>
      </c>
      <c r="P2" s="541" t="inlineStr">
        <is>
          <t>传统202603</t>
        </is>
      </c>
      <c r="Q2" s="541" t="inlineStr">
        <is>
          <t>保险202603</t>
        </is>
      </c>
      <c r="R2" s="541" t="inlineStr">
        <is>
          <t>管理费202603</t>
        </is>
      </c>
      <c r="S2" s="669" t="inlineStr">
        <is>
          <t>2026年
3月折标</t>
        </is>
      </c>
      <c r="T2" s="541" t="inlineStr">
        <is>
          <t>传统202602</t>
        </is>
      </c>
      <c r="U2" s="541" t="inlineStr">
        <is>
          <t>保险202602</t>
        </is>
      </c>
      <c r="V2" s="541" t="inlineStr">
        <is>
          <t>管理费202602</t>
        </is>
      </c>
      <c r="W2" s="669" t="inlineStr">
        <is>
          <t>2026年
2月折标</t>
        </is>
      </c>
      <c r="X2" s="669" t="inlineStr">
        <is>
          <t>2026年
1月折标</t>
        </is>
      </c>
      <c r="Y2" s="670" t="inlineStr">
        <is>
          <t>2026年YTD折标</t>
        </is>
      </c>
      <c r="Z2" s="671" t="inlineStr">
        <is>
          <t>月度
完成率</t>
        </is>
      </c>
      <c r="AA2" s="666" t="inlineStr">
        <is>
          <t>考核期完成率（累计）</t>
        </is>
      </c>
      <c r="AB2" s="560" t="inlineStr">
        <is>
          <t>考核期差距</t>
        </is>
      </c>
      <c r="AC2" s="561" t="inlineStr">
        <is>
          <t>财富中心
上半年年任务</t>
        </is>
      </c>
      <c r="AD2" s="79" t="inlineStr">
        <is>
          <t>财富中心
上半年任务完成率</t>
        </is>
      </c>
      <c r="AE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</row>
    <row r="4" ht="14.25" customFormat="1" customHeight="1" s="483">
      <c r="A4" s="635" t="inlineStr">
        <is>
          <t>理财师018</t>
        </is>
      </c>
      <c r="B4" s="608" t="inlineStr">
        <is>
          <t>理财师017</t>
        </is>
      </c>
      <c r="C4" s="608" t="inlineStr">
        <is>
          <t>私人财富管理总监PWA3-1</t>
        </is>
      </c>
      <c r="D4" s="645" t="n">
        <v>45992</v>
      </c>
      <c r="E4" s="645" t="n">
        <v>46203</v>
      </c>
      <c r="F4" s="153" t="n">
        <v>21880.7424</v>
      </c>
      <c r="G4" s="674" t="n">
        <v>15278.506322</v>
      </c>
      <c r="H4" s="154" t="n">
        <v>0</v>
      </c>
      <c r="I4" s="154" t="n">
        <v>0</v>
      </c>
      <c r="J4" s="154" t="n">
        <v>0</v>
      </c>
      <c r="K4" s="267">
        <f>SUM(H4:J4)</f>
        <v/>
      </c>
      <c r="L4" s="154" t="n">
        <v>249.800095</v>
      </c>
      <c r="M4" s="154" t="n">
        <v>5040.9216</v>
      </c>
      <c r="N4" s="154" t="n">
        <v>0</v>
      </c>
      <c r="O4" s="267">
        <f>SUM(L4:N4)</f>
        <v/>
      </c>
      <c r="P4" s="154" t="n">
        <v>1613.445926</v>
      </c>
      <c r="Q4" s="154" t="n">
        <v>0</v>
      </c>
      <c r="R4" s="154" t="n">
        <v>488.407071</v>
      </c>
      <c r="S4" s="267">
        <f>SUM(P4:R4)</f>
        <v/>
      </c>
      <c r="T4" s="154" t="n">
        <v>454.800547</v>
      </c>
      <c r="U4" s="154" t="n">
        <v>0</v>
      </c>
      <c r="V4" s="154" t="n">
        <v>289.117436</v>
      </c>
      <c r="W4" s="267">
        <f>SUM(T4:V4)</f>
        <v/>
      </c>
      <c r="X4" s="267" t="n">
        <v>3311.566531</v>
      </c>
      <c r="Y4" s="267">
        <f>SUM(K4+O4+S4+W4+X4)</f>
        <v/>
      </c>
      <c r="Z4" s="232">
        <f>IF(F4=0,"",K4/(F4/((YEAR(E4)*12+MONTH(E4))-(YEAR(D4)*12+MONTH(D4))+1)))</f>
        <v/>
      </c>
      <c r="AA4" s="232">
        <f>G4/F4</f>
        <v/>
      </c>
      <c r="AB4" s="617">
        <f>F4-G4</f>
        <v/>
      </c>
      <c r="AC4" s="268">
        <f>SUM(F4:F8)</f>
        <v/>
      </c>
      <c r="AD4" s="232">
        <f>AD9</f>
        <v/>
      </c>
      <c r="AE4" s="675">
        <f>AE9</f>
        <v/>
      </c>
      <c r="AH4" s="570" t="inlineStr">
        <is>
          <t>开始日期</t>
        </is>
      </c>
      <c r="AI4" s="570" t="inlineStr">
        <is>
          <t>结束日期</t>
        </is>
      </c>
      <c r="AJ4" s="570" t="inlineStr"/>
    </row>
    <row r="5" ht="14.25" customFormat="1" customHeight="1" s="483">
      <c r="A5" s="500" t="n"/>
      <c r="B5" s="563" t="inlineStr">
        <is>
          <t>理财师018</t>
        </is>
      </c>
      <c r="C5" s="563" t="inlineStr">
        <is>
          <t>首席私人财富管理专家PWA5-1</t>
        </is>
      </c>
      <c r="D5" s="676" t="n">
        <v>45962</v>
      </c>
      <c r="E5" s="676" t="n">
        <v>46173</v>
      </c>
      <c r="F5" s="83" t="n">
        <v>54394.9714</v>
      </c>
      <c r="G5" s="565" t="n">
        <v>40821.3235</v>
      </c>
      <c r="H5" s="85" t="n">
        <v>0</v>
      </c>
      <c r="I5" s="85" t="n">
        <v>0</v>
      </c>
      <c r="J5" s="85" t="n">
        <v>0</v>
      </c>
      <c r="K5" s="271">
        <f>SUM(H5:J5)</f>
        <v/>
      </c>
      <c r="L5" s="85" t="n">
        <v>3787.29351</v>
      </c>
      <c r="M5" s="85" t="n">
        <v>0</v>
      </c>
      <c r="N5" s="85" t="n">
        <v>0</v>
      </c>
      <c r="O5" s="271">
        <f>SUM(L5:N5)</f>
        <v/>
      </c>
      <c r="P5" s="85" t="n">
        <v>1444.66245</v>
      </c>
      <c r="Q5" s="85" t="n">
        <v>0</v>
      </c>
      <c r="R5" s="85" t="n">
        <v>1063.763858</v>
      </c>
      <c r="S5" s="271">
        <f>SUM(P5:R5)</f>
        <v/>
      </c>
      <c r="T5" s="85" t="n">
        <v>9688.821542</v>
      </c>
      <c r="U5" s="85" t="n">
        <v>0</v>
      </c>
      <c r="V5" s="677" t="n">
        <v>606.6776630000001</v>
      </c>
      <c r="W5" s="271">
        <f>SUM(T5:V5)</f>
        <v/>
      </c>
      <c r="X5" s="271" t="n">
        <v>13116.995922</v>
      </c>
      <c r="Y5" s="271">
        <f>SUM(K5+O5+S5+W5+X5)</f>
        <v/>
      </c>
      <c r="Z5" s="273">
        <f>IF(F5=0,"",K5/(F5/((YEAR(E5)*12+MONTH(E5))-(YEAR(D5)*12+MONTH(D5))+1)))</f>
        <v/>
      </c>
      <c r="AA5" s="273">
        <f>G5/F5</f>
        <v/>
      </c>
      <c r="AB5" s="678">
        <f>F5-G5</f>
        <v/>
      </c>
      <c r="AC5" s="500" t="n"/>
      <c r="AD5" s="500" t="n"/>
      <c r="AE5" s="500" t="n"/>
      <c r="AH5" s="94" t="n">
        <v>46023</v>
      </c>
      <c r="AI5" s="94" t="n">
        <v>46203</v>
      </c>
      <c r="AJ5" s="570" t="inlineStr"/>
    </row>
    <row r="6" ht="14.25" customFormat="1" customHeight="1" s="483">
      <c r="A6" s="500" t="n"/>
      <c r="B6" s="563" t="inlineStr">
        <is>
          <t>理财师019</t>
        </is>
      </c>
      <c r="C6" s="563" t="inlineStr">
        <is>
          <t>私人财富管理资深顾问PWA2-4</t>
        </is>
      </c>
      <c r="D6" s="676" t="n">
        <v>46023</v>
      </c>
      <c r="E6" s="676" t="n">
        <v>46203</v>
      </c>
      <c r="F6" s="83" t="n">
        <v>9930.76</v>
      </c>
      <c r="G6" s="565" t="n">
        <v>3435.583851</v>
      </c>
      <c r="H6" s="85" t="n">
        <v>0</v>
      </c>
      <c r="I6" s="85" t="n">
        <v>0</v>
      </c>
      <c r="J6" s="85" t="n">
        <v>0</v>
      </c>
      <c r="K6" s="271">
        <f>SUM(H6:J6)</f>
        <v/>
      </c>
      <c r="L6" s="85" t="n">
        <v>133.5516</v>
      </c>
      <c r="M6" s="85" t="n">
        <v>0</v>
      </c>
      <c r="N6" s="85" t="n">
        <v>0</v>
      </c>
      <c r="O6" s="271">
        <f>SUM(L6:N6)</f>
        <v/>
      </c>
      <c r="P6" s="85" t="n">
        <v>500.150742</v>
      </c>
      <c r="Q6" s="85" t="n">
        <v>0</v>
      </c>
      <c r="R6" s="85" t="n">
        <v>157.397938</v>
      </c>
      <c r="S6" s="271">
        <f>SUM(P6:R6)</f>
        <v/>
      </c>
      <c r="T6" s="85" t="n">
        <v>267.1032</v>
      </c>
      <c r="U6" s="85" t="n">
        <v>0</v>
      </c>
      <c r="V6" s="677" t="n">
        <v>25.494675</v>
      </c>
      <c r="W6" s="271">
        <f>SUM(T6:V6)</f>
        <v/>
      </c>
      <c r="X6" s="271" t="n">
        <v>2351.885696</v>
      </c>
      <c r="Y6" s="271">
        <f>SUM(K6+O6+S6+W6+X6)</f>
        <v/>
      </c>
      <c r="Z6" s="273">
        <f>IF(F6=0,"",K6/(F6/((YEAR(E6)*12+MONTH(E6))-(YEAR(D6)*12+MONTH(D6))+1)))</f>
        <v/>
      </c>
      <c r="AA6" s="273">
        <f>G6/F6</f>
        <v/>
      </c>
      <c r="AB6" s="678">
        <f>F6-G6</f>
        <v/>
      </c>
      <c r="AC6" s="500" t="n"/>
      <c r="AD6" s="500" t="n"/>
      <c r="AE6" s="500" t="n"/>
      <c r="AH6" s="570" t="inlineStr">
        <is>
          <t>计算日期</t>
        </is>
      </c>
      <c r="AI6" s="570">
        <f>W5-V5</f>
        <v/>
      </c>
      <c r="AJ6" s="570" t="inlineStr">
        <is>
          <t>时间进度</t>
        </is>
      </c>
    </row>
    <row r="7" ht="14.25" customFormat="1" customHeight="1" s="483">
      <c r="A7" s="500" t="n"/>
      <c r="B7" s="563" t="inlineStr">
        <is>
          <t>理财师021</t>
        </is>
      </c>
      <c r="C7" s="563" t="inlineStr">
        <is>
          <t>私人财富管理总监PWA3-2</t>
        </is>
      </c>
      <c r="D7" s="676" t="n">
        <v>46023</v>
      </c>
      <c r="E7" s="676" t="n">
        <v>46203</v>
      </c>
      <c r="F7" s="83" t="n">
        <v>11829.32</v>
      </c>
      <c r="G7" s="565" t="n">
        <v>18554.855012</v>
      </c>
      <c r="H7" s="85" t="n">
        <v>0</v>
      </c>
      <c r="I7" s="85" t="n">
        <v>0</v>
      </c>
      <c r="J7" s="85" t="n">
        <v>0</v>
      </c>
      <c r="K7" s="271">
        <f>SUM(H7:J7)</f>
        <v/>
      </c>
      <c r="L7" s="85" t="n">
        <v>2573.204374</v>
      </c>
      <c r="M7" s="85" t="n">
        <v>0</v>
      </c>
      <c r="N7" s="85" t="n">
        <v>0</v>
      </c>
      <c r="O7" s="271">
        <f>SUM(L7:N7)</f>
        <v/>
      </c>
      <c r="P7" s="85" t="n">
        <v>8704.796721000001</v>
      </c>
      <c r="Q7" s="85" t="n">
        <v>0</v>
      </c>
      <c r="R7" s="85" t="n">
        <v>1242.252932</v>
      </c>
      <c r="S7" s="271">
        <f>SUM(P7:R7)</f>
        <v/>
      </c>
      <c r="T7" s="85" t="n">
        <v>1402.304143</v>
      </c>
      <c r="U7" s="85" t="n">
        <v>742.65048</v>
      </c>
      <c r="V7" s="677" t="n">
        <v>430.381249</v>
      </c>
      <c r="W7" s="271">
        <f>SUM(T7:V7)</f>
        <v/>
      </c>
      <c r="X7" s="271" t="n">
        <v>3459.265113</v>
      </c>
      <c r="Y7" s="271">
        <f>SUM(K7+O7+S7+W7+X7)</f>
        <v/>
      </c>
      <c r="Z7" s="273">
        <f>IF(F7=0,"",K7/(F7/((YEAR(E7)*12+MONTH(E7))-(YEAR(D7)*12+MONTH(D7))+1)))</f>
        <v/>
      </c>
      <c r="AA7" s="273">
        <f>G7/F7</f>
        <v/>
      </c>
      <c r="AB7" s="678">
        <f>F7-G7</f>
        <v/>
      </c>
      <c r="AC7" s="500" t="n"/>
      <c r="AD7" s="500" t="n"/>
      <c r="AE7" s="500" t="n"/>
      <c r="AH7" s="679" t="n">
        <v>46150</v>
      </c>
      <c r="AI7" s="204">
        <f>AI5-AH5+1</f>
        <v/>
      </c>
      <c r="AJ7" s="70">
        <f>(AH7-AH5+1)/AI7</f>
        <v/>
      </c>
    </row>
    <row r="8" ht="14.25" customFormat="1" customHeight="1" s="483">
      <c r="A8" s="513" t="n"/>
      <c r="B8" s="563" t="inlineStr">
        <is>
          <t>理财师025</t>
        </is>
      </c>
      <c r="C8" s="563" t="inlineStr">
        <is>
          <t>私人财富管理专家PWA4-5</t>
        </is>
      </c>
      <c r="D8" s="676" t="n">
        <v>45916</v>
      </c>
      <c r="E8" s="676" t="n">
        <v>46096</v>
      </c>
      <c r="F8" s="83" t="n">
        <v>31752</v>
      </c>
      <c r="G8" s="565" t="n">
        <v>23664.438388</v>
      </c>
      <c r="H8" s="85" t="n">
        <v>0</v>
      </c>
      <c r="I8" s="85" t="n">
        <v>0</v>
      </c>
      <c r="J8" s="85" t="n">
        <v>0</v>
      </c>
      <c r="K8" s="271">
        <f>SUM(H8:J8)</f>
        <v/>
      </c>
      <c r="L8" s="85" t="n">
        <v>0</v>
      </c>
      <c r="M8" s="85" t="n">
        <v>2724.3216</v>
      </c>
      <c r="N8" s="85" t="n">
        <v>0</v>
      </c>
      <c r="O8" s="271">
        <f>SUM(L8:N8)</f>
        <v/>
      </c>
      <c r="P8" s="85" t="n">
        <v>0</v>
      </c>
      <c r="Q8" s="85" t="n">
        <v>22785.2352</v>
      </c>
      <c r="R8" s="85" t="n">
        <v>13.774172</v>
      </c>
      <c r="S8" s="271">
        <f>SUM(P8:R8)</f>
        <v/>
      </c>
      <c r="T8" s="85" t="n">
        <v>41.2776</v>
      </c>
      <c r="U8" s="85" t="n">
        <v>0</v>
      </c>
      <c r="V8" s="677" t="n">
        <v>18.646322</v>
      </c>
      <c r="W8" s="271">
        <f>SUM(T8:V8)</f>
        <v/>
      </c>
      <c r="X8" s="271" t="n">
        <v>683.02396</v>
      </c>
      <c r="Y8" s="271">
        <f>SUM(K8+O8+S8+W8+X8)</f>
        <v/>
      </c>
      <c r="Z8" s="273">
        <f>IF(F8=0,"",K8/(F8/((YEAR(E8)*12+MONTH(E8))-(YEAR(D8)*12+MONTH(D8))+1)))</f>
        <v/>
      </c>
      <c r="AA8" s="273">
        <f>G8/F8</f>
        <v/>
      </c>
      <c r="AB8" s="678">
        <f>F8-G8</f>
        <v/>
      </c>
      <c r="AC8" s="513" t="n"/>
      <c r="AD8" s="513" t="n"/>
      <c r="AE8" s="513" t="n"/>
      <c r="AH8" s="570" t="inlineStr"/>
      <c r="AI8" s="570" t="inlineStr"/>
      <c r="AJ8" s="570" t="inlineStr"/>
    </row>
    <row r="9" ht="14.25" customFormat="1" customHeight="1" s="483">
      <c r="A9" s="577" t="inlineStr">
        <is>
          <t>合计</t>
        </is>
      </c>
      <c r="B9" s="518" t="n"/>
      <c r="C9" s="518" t="n"/>
      <c r="D9" s="518" t="n"/>
      <c r="E9" s="578" t="n"/>
      <c r="F9" s="276">
        <f>SUM(F4:F8)</f>
        <v/>
      </c>
      <c r="G9" s="580">
        <f>SUM(G4:G8)</f>
        <v/>
      </c>
      <c r="H9" s="580">
        <f>SUM(H4:H8)</f>
        <v/>
      </c>
      <c r="I9" s="580">
        <f>SUM(I4:I8)</f>
        <v/>
      </c>
      <c r="J9" s="580">
        <f>SUM(J4:J8)</f>
        <v/>
      </c>
      <c r="K9" s="580">
        <f>SUM(K4:K8)</f>
        <v/>
      </c>
      <c r="L9" s="580">
        <f>SUM(L4:L8)</f>
        <v/>
      </c>
      <c r="M9" s="580">
        <f>SUM(M4:M8)</f>
        <v/>
      </c>
      <c r="N9" s="580">
        <f>SUM(N4:N8)</f>
        <v/>
      </c>
      <c r="O9" s="580">
        <f>SUM(O4:O8)</f>
        <v/>
      </c>
      <c r="P9" s="580">
        <f>SUM(P4:P8)</f>
        <v/>
      </c>
      <c r="Q9" s="580">
        <f>SUM(Q4:Q8)</f>
        <v/>
      </c>
      <c r="R9" s="580">
        <f>SUM(R4:R8)</f>
        <v/>
      </c>
      <c r="S9" s="580">
        <f>SUM(S4:S8)</f>
        <v/>
      </c>
      <c r="T9" s="580">
        <f>SUM(T4:T8)</f>
        <v/>
      </c>
      <c r="U9" s="580">
        <f>SUM(U4:U8)</f>
        <v/>
      </c>
      <c r="V9" s="580">
        <f>SUM(V4:V8)</f>
        <v/>
      </c>
      <c r="W9" s="580">
        <f>SUM(W4:W8)</f>
        <v/>
      </c>
      <c r="X9" s="580">
        <f>SUM(X4:X8)</f>
        <v/>
      </c>
      <c r="Y9" s="580">
        <f>SUM(K9+O9+S9+W9+X9)</f>
        <v/>
      </c>
      <c r="Z9" s="207">
        <f>IF(F9=0,"",K9/(F9/((YEAR(E4)*12+MONTH(E4))-(YEAR(D4)*12+MONTH(D4))+1)))</f>
        <v/>
      </c>
      <c r="AA9" s="207">
        <f>G9/F9</f>
        <v/>
      </c>
      <c r="AB9" s="580">
        <f>F9-G9</f>
        <v/>
      </c>
      <c r="AC9" s="277">
        <f>AC4</f>
        <v/>
      </c>
      <c r="AD9" s="209">
        <f>Y9/AC4</f>
        <v/>
      </c>
      <c r="AE9" s="650">
        <f>AC4-Y9</f>
        <v/>
      </c>
      <c r="AH9" s="264" t="n">
        <v>46136</v>
      </c>
      <c r="AJ9" s="265">
        <f>(AD10-DATE(YEAR(AD10),1,1)+1)/AE9</f>
        <v/>
      </c>
    </row>
    <row r="10" ht="14.25" customFormat="1" customHeight="1" s="483">
      <c r="A10" s="680" t="inlineStr">
        <is>
          <t>理财师014</t>
        </is>
      </c>
      <c r="B10" s="608" t="inlineStr">
        <is>
          <t>理财师013</t>
        </is>
      </c>
      <c r="C10" s="608" t="inlineStr">
        <is>
          <t>私人财富管理总监PWA3-5</t>
        </is>
      </c>
      <c r="D10" s="645" t="n">
        <v>46023</v>
      </c>
      <c r="E10" s="645" t="n">
        <v>46203</v>
      </c>
      <c r="F10" s="153" t="n">
        <v>24619.48</v>
      </c>
      <c r="G10" s="674" t="n">
        <v>15749.831484</v>
      </c>
      <c r="H10" s="680" t="n">
        <v>0</v>
      </c>
      <c r="I10" s="680" t="n">
        <v>0</v>
      </c>
      <c r="J10" s="680" t="n">
        <v>0</v>
      </c>
      <c r="K10" s="680">
        <f>SUM(H10:J10)</f>
        <v/>
      </c>
      <c r="L10" s="680" t="n">
        <v>5719.894428</v>
      </c>
      <c r="M10" s="680" t="n">
        <v>0</v>
      </c>
      <c r="N10" s="680" t="n">
        <v>0</v>
      </c>
      <c r="O10" s="680">
        <f>SUM(L10:N10)</f>
        <v/>
      </c>
      <c r="P10" s="680" t="n">
        <v>2659.960961</v>
      </c>
      <c r="Q10" s="680" t="n">
        <v>0</v>
      </c>
      <c r="R10" s="680" t="n">
        <v>743.622962</v>
      </c>
      <c r="S10" s="680">
        <f>SUM(P10:R10)</f>
        <v/>
      </c>
      <c r="T10" s="154" t="n">
        <v>0</v>
      </c>
      <c r="U10" s="154" t="n">
        <v>0</v>
      </c>
      <c r="V10" s="154" t="n">
        <v>144.157177</v>
      </c>
      <c r="W10" s="154">
        <f>SUM(T10:V10)</f>
        <v/>
      </c>
      <c r="X10" s="154" t="n">
        <v>6482.195956</v>
      </c>
      <c r="Y10" s="267">
        <f>SUM(K10+O10+S10+W10+X10)</f>
        <v/>
      </c>
      <c r="Z10" s="232">
        <f>IF(F10=0,"",K10/(F10/((YEAR(E10)*12+MONTH(E10))-(YEAR(D10)*12+MONTH(D10))+1)))</f>
        <v/>
      </c>
      <c r="AA10" s="232">
        <f>G10/F10</f>
        <v/>
      </c>
      <c r="AB10" s="617">
        <f>F10-G10</f>
        <v/>
      </c>
      <c r="AC10" s="268">
        <f>SUM(F10:F14)</f>
        <v/>
      </c>
      <c r="AD10" s="232">
        <f>AD15</f>
        <v/>
      </c>
      <c r="AE10" s="681">
        <f>AE15</f>
        <v/>
      </c>
    </row>
    <row r="11" ht="14.25" customFormat="1" customHeight="1" s="483">
      <c r="A11" s="500" t="n"/>
      <c r="B11" s="563" t="inlineStr">
        <is>
          <t>理财师014</t>
        </is>
      </c>
      <c r="C11" s="563" t="inlineStr">
        <is>
          <t>私人财富管理总监PWA3-2</t>
        </is>
      </c>
      <c r="D11" s="676" t="n">
        <v>46023</v>
      </c>
      <c r="E11" s="676" t="n">
        <v>46203</v>
      </c>
      <c r="F11" s="83" t="n">
        <v>9928.559999999999</v>
      </c>
      <c r="G11" s="565" t="n">
        <v>16722.772563</v>
      </c>
      <c r="H11" s="85" t="n">
        <v>0</v>
      </c>
      <c r="I11" s="85" t="n">
        <v>0</v>
      </c>
      <c r="J11" s="85" t="n">
        <v>0</v>
      </c>
      <c r="K11" s="85">
        <f>SUM(H11:J11)</f>
        <v/>
      </c>
      <c r="L11" s="85" t="n">
        <v>2430.748667</v>
      </c>
      <c r="M11" s="85" t="n">
        <v>2443.706261</v>
      </c>
      <c r="N11" s="85" t="n">
        <v>0</v>
      </c>
      <c r="O11" s="85">
        <f>SUM(L11:N11)</f>
        <v/>
      </c>
      <c r="P11" s="85" t="n">
        <v>2574.496213</v>
      </c>
      <c r="Q11" s="85" t="n">
        <v>2927.70165</v>
      </c>
      <c r="R11" s="85" t="n">
        <v>154.748145</v>
      </c>
      <c r="S11" s="85">
        <f>SUM(P11:R11)</f>
        <v/>
      </c>
      <c r="T11" s="85" t="n">
        <v>745.691219</v>
      </c>
      <c r="U11" s="85" t="n">
        <v>2330.36622</v>
      </c>
      <c r="V11" s="677" t="n">
        <v>72.478376</v>
      </c>
      <c r="W11" s="85">
        <f>SUM(T11:V11)</f>
        <v/>
      </c>
      <c r="X11" s="85" t="n">
        <v>3042.835811</v>
      </c>
      <c r="Y11" s="271">
        <f>SUM(K11+O11+S11+W11+X11)</f>
        <v/>
      </c>
      <c r="Z11" s="273">
        <f>IF(F11=0,"",K11/(F11/((YEAR(E11)*12+MONTH(E11))-(YEAR(D11)*12+MONTH(D11))+1)))</f>
        <v/>
      </c>
      <c r="AA11" s="273">
        <f>G11/F11</f>
        <v/>
      </c>
      <c r="AB11" s="678">
        <f>F11-G11</f>
        <v/>
      </c>
      <c r="AC11" s="500" t="n"/>
      <c r="AD11" s="500" t="n"/>
      <c r="AE11" s="500" t="n"/>
    </row>
    <row r="12" ht="14.25" customFormat="1" customHeight="1" s="483">
      <c r="A12" s="500" t="n"/>
      <c r="B12" s="563" t="inlineStr">
        <is>
          <t>理财师022</t>
        </is>
      </c>
      <c r="C12" s="563" t="inlineStr">
        <is>
          <t>私人财富管理总监PWA3-1</t>
        </is>
      </c>
      <c r="D12" s="676" t="n">
        <v>45792</v>
      </c>
      <c r="E12" s="676" t="n">
        <v>45976</v>
      </c>
      <c r="F12" s="83" t="n">
        <v>8248.780000000001</v>
      </c>
      <c r="G12" s="565" t="n">
        <v>0</v>
      </c>
      <c r="H12" s="85" t="n">
        <v>0</v>
      </c>
      <c r="I12" s="85" t="n">
        <v>0</v>
      </c>
      <c r="J12" s="85" t="n">
        <v>0</v>
      </c>
      <c r="K12" s="85">
        <f>SUM(H12:J12)</f>
        <v/>
      </c>
      <c r="L12" s="85" t="n">
        <v>280.185418</v>
      </c>
      <c r="M12" s="85" t="n">
        <v>773.505646</v>
      </c>
      <c r="N12" s="85" t="n">
        <v>0</v>
      </c>
      <c r="O12" s="85">
        <f>SUM(L12:N12)</f>
        <v/>
      </c>
      <c r="P12" s="85" t="n">
        <v>43.4733</v>
      </c>
      <c r="Q12" s="85" t="n">
        <v>0</v>
      </c>
      <c r="R12" s="85" t="n">
        <v>10.334614</v>
      </c>
      <c r="S12" s="85">
        <f>SUM(P12:R12)</f>
        <v/>
      </c>
      <c r="T12" s="85" t="n">
        <v>0</v>
      </c>
      <c r="U12" s="85" t="n">
        <v>0</v>
      </c>
      <c r="V12" s="677" t="n">
        <v>0</v>
      </c>
      <c r="W12" s="85">
        <f>SUM(T12:V12)</f>
        <v/>
      </c>
      <c r="X12" s="85" t="n">
        <v>0</v>
      </c>
      <c r="Y12" s="271">
        <f>SUM(K12+O12+S12+W12+X12)</f>
        <v/>
      </c>
      <c r="Z12" s="273">
        <f>IF(F12=0,"",K12/(F12/((YEAR(E12)*12+MONTH(E12))-(YEAR(D12)*12+MONTH(D12))+1)))</f>
        <v/>
      </c>
      <c r="AA12" s="273">
        <f>G12/F12</f>
        <v/>
      </c>
      <c r="AB12" s="678">
        <f>F12-G12</f>
        <v/>
      </c>
      <c r="AC12" s="500" t="n"/>
      <c r="AD12" s="500" t="n"/>
      <c r="AE12" s="500" t="n"/>
    </row>
    <row r="13" ht="14.25" customFormat="1" customHeight="1" s="483">
      <c r="A13" s="500" t="n"/>
      <c r="B13" s="563" t="inlineStr">
        <is>
          <t>理财师024</t>
        </is>
      </c>
      <c r="C13" s="563" t="inlineStr">
        <is>
          <t>私人财富管理总监PWA3-4</t>
        </is>
      </c>
      <c r="D13" s="676" t="n">
        <v>46054</v>
      </c>
      <c r="E13" s="676" t="n">
        <v>46203</v>
      </c>
      <c r="F13" s="83" t="n">
        <v>17115.15</v>
      </c>
      <c r="G13" s="565" t="n">
        <v>8490.661233999999</v>
      </c>
      <c r="H13" s="85" t="n">
        <v>0</v>
      </c>
      <c r="I13" s="85" t="n">
        <v>0</v>
      </c>
      <c r="J13" s="85" t="n">
        <v>0</v>
      </c>
      <c r="K13" s="85">
        <f>SUM(H13:J13)</f>
        <v/>
      </c>
      <c r="L13" s="85" t="n">
        <v>3291.566745</v>
      </c>
      <c r="M13" s="85" t="n">
        <v>0</v>
      </c>
      <c r="N13" s="85" t="n">
        <v>0</v>
      </c>
      <c r="O13" s="85">
        <f>SUM(L13:N13)</f>
        <v/>
      </c>
      <c r="P13" s="85" t="n">
        <v>3556.620439</v>
      </c>
      <c r="Q13" s="85" t="n">
        <v>0</v>
      </c>
      <c r="R13" s="85" t="n">
        <v>417.566476</v>
      </c>
      <c r="S13" s="85">
        <f>SUM(P13:R13)</f>
        <v/>
      </c>
      <c r="T13" s="85" t="n">
        <v>1054.327266</v>
      </c>
      <c r="U13" s="85" t="n">
        <v>0</v>
      </c>
      <c r="V13" s="677" t="n">
        <v>170.580309</v>
      </c>
      <c r="W13" s="85">
        <f>SUM(T13:V13)</f>
        <v/>
      </c>
      <c r="X13" s="85" t="n">
        <v>692.512431</v>
      </c>
      <c r="Y13" s="271">
        <f>SUM(K13+O13+S13+W13+X13)</f>
        <v/>
      </c>
      <c r="Z13" s="273">
        <f>IF(F13=0,"",K13/(F13/((YEAR(E13)*12+MONTH(E13))-(YEAR(D13)*12+MONTH(D13))+1)))</f>
        <v/>
      </c>
      <c r="AA13" s="273">
        <f>G13/F13</f>
        <v/>
      </c>
      <c r="AB13" s="678">
        <f>F13-G13</f>
        <v/>
      </c>
      <c r="AC13" s="500" t="n"/>
      <c r="AD13" s="500" t="n"/>
      <c r="AE13" s="500" t="n"/>
    </row>
    <row r="14" ht="14.25" customFormat="1" customHeight="1" s="483">
      <c r="A14" s="513" t="n"/>
      <c r="B14" s="572" t="inlineStr">
        <is>
          <t>理财师188</t>
        </is>
      </c>
      <c r="C14" s="572" t="inlineStr">
        <is>
          <t>C1</t>
        </is>
      </c>
      <c r="D14" s="682" t="n">
        <v>46048</v>
      </c>
      <c r="E14" s="682" t="n">
        <v>46228</v>
      </c>
      <c r="F14" s="98" t="n">
        <v>2877.38</v>
      </c>
      <c r="G14" s="574" t="n">
        <v>856.9360799999999</v>
      </c>
      <c r="H14" s="100" t="n">
        <v>0</v>
      </c>
      <c r="I14" s="100" t="n">
        <v>0</v>
      </c>
      <c r="J14" s="100" t="n">
        <v>0</v>
      </c>
      <c r="K14" s="100">
        <f>SUM(H14:J14)</f>
        <v/>
      </c>
      <c r="L14" s="100" t="n">
        <v>0</v>
      </c>
      <c r="M14" s="100" t="n">
        <v>0</v>
      </c>
      <c r="N14" s="100" t="n">
        <v>0</v>
      </c>
      <c r="O14" s="100">
        <f>SUM(L14:N14)</f>
        <v/>
      </c>
      <c r="P14" s="100" t="n">
        <v>0</v>
      </c>
      <c r="Q14" s="100" t="n">
        <v>856.9360799999999</v>
      </c>
      <c r="R14" s="100" t="n">
        <v>0</v>
      </c>
      <c r="S14" s="100">
        <f>SUM(P14:R14)</f>
        <v/>
      </c>
      <c r="T14" s="100" t="n">
        <v>0</v>
      </c>
      <c r="U14" s="100" t="n">
        <v>0</v>
      </c>
      <c r="V14" s="683" t="n">
        <v>0</v>
      </c>
      <c r="W14" s="100">
        <f>SUM(T14:V14)</f>
        <v/>
      </c>
      <c r="X14" s="100" t="n">
        <v>0</v>
      </c>
      <c r="Y14" s="271">
        <f>SUM(K14+O14+S14+W14+X14)</f>
        <v/>
      </c>
      <c r="Z14" s="282">
        <f>IF(F14=0,"",K14/(F14/((YEAR(E14)*12+MONTH(E14))-(YEAR(D14)*12+MONTH(D14))+1)))</f>
        <v/>
      </c>
      <c r="AA14" s="282">
        <f>G14/F14</f>
        <v/>
      </c>
      <c r="AB14" s="684">
        <f>F14-G14</f>
        <v/>
      </c>
      <c r="AC14" s="513" t="n"/>
      <c r="AD14" s="513" t="n"/>
      <c r="AE14" s="513" t="n"/>
    </row>
    <row r="15" ht="14.25" customFormat="1" customHeight="1" s="483">
      <c r="A15" s="577" t="inlineStr">
        <is>
          <t>合计</t>
        </is>
      </c>
      <c r="B15" s="518" t="n"/>
      <c r="C15" s="518" t="n"/>
      <c r="D15" s="518" t="n"/>
      <c r="E15" s="578" t="n"/>
      <c r="F15" s="276">
        <f>SUM(F10:F14)</f>
        <v/>
      </c>
      <c r="G15" s="580">
        <f>SUM(G10:G14)</f>
        <v/>
      </c>
      <c r="H15" s="580">
        <f>SUM(H10:H14)</f>
        <v/>
      </c>
      <c r="I15" s="580">
        <f>SUM(I10:I14)</f>
        <v/>
      </c>
      <c r="J15" s="580">
        <f>SUM(J10:J14)</f>
        <v/>
      </c>
      <c r="K15" s="580">
        <f>SUM(K10:K14)</f>
        <v/>
      </c>
      <c r="L15" s="580">
        <f>SUM(L10:L14)</f>
        <v/>
      </c>
      <c r="M15" s="580">
        <f>SUM(M10:M14)</f>
        <v/>
      </c>
      <c r="N15" s="580">
        <f>SUM(N10:N14)</f>
        <v/>
      </c>
      <c r="O15" s="580">
        <f>SUM(O10:O14)</f>
        <v/>
      </c>
      <c r="P15" s="580">
        <f>SUM(P10:P14)</f>
        <v/>
      </c>
      <c r="Q15" s="580">
        <f>SUM(Q10:Q14)</f>
        <v/>
      </c>
      <c r="R15" s="580">
        <f>SUM(R10:R14)</f>
        <v/>
      </c>
      <c r="S15" s="580">
        <f>SUM(S10:S14)</f>
        <v/>
      </c>
      <c r="T15" s="580">
        <f>SUM(T10:T14)</f>
        <v/>
      </c>
      <c r="U15" s="580">
        <f>SUM(U10:U14)</f>
        <v/>
      </c>
      <c r="V15" s="580">
        <f>SUM(V10:V14)</f>
        <v/>
      </c>
      <c r="W15" s="580">
        <f>SUM(W10:W14)</f>
        <v/>
      </c>
      <c r="X15" s="580">
        <f>SUM(X10:X14)</f>
        <v/>
      </c>
      <c r="Y15" s="580">
        <f>SUM(K15+O15+S15+W15+X15)</f>
        <v/>
      </c>
      <c r="Z15" s="207">
        <f>IF(F15=0,"",K15/(F15/((YEAR(E10)*12+MONTH(E10))-(YEAR(D10)*12+MONTH(D10))+1)))</f>
        <v/>
      </c>
      <c r="AA15" s="207">
        <f>G15/F15</f>
        <v/>
      </c>
      <c r="AB15" s="580">
        <f>F15-G15</f>
        <v/>
      </c>
      <c r="AC15" s="277">
        <f>AC10</f>
        <v/>
      </c>
      <c r="AD15" s="209">
        <f>Y15/AC10</f>
        <v/>
      </c>
      <c r="AE15" s="650">
        <f>AC10-Y15</f>
        <v/>
      </c>
    </row>
    <row r="16" ht="14.25" customFormat="1" customHeight="1" s="483">
      <c r="A16" s="680" t="inlineStr">
        <is>
          <t>理财师007</t>
        </is>
      </c>
      <c r="B16" s="608" t="inlineStr">
        <is>
          <t>理财师007</t>
        </is>
      </c>
      <c r="C16" s="608" t="inlineStr">
        <is>
          <t>私人财富管理专家PWA4-4</t>
        </is>
      </c>
      <c r="D16" s="645" t="n">
        <v>46054</v>
      </c>
      <c r="E16" s="645" t="n">
        <v>46203</v>
      </c>
      <c r="F16" s="153" t="n">
        <v>25870.625</v>
      </c>
      <c r="G16" s="674" t="n">
        <v>25089.921761</v>
      </c>
      <c r="H16" s="680" t="n">
        <v>0</v>
      </c>
      <c r="I16" s="680" t="n">
        <v>0</v>
      </c>
      <c r="J16" s="680" t="n">
        <v>0</v>
      </c>
      <c r="K16" s="680">
        <f>SUM(H16:J16)</f>
        <v/>
      </c>
      <c r="L16" s="680" t="n">
        <v>2425.111949</v>
      </c>
      <c r="M16" s="680" t="n">
        <v>0</v>
      </c>
      <c r="N16" s="680" t="n">
        <v>0</v>
      </c>
      <c r="O16" s="680">
        <f>SUM(L16:N16)</f>
        <v/>
      </c>
      <c r="P16" s="680" t="n">
        <v>3406.959578</v>
      </c>
      <c r="Q16" s="680" t="n">
        <v>14793.1056</v>
      </c>
      <c r="R16" s="680" t="n">
        <v>606.358521</v>
      </c>
      <c r="S16" s="680">
        <f>SUM(P16:R16)</f>
        <v/>
      </c>
      <c r="T16" s="154" t="n">
        <v>3557.362586</v>
      </c>
      <c r="U16" s="154" t="n">
        <v>0</v>
      </c>
      <c r="V16" s="154" t="n">
        <v>301.023526</v>
      </c>
      <c r="W16" s="154">
        <f>SUM(T16:V16)</f>
        <v/>
      </c>
      <c r="X16" s="154" t="n">
        <v>8988.571889000001</v>
      </c>
      <c r="Y16" s="267">
        <f>SUM(K16+O16+S16+W16+X16)</f>
        <v/>
      </c>
      <c r="Z16" s="232">
        <f>IF(F16=0,"",K16/(F16/((YEAR(E16)*12+MONTH(E16))-(YEAR(D16)*12+MONTH(D16))+1)))</f>
        <v/>
      </c>
      <c r="AA16" s="232">
        <f>G16/F16</f>
        <v/>
      </c>
      <c r="AB16" s="617">
        <f>F16-G16</f>
        <v/>
      </c>
      <c r="AC16" s="268">
        <f>SUM(F16:F18)</f>
        <v/>
      </c>
      <c r="AD16" s="232">
        <f>AD19</f>
        <v/>
      </c>
      <c r="AE16" s="681">
        <f>AE19</f>
        <v/>
      </c>
    </row>
    <row r="17" ht="14.25" customFormat="1" customHeight="1" s="483">
      <c r="A17" s="500" t="n"/>
      <c r="B17" s="563" t="inlineStr">
        <is>
          <t>理财师023</t>
        </is>
      </c>
      <c r="C17" s="563" t="inlineStr">
        <is>
          <t>私人财富管理资深顾问PWA2-4</t>
        </is>
      </c>
      <c r="D17" s="676" t="n">
        <v>46023</v>
      </c>
      <c r="E17" s="676" t="n">
        <v>46203</v>
      </c>
      <c r="F17" s="83" t="n">
        <v>15648.4</v>
      </c>
      <c r="G17" s="586" t="n">
        <v>7322.016913</v>
      </c>
      <c r="H17" s="85" t="n">
        <v>0</v>
      </c>
      <c r="I17" s="85" t="n">
        <v>0</v>
      </c>
      <c r="J17" s="85" t="n">
        <v>0</v>
      </c>
      <c r="K17" s="85">
        <f>SUM(H17:J17)</f>
        <v/>
      </c>
      <c r="L17" s="85" t="n">
        <v>2170.20375</v>
      </c>
      <c r="M17" s="85" t="n">
        <v>0</v>
      </c>
      <c r="N17" s="85" t="n">
        <v>0</v>
      </c>
      <c r="O17" s="85">
        <f>SUM(L17:N17)</f>
        <v/>
      </c>
      <c r="P17" s="85" t="n">
        <v>1305.1575</v>
      </c>
      <c r="Q17" s="85" t="n">
        <v>1178.4864</v>
      </c>
      <c r="R17" s="85" t="n">
        <v>22.441342</v>
      </c>
      <c r="S17" s="85">
        <f>SUM(P17:R17)</f>
        <v/>
      </c>
      <c r="T17" s="85" t="n">
        <v>0</v>
      </c>
      <c r="U17" s="85" t="n">
        <v>0</v>
      </c>
      <c r="V17" s="677" t="n">
        <v>15.177921</v>
      </c>
      <c r="W17" s="85">
        <f>SUM(T17:V17)</f>
        <v/>
      </c>
      <c r="X17" s="85" t="n">
        <v>2630.55</v>
      </c>
      <c r="Y17" s="271">
        <f>SUM(K17+O17+S17+W17+X17)</f>
        <v/>
      </c>
      <c r="Z17" s="273">
        <f>IF(F17=0,"",K17/(F17/((YEAR(E17)*12+MONTH(E17))-(YEAR(D17)*12+MONTH(D17))+1)))</f>
        <v/>
      </c>
      <c r="AA17" s="273">
        <f>G17/F17</f>
        <v/>
      </c>
      <c r="AB17" s="678">
        <f>F17-G17</f>
        <v/>
      </c>
      <c r="AC17" s="500" t="n"/>
      <c r="AD17" s="500" t="n"/>
      <c r="AE17" s="500" t="n"/>
    </row>
    <row r="18" ht="14.25" customFormat="1" customHeight="1" s="483">
      <c r="A18" s="513" t="n"/>
      <c r="B18" s="563" t="inlineStr">
        <is>
          <t>理财师091</t>
        </is>
      </c>
      <c r="C18" s="563" t="inlineStr">
        <is>
          <t>C3</t>
        </is>
      </c>
      <c r="D18" s="676" t="n">
        <v>45866</v>
      </c>
      <c r="E18" s="676" t="n">
        <v>46049</v>
      </c>
      <c r="F18" s="83" t="n">
        <v>4042.08</v>
      </c>
      <c r="G18" s="586" t="n">
        <v>1691.696497</v>
      </c>
      <c r="H18" s="85" t="n">
        <v>0</v>
      </c>
      <c r="I18" s="85" t="n">
        <v>0</v>
      </c>
      <c r="J18" s="85" t="n">
        <v>0</v>
      </c>
      <c r="K18" s="85">
        <f>SUM(H18:J18)</f>
        <v/>
      </c>
      <c r="L18" s="85" t="n">
        <v>0</v>
      </c>
      <c r="M18" s="85" t="n">
        <v>0</v>
      </c>
      <c r="N18" s="85" t="n">
        <v>0</v>
      </c>
      <c r="O18" s="85">
        <f>SUM(L18:N18)</f>
        <v/>
      </c>
      <c r="P18" s="85" t="n">
        <v>0</v>
      </c>
      <c r="Q18" s="85" t="n">
        <v>0</v>
      </c>
      <c r="R18" s="85" t="n">
        <v>3.23046</v>
      </c>
      <c r="S18" s="85">
        <f>SUM(P18:R18)</f>
        <v/>
      </c>
      <c r="T18" s="85" t="n">
        <v>25.0224</v>
      </c>
      <c r="U18" s="85" t="n">
        <v>1050.9408</v>
      </c>
      <c r="V18" s="677" t="n">
        <v>3.667668</v>
      </c>
      <c r="W18" s="85">
        <f>SUM(T18:V18)</f>
        <v/>
      </c>
      <c r="X18" s="85" t="n">
        <v>125.112</v>
      </c>
      <c r="Y18" s="271">
        <f>SUM(K18+O18+S18+W18+X18)</f>
        <v/>
      </c>
      <c r="Z18" s="273">
        <f>IF(F18=0,"",K18/(F18/((YEAR(E18)*12+MONTH(E18))-(YEAR(D18)*12+MONTH(D18))+1)))</f>
        <v/>
      </c>
      <c r="AA18" s="273">
        <f>G18/F18</f>
        <v/>
      </c>
      <c r="AB18" s="678">
        <f>F18-G18</f>
        <v/>
      </c>
      <c r="AC18" s="513" t="n"/>
      <c r="AD18" s="513" t="n"/>
      <c r="AE18" s="513" t="n"/>
    </row>
    <row r="19" ht="14.25" customFormat="1" customHeight="1" s="483">
      <c r="A19" s="577" t="inlineStr">
        <is>
          <t>合计</t>
        </is>
      </c>
      <c r="B19" s="518" t="n"/>
      <c r="C19" s="518" t="n"/>
      <c r="D19" s="518" t="n"/>
      <c r="E19" s="578" t="n"/>
      <c r="F19" s="276">
        <f>SUM(F16:F18)</f>
        <v/>
      </c>
      <c r="G19" s="580">
        <f>SUM(G16:G18)</f>
        <v/>
      </c>
      <c r="H19" s="580">
        <f>SUM(H16:H18)</f>
        <v/>
      </c>
      <c r="I19" s="580">
        <f>SUM(I16:I18)</f>
        <v/>
      </c>
      <c r="J19" s="580">
        <f>SUM(J16:J18)</f>
        <v/>
      </c>
      <c r="K19" s="580">
        <f>SUM(K16:K18)</f>
        <v/>
      </c>
      <c r="L19" s="580">
        <f>SUM(L16:L18)</f>
        <v/>
      </c>
      <c r="M19" s="580">
        <f>SUM(M16:M18)</f>
        <v/>
      </c>
      <c r="N19" s="580">
        <f>SUM(N16:N18)</f>
        <v/>
      </c>
      <c r="O19" s="580">
        <f>SUM(O16:O18)</f>
        <v/>
      </c>
      <c r="P19" s="580">
        <f>SUM(P16:P18)</f>
        <v/>
      </c>
      <c r="Q19" s="580">
        <f>SUM(Q16:Q18)</f>
        <v/>
      </c>
      <c r="R19" s="580">
        <f>SUM(R16:R18)</f>
        <v/>
      </c>
      <c r="S19" s="580">
        <f>SUM(S16:S18)</f>
        <v/>
      </c>
      <c r="T19" s="580">
        <f>SUM(T16:T18)</f>
        <v/>
      </c>
      <c r="U19" s="580">
        <f>SUM(U16:U18)</f>
        <v/>
      </c>
      <c r="V19" s="580">
        <f>SUM(V16:V18)</f>
        <v/>
      </c>
      <c r="W19" s="580">
        <f>SUM(W16:W18)</f>
        <v/>
      </c>
      <c r="X19" s="580">
        <f>SUM(X16:X18)</f>
        <v/>
      </c>
      <c r="Y19" s="580">
        <f>SUM(K19+O19+S19+W19+X19)</f>
        <v/>
      </c>
      <c r="Z19" s="207">
        <f>IF(F19=0,"",K19/(F19/((YEAR(E16)*12+MONTH(E16))-(YEAR(D16)*12+MONTH(D16))+1)))</f>
        <v/>
      </c>
      <c r="AA19" s="207">
        <f>G19/F19</f>
        <v/>
      </c>
      <c r="AB19" s="580">
        <f>F19-G19</f>
        <v/>
      </c>
      <c r="AC19" s="277">
        <f>AC16</f>
        <v/>
      </c>
      <c r="AD19" s="209">
        <f>Y19/AC16</f>
        <v/>
      </c>
      <c r="AE19" s="650">
        <f>AC16-Y19</f>
        <v/>
      </c>
    </row>
    <row r="20" ht="14.25" customFormat="1" customHeight="1" s="483">
      <c r="A20" s="680" t="inlineStr">
        <is>
          <t>理财师016</t>
        </is>
      </c>
      <c r="B20" s="608" t="inlineStr">
        <is>
          <t>理财师208</t>
        </is>
      </c>
      <c r="C20" s="608" t="inlineStr">
        <is>
          <t>观察期PWA0-1</t>
        </is>
      </c>
      <c r="D20" s="645" t="n">
        <v>46023</v>
      </c>
      <c r="E20" s="645" t="n">
        <v>46203</v>
      </c>
      <c r="F20" s="153" t="n">
        <v>5054.28</v>
      </c>
      <c r="G20" s="674" t="n">
        <v>701.917414</v>
      </c>
      <c r="H20" s="685" t="n">
        <v>0</v>
      </c>
      <c r="I20" s="685" t="n">
        <v>0</v>
      </c>
      <c r="J20" s="685" t="n">
        <v>0</v>
      </c>
      <c r="K20" s="685">
        <f>SUM(H20:J20)</f>
        <v/>
      </c>
      <c r="L20" s="685" t="n">
        <v>0</v>
      </c>
      <c r="M20" s="685" t="n">
        <v>0</v>
      </c>
      <c r="N20" s="685" t="n">
        <v>0</v>
      </c>
      <c r="O20" s="685">
        <f>SUM(L20:N20)</f>
        <v/>
      </c>
      <c r="P20" s="685" t="n">
        <v>3.487333</v>
      </c>
      <c r="Q20" s="685" t="n">
        <v>0</v>
      </c>
      <c r="R20" s="685" t="n">
        <v>144.61482</v>
      </c>
      <c r="S20" s="685">
        <f>SUM(P20:R20)</f>
        <v/>
      </c>
      <c r="T20" s="154" t="n">
        <v>190.944681</v>
      </c>
      <c r="U20" s="154" t="n">
        <v>0</v>
      </c>
      <c r="V20" s="154" t="n">
        <v>71.82064699999999</v>
      </c>
      <c r="W20" s="154">
        <f>SUM(T20:V20)</f>
        <v/>
      </c>
      <c r="X20" s="154" t="n">
        <v>291.049933</v>
      </c>
      <c r="Y20" s="267">
        <f>SUM(K20+O20+S20+W20+X20)</f>
        <v/>
      </c>
      <c r="Z20" s="232">
        <f>IF(F20=0,"",K20/(F20/((YEAR(E20)*12+MONTH(E20))-(YEAR(D20)*12+MONTH(D20))+1)))</f>
        <v/>
      </c>
      <c r="AA20" s="232">
        <f>G20/F20</f>
        <v/>
      </c>
      <c r="AB20" s="617">
        <f>F20-G20</f>
        <v/>
      </c>
      <c r="AC20" s="285">
        <f>SUM(F20:F23)</f>
        <v/>
      </c>
      <c r="AD20" s="286">
        <f>AD24</f>
        <v/>
      </c>
      <c r="AE20" s="681">
        <f>AE24</f>
        <v/>
      </c>
    </row>
    <row r="21" ht="14.25" customFormat="1" customHeight="1" s="483">
      <c r="A21" s="500" t="n"/>
      <c r="B21" s="563" t="inlineStr">
        <is>
          <t>理财师015</t>
        </is>
      </c>
      <c r="C21" s="563" t="inlineStr">
        <is>
          <t>私人财富管理资深顾问PWA2-4</t>
        </is>
      </c>
      <c r="D21" s="676" t="n">
        <v>45992</v>
      </c>
      <c r="E21" s="676" t="n">
        <v>46203</v>
      </c>
      <c r="F21" s="83" t="n">
        <v>11461.38</v>
      </c>
      <c r="G21" s="565" t="n">
        <v>4863.227807</v>
      </c>
      <c r="H21" s="85" t="n">
        <v>0</v>
      </c>
      <c r="I21" s="85" t="n">
        <v>0</v>
      </c>
      <c r="J21" s="85" t="n">
        <v>0</v>
      </c>
      <c r="K21" s="85">
        <f>SUM(H21:J21)</f>
        <v/>
      </c>
      <c r="L21" s="126" t="n">
        <v>0</v>
      </c>
      <c r="M21" s="126" t="n">
        <v>0</v>
      </c>
      <c r="N21" s="126" t="n">
        <v>0</v>
      </c>
      <c r="O21" s="85">
        <f>SUM(L21:N21)</f>
        <v/>
      </c>
      <c r="P21" s="126" t="n">
        <v>198.1746</v>
      </c>
      <c r="Q21" s="126" t="n">
        <v>0</v>
      </c>
      <c r="R21" s="126" t="n">
        <v>29.640215</v>
      </c>
      <c r="S21" s="85">
        <f>SUM(P21:R21)</f>
        <v/>
      </c>
      <c r="T21" s="85" t="n">
        <v>0.8469</v>
      </c>
      <c r="U21" s="85" t="n">
        <v>4558.0158</v>
      </c>
      <c r="V21" s="686" t="n">
        <v>19.389048</v>
      </c>
      <c r="W21" s="85">
        <f>SUM(T21:V21)</f>
        <v/>
      </c>
      <c r="X21" s="85" t="n">
        <v>21.644177</v>
      </c>
      <c r="Y21" s="271">
        <f>SUM(K21+O21+S21+W21+X21)</f>
        <v/>
      </c>
      <c r="Z21" s="273">
        <f>IF(F21=0,"",K21/(F21/((YEAR(E21)*12+MONTH(E21))-(YEAR(D21)*12+MONTH(D21))+1)))</f>
        <v/>
      </c>
      <c r="AA21" s="273">
        <f>G21/F21</f>
        <v/>
      </c>
      <c r="AB21" s="678">
        <f>F21-G21</f>
        <v/>
      </c>
      <c r="AC21" s="500" t="n"/>
      <c r="AD21" s="500" t="n"/>
      <c r="AE21" s="500" t="n"/>
    </row>
    <row r="22" ht="14.25" customFormat="1" customHeight="1" s="483">
      <c r="A22" s="500" t="n"/>
      <c r="B22" s="563" t="inlineStr">
        <is>
          <t>理财师016</t>
        </is>
      </c>
      <c r="C22" s="563" t="inlineStr">
        <is>
          <t>私人财富管理资深顾问PWA2-4</t>
        </is>
      </c>
      <c r="D22" s="676" t="n">
        <v>46023</v>
      </c>
      <c r="E22" s="676" t="n">
        <v>46203</v>
      </c>
      <c r="F22" s="83" t="n">
        <v>8731.32</v>
      </c>
      <c r="G22" s="565" t="n">
        <v>8633.587842999999</v>
      </c>
      <c r="H22" s="85" t="n">
        <v>0</v>
      </c>
      <c r="I22" s="85" t="n">
        <v>0</v>
      </c>
      <c r="J22" s="85" t="n">
        <v>0</v>
      </c>
      <c r="K22" s="85">
        <f>SUM(H22:J22)</f>
        <v/>
      </c>
      <c r="L22" s="126" t="n">
        <v>1832.902273</v>
      </c>
      <c r="M22" s="126" t="n">
        <v>0</v>
      </c>
      <c r="N22" s="126" t="n">
        <v>0</v>
      </c>
      <c r="O22" s="85">
        <f>SUM(L22:N22)</f>
        <v/>
      </c>
      <c r="P22" s="126" t="n">
        <v>220.16475</v>
      </c>
      <c r="Q22" s="126" t="n">
        <v>0</v>
      </c>
      <c r="R22" s="126" t="n">
        <v>154.524295</v>
      </c>
      <c r="S22" s="85">
        <f>SUM(P22:R22)</f>
        <v/>
      </c>
      <c r="T22" s="85" t="n">
        <v>3847.561596</v>
      </c>
      <c r="U22" s="85" t="n">
        <v>0</v>
      </c>
      <c r="V22" s="686" t="n">
        <v>38.370126</v>
      </c>
      <c r="W22" s="85">
        <f>SUM(T22:V22)</f>
        <v/>
      </c>
      <c r="X22" s="85" t="n">
        <v>2540.064804</v>
      </c>
      <c r="Y22" s="271">
        <f>SUM(K22+O22+S22+W22+X22)</f>
        <v/>
      </c>
      <c r="Z22" s="273">
        <f>IF(F22=0,"",K22/(F22/((YEAR(E22)*12+MONTH(E22))-(YEAR(D22)*12+MONTH(D22))+1)))</f>
        <v/>
      </c>
      <c r="AA22" s="273">
        <f>G22/F22</f>
        <v/>
      </c>
      <c r="AB22" s="678">
        <f>F22-G22</f>
        <v/>
      </c>
      <c r="AC22" s="500" t="n"/>
      <c r="AD22" s="500" t="n"/>
      <c r="AE22" s="500" t="n"/>
    </row>
    <row r="23" ht="14.25" customFormat="1" customHeight="1" s="483">
      <c r="A23" s="513" t="n"/>
      <c r="B23" s="572" t="inlineStr">
        <is>
          <t>理财师028</t>
        </is>
      </c>
      <c r="C23" s="572" t="inlineStr">
        <is>
          <t>私人财富管理专家PWA4-5</t>
        </is>
      </c>
      <c r="D23" s="682" t="n">
        <v>46001</v>
      </c>
      <c r="E23" s="682" t="n">
        <v>46182</v>
      </c>
      <c r="F23" s="98" t="n">
        <v>23502</v>
      </c>
      <c r="G23" s="565" t="n">
        <v>32.04495</v>
      </c>
      <c r="H23" s="100" t="n">
        <v>0</v>
      </c>
      <c r="I23" s="100" t="n">
        <v>0</v>
      </c>
      <c r="J23" s="100" t="n">
        <v>0</v>
      </c>
      <c r="K23" s="100">
        <f>SUM(H23:J23)</f>
        <v/>
      </c>
      <c r="L23" s="127" t="n">
        <v>0</v>
      </c>
      <c r="M23" s="127" t="n">
        <v>0</v>
      </c>
      <c r="N23" s="127" t="n">
        <v>0</v>
      </c>
      <c r="O23" s="100">
        <f>SUM(L23:N23)</f>
        <v/>
      </c>
      <c r="P23" s="127" t="n">
        <v>0</v>
      </c>
      <c r="Q23" s="127" t="n">
        <v>0</v>
      </c>
      <c r="R23" s="127" t="n">
        <v>32.04495</v>
      </c>
      <c r="S23" s="100">
        <f>SUM(P23:R23)</f>
        <v/>
      </c>
      <c r="T23" s="100" t="n">
        <v>0</v>
      </c>
      <c r="U23" s="100" t="n">
        <v>0</v>
      </c>
      <c r="V23" s="687" t="n">
        <v>0</v>
      </c>
      <c r="W23" s="100">
        <f>SUM(T23:V23)</f>
        <v/>
      </c>
      <c r="X23" s="100" t="n">
        <v>0</v>
      </c>
      <c r="Y23" s="271">
        <f>SUM(K23+O23+S23+W23+X23)</f>
        <v/>
      </c>
      <c r="Z23" s="273">
        <f>IF(F23=0,"",K23/(F23/((YEAR(E23)*12+MONTH(E23))-(YEAR(D23)*12+MONTH(D23))+1)))</f>
        <v/>
      </c>
      <c r="AA23" s="273">
        <f>G23/F23</f>
        <v/>
      </c>
      <c r="AB23" s="678">
        <f>F23-G23</f>
        <v/>
      </c>
      <c r="AC23" s="513" t="n"/>
      <c r="AD23" s="513" t="n"/>
      <c r="AE23" s="513" t="n"/>
      <c r="AH23" s="639" t="inlineStr"/>
    </row>
    <row r="24" ht="14.25" customFormat="1" customHeight="1" s="483">
      <c r="A24" s="577" t="inlineStr">
        <is>
          <t>合计</t>
        </is>
      </c>
      <c r="B24" s="518" t="n"/>
      <c r="C24" s="518" t="n"/>
      <c r="D24" s="518" t="n"/>
      <c r="E24" s="578" t="n"/>
      <c r="F24" s="219">
        <f>SUM(F20:F23)</f>
        <v/>
      </c>
      <c r="G24" s="590">
        <f>SUM(G20:G23)</f>
        <v/>
      </c>
      <c r="H24" s="688">
        <f>SUM(H20:H23)</f>
        <v/>
      </c>
      <c r="I24" s="688">
        <f>SUM(I20:I23)</f>
        <v/>
      </c>
      <c r="J24" s="688">
        <f>SUM(J20:J23)</f>
        <v/>
      </c>
      <c r="K24" s="689">
        <f>SUM(K20:K23)</f>
        <v/>
      </c>
      <c r="L24" s="688">
        <f>SUM(L20:L23)</f>
        <v/>
      </c>
      <c r="M24" s="688">
        <f>SUM(M20:M23)</f>
        <v/>
      </c>
      <c r="N24" s="688">
        <f>SUM(N20:N23)</f>
        <v/>
      </c>
      <c r="O24" s="689">
        <f>SUM(O20:O23)</f>
        <v/>
      </c>
      <c r="P24" s="688">
        <f>SUM(P20:P23)</f>
        <v/>
      </c>
      <c r="Q24" s="688">
        <f>SUM(Q20:Q23)</f>
        <v/>
      </c>
      <c r="R24" s="688">
        <f>SUM(R20:R23)</f>
        <v/>
      </c>
      <c r="S24" s="689">
        <f>SUM(S20:S23)</f>
        <v/>
      </c>
      <c r="T24" s="590">
        <f>SUM(T20:T23)</f>
        <v/>
      </c>
      <c r="U24" s="590">
        <f>SUM(U20:U23)</f>
        <v/>
      </c>
      <c r="V24" s="688">
        <f>SUM(V20:V23)</f>
        <v/>
      </c>
      <c r="W24" s="689">
        <f>SUM(W20:W23)</f>
        <v/>
      </c>
      <c r="X24" s="689">
        <f>SUM(X20:X23)</f>
        <v/>
      </c>
      <c r="Y24" s="580">
        <f>SUM(K24+O24+S24+W24+X24)</f>
        <v/>
      </c>
      <c r="Z24" s="291">
        <f>IF(F24=0,"",K24/(F24/((YEAR(E20)*12+MONTH(E20))-(YEAR(D20)*12+MONTH(D20))+1)))</f>
        <v/>
      </c>
      <c r="AA24" s="292">
        <f>G24/F24</f>
        <v/>
      </c>
      <c r="AB24" s="689">
        <f>F24-G24</f>
        <v/>
      </c>
      <c r="AC24" s="293">
        <f>AC20</f>
        <v/>
      </c>
      <c r="AD24" s="291">
        <f>Y24/AC20</f>
        <v/>
      </c>
      <c r="AE24" s="690">
        <f>AC20-Y24</f>
        <v/>
      </c>
    </row>
    <row r="25" ht="14.25" customFormat="1" customHeight="1" s="483">
      <c r="A25" s="680" t="inlineStr">
        <is>
          <t>理财师002</t>
        </is>
      </c>
      <c r="B25" s="608" t="inlineStr">
        <is>
          <t>理财师001</t>
        </is>
      </c>
      <c r="C25" s="608" t="inlineStr">
        <is>
          <t>私人财富管理顾问PWA1-2</t>
        </is>
      </c>
      <c r="D25" s="645" t="n">
        <v>46023</v>
      </c>
      <c r="E25" s="645" t="n">
        <v>46203</v>
      </c>
      <c r="F25" s="153" t="n">
        <v>4993.22</v>
      </c>
      <c r="G25" s="674" t="n">
        <v>3643.703907</v>
      </c>
      <c r="H25" s="685" t="n">
        <v>0</v>
      </c>
      <c r="I25" s="685" t="n">
        <v>0</v>
      </c>
      <c r="J25" s="685" t="n">
        <v>0</v>
      </c>
      <c r="K25" s="685">
        <f>SUM(H25:J25)</f>
        <v/>
      </c>
      <c r="L25" s="685" t="n">
        <v>88.54274700000001</v>
      </c>
      <c r="M25" s="685" t="n">
        <v>0</v>
      </c>
      <c r="N25" s="685" t="n">
        <v>0</v>
      </c>
      <c r="O25" s="685">
        <f>SUM(L25:N25)</f>
        <v/>
      </c>
      <c r="P25" s="685" t="n">
        <v>50.830377</v>
      </c>
      <c r="Q25" s="685" t="n">
        <v>0</v>
      </c>
      <c r="R25" s="685" t="n">
        <v>761.144365</v>
      </c>
      <c r="S25" s="685">
        <f>SUM(P25:R25)</f>
        <v/>
      </c>
      <c r="T25" s="154" t="n">
        <v>153.11976</v>
      </c>
      <c r="U25" s="154" t="n">
        <v>0</v>
      </c>
      <c r="V25" s="154" t="n">
        <v>560.548117</v>
      </c>
      <c r="W25" s="154">
        <f>SUM(T25:V25)</f>
        <v/>
      </c>
      <c r="X25" s="154" t="n">
        <v>2029.518541</v>
      </c>
      <c r="Y25" s="267">
        <f>SUM(K25+O25+S25+W25+X25)</f>
        <v/>
      </c>
      <c r="Z25" s="232">
        <f>IF(F25=0,"",K25/(F25/((YEAR(E25)*12+MONTH(E25))-(YEAR(D25)*12+MONTH(D25))+1)))</f>
        <v/>
      </c>
      <c r="AA25" s="232">
        <f>G25/F25</f>
        <v/>
      </c>
      <c r="AB25" s="617">
        <f>F25-G25</f>
        <v/>
      </c>
      <c r="AC25" s="268">
        <f>SUM(F25:F27)</f>
        <v/>
      </c>
      <c r="AD25" s="232">
        <f>AD28</f>
        <v/>
      </c>
      <c r="AE25" s="681">
        <f>AE28</f>
        <v/>
      </c>
    </row>
    <row r="26" ht="14.25" customFormat="1" customHeight="1" s="483">
      <c r="A26" s="500" t="n"/>
      <c r="B26" s="563" t="inlineStr">
        <is>
          <t>理财师002</t>
        </is>
      </c>
      <c r="C26" s="563" t="inlineStr">
        <is>
          <t>私人财富管理专家PWA4-5</t>
        </is>
      </c>
      <c r="D26" s="676" t="n">
        <v>46023</v>
      </c>
      <c r="E26" s="676" t="n">
        <v>46203</v>
      </c>
      <c r="F26" s="83" t="n">
        <v>24411</v>
      </c>
      <c r="G26" s="565" t="n">
        <v>23689.782461</v>
      </c>
      <c r="H26" s="85" t="n">
        <v>0.73233</v>
      </c>
      <c r="I26" s="85" t="n">
        <v>0</v>
      </c>
      <c r="J26" s="85" t="n">
        <v>0</v>
      </c>
      <c r="K26" s="85">
        <f>SUM(H26:J26)</f>
        <v/>
      </c>
      <c r="L26" s="85" t="n">
        <v>-6293.787361</v>
      </c>
      <c r="M26" s="85" t="n">
        <v>0</v>
      </c>
      <c r="N26" s="85" t="n">
        <v>0</v>
      </c>
      <c r="O26" s="85">
        <f>SUM(L26:N26)</f>
        <v/>
      </c>
      <c r="P26" s="85" t="n">
        <v>2164.476574</v>
      </c>
      <c r="Q26" s="85" t="n">
        <v>0</v>
      </c>
      <c r="R26" s="85" t="n">
        <v>365.27682</v>
      </c>
      <c r="S26" s="85">
        <f>SUM(P26:R26)</f>
        <v/>
      </c>
      <c r="T26" s="85" t="n">
        <v>2346.171162</v>
      </c>
      <c r="U26" s="85" t="n">
        <v>0</v>
      </c>
      <c r="V26" s="677" t="n">
        <v>187.41719</v>
      </c>
      <c r="W26" s="85">
        <f>SUM(T26:V26)</f>
        <v/>
      </c>
      <c r="X26" s="85" t="n">
        <v>24919.495747</v>
      </c>
      <c r="Y26" s="271">
        <f>SUM(K26+O26+S26+W26+X26)</f>
        <v/>
      </c>
      <c r="Z26" s="273">
        <f>IF(F26=0,"",K26/(F26/((YEAR(E26)*12+MONTH(E26))-(YEAR(D26)*12+MONTH(D26))+1)))</f>
        <v/>
      </c>
      <c r="AA26" s="273">
        <f>G26/F26</f>
        <v/>
      </c>
      <c r="AB26" s="678">
        <f>F26-G26</f>
        <v/>
      </c>
      <c r="AC26" s="500" t="n"/>
      <c r="AD26" s="500" t="n"/>
      <c r="AE26" s="500" t="n"/>
    </row>
    <row r="27" ht="14.25" customFormat="1" customHeight="1" s="483">
      <c r="A27" s="513" t="n"/>
      <c r="B27" s="572" t="inlineStr">
        <is>
          <t>理财师027</t>
        </is>
      </c>
      <c r="C27" s="572" t="inlineStr">
        <is>
          <t>私人财富管理资深顾问PWA2-3</t>
        </is>
      </c>
      <c r="D27" s="682" t="n">
        <v>45943</v>
      </c>
      <c r="E27" s="682" t="n">
        <v>46124</v>
      </c>
      <c r="F27" s="98" t="n">
        <v>6847</v>
      </c>
      <c r="G27" s="565" t="n">
        <v>1138.55362</v>
      </c>
      <c r="H27" s="100" t="n">
        <v>0</v>
      </c>
      <c r="I27" s="100" t="n">
        <v>0</v>
      </c>
      <c r="J27" s="100" t="n">
        <v>0</v>
      </c>
      <c r="K27" s="100">
        <f>SUM(H27:J27)</f>
        <v/>
      </c>
      <c r="L27" s="100" t="n">
        <v>133.5165</v>
      </c>
      <c r="M27" s="100" t="n">
        <v>0</v>
      </c>
      <c r="N27" s="100" t="n">
        <v>0</v>
      </c>
      <c r="O27" s="100">
        <f>SUM(L27:N27)</f>
        <v/>
      </c>
      <c r="P27" s="100" t="n">
        <v>0</v>
      </c>
      <c r="Q27" s="100" t="n">
        <v>0</v>
      </c>
      <c r="R27" s="100" t="n">
        <v>2.181886</v>
      </c>
      <c r="S27" s="100">
        <f>SUM(P27:R27)</f>
        <v/>
      </c>
      <c r="T27" s="100" t="n">
        <v>0</v>
      </c>
      <c r="U27" s="100" t="n">
        <v>0</v>
      </c>
      <c r="V27" s="683" t="n">
        <v>1.481485</v>
      </c>
      <c r="W27" s="100">
        <f>SUM(T27:V27)</f>
        <v/>
      </c>
      <c r="X27" s="100" t="n">
        <v>66.75825</v>
      </c>
      <c r="Y27" s="271">
        <f>SUM(K27+O27+S27+W27+X27)</f>
        <v/>
      </c>
      <c r="Z27" s="282">
        <f>IF(F27=0,"",K27/(F27/((YEAR(E27)*12+MONTH(E27))-(YEAR(D27)*12+MONTH(D27))+1)))</f>
        <v/>
      </c>
      <c r="AA27" s="282">
        <f>G27/F27</f>
        <v/>
      </c>
      <c r="AB27" s="684">
        <f>F27-G27</f>
        <v/>
      </c>
      <c r="AC27" s="513" t="n"/>
      <c r="AD27" s="513" t="n"/>
      <c r="AE27" s="513" t="n"/>
    </row>
    <row r="28" ht="14.25" customFormat="1" customHeight="1" s="483">
      <c r="A28" s="640" t="inlineStr">
        <is>
          <t>合计</t>
        </is>
      </c>
      <c r="B28" s="518" t="n"/>
      <c r="C28" s="518" t="n"/>
      <c r="D28" s="518" t="n"/>
      <c r="E28" s="519" t="n"/>
      <c r="F28" s="224">
        <f>SUM(F25:F27)</f>
        <v/>
      </c>
      <c r="G28" s="590">
        <f>SUM(G25:G27)</f>
        <v/>
      </c>
      <c r="H28" s="688">
        <f>SUM(H25:H27)</f>
        <v/>
      </c>
      <c r="I28" s="688">
        <f>SUM(I25:I27)</f>
        <v/>
      </c>
      <c r="J28" s="688">
        <f>SUM(J25:J27)</f>
        <v/>
      </c>
      <c r="K28" s="689">
        <f>SUM(K25:K27)</f>
        <v/>
      </c>
      <c r="L28" s="688">
        <f>SUM(L25:L27)</f>
        <v/>
      </c>
      <c r="M28" s="688">
        <f>SUM(M25:M27)</f>
        <v/>
      </c>
      <c r="N28" s="688">
        <f>SUM(N25:N27)</f>
        <v/>
      </c>
      <c r="O28" s="689">
        <f>SUM(O25:O27)</f>
        <v/>
      </c>
      <c r="P28" s="688">
        <f>SUM(P25:P27)</f>
        <v/>
      </c>
      <c r="Q28" s="688">
        <f>SUM(Q25:Q27)</f>
        <v/>
      </c>
      <c r="R28" s="688">
        <f>SUM(R25:R27)</f>
        <v/>
      </c>
      <c r="S28" s="689">
        <f>SUM(S25:S27)</f>
        <v/>
      </c>
      <c r="T28" s="590">
        <f>SUM(T25:T27)</f>
        <v/>
      </c>
      <c r="U28" s="590">
        <f>SUM(U25:U27)</f>
        <v/>
      </c>
      <c r="V28" s="688">
        <f>SUM(V25:V27)</f>
        <v/>
      </c>
      <c r="W28" s="689">
        <f>SUM(W25:W27)</f>
        <v/>
      </c>
      <c r="X28" s="689">
        <f>SUM(X25:X27)</f>
        <v/>
      </c>
      <c r="Y28" s="580">
        <f>SUM(K28+O28+S28+W28+X28)</f>
        <v/>
      </c>
      <c r="Z28" s="291">
        <f>IF(F28=0,"",K28/(F28/((YEAR(E25)*12+MONTH(E25))-(YEAR(D25)*12+MONTH(D25))+1)))</f>
        <v/>
      </c>
      <c r="AA28" s="292">
        <f>G28/F28</f>
        <v/>
      </c>
      <c r="AB28" s="689">
        <f>F28-G28</f>
        <v/>
      </c>
      <c r="AC28" s="293">
        <f>AC25</f>
        <v/>
      </c>
      <c r="AD28" s="291">
        <f>Y28/AC25</f>
        <v/>
      </c>
      <c r="AE28" s="690">
        <f>AC25-Y28</f>
        <v/>
      </c>
    </row>
    <row r="29" ht="14.25" customFormat="1" customHeight="1" s="483">
      <c r="A29" s="680" t="inlineStr">
        <is>
          <t>理财师009</t>
        </is>
      </c>
      <c r="B29" s="608" t="inlineStr">
        <is>
          <t>理财师048</t>
        </is>
      </c>
      <c r="C29" s="608" t="inlineStr">
        <is>
          <t>观察期PWA0-1</t>
        </is>
      </c>
      <c r="D29" s="645" t="n">
        <v>46082</v>
      </c>
      <c r="E29" s="645" t="n">
        <v>46234</v>
      </c>
      <c r="F29" s="153" t="n">
        <v>3056.1223</v>
      </c>
      <c r="G29" s="674" t="n">
        <v>150.398585</v>
      </c>
      <c r="H29" s="685" t="n">
        <v>0</v>
      </c>
      <c r="I29" s="685" t="n">
        <v>0</v>
      </c>
      <c r="J29" s="685" t="n">
        <v>0</v>
      </c>
      <c r="K29" s="685">
        <f>SUM(H29:J29)</f>
        <v/>
      </c>
      <c r="L29" s="685" t="n">
        <v>0</v>
      </c>
      <c r="M29" s="685" t="n">
        <v>0</v>
      </c>
      <c r="N29" s="685" t="n">
        <v>0</v>
      </c>
      <c r="O29" s="685">
        <f>SUM(L29:N29)</f>
        <v/>
      </c>
      <c r="P29" s="685" t="n">
        <v>103.23148</v>
      </c>
      <c r="Q29" s="685" t="n">
        <v>0</v>
      </c>
      <c r="R29" s="685" t="n">
        <v>47.167105</v>
      </c>
      <c r="S29" s="685">
        <f>SUM(P29:R29)</f>
        <v/>
      </c>
      <c r="T29" s="154" t="n">
        <v>51.706393</v>
      </c>
      <c r="U29" s="154" t="n">
        <v>90.204069</v>
      </c>
      <c r="V29" s="154" t="n">
        <v>16.925117</v>
      </c>
      <c r="W29" s="154">
        <f>SUM(T29:V29)</f>
        <v/>
      </c>
      <c r="X29" s="154" t="n">
        <v>193.330405</v>
      </c>
      <c r="Y29" s="267">
        <f>SUM(K29+O29+S29+W29+X29)</f>
        <v/>
      </c>
      <c r="Z29" s="232">
        <f>IF(F29=0,"",K29/(F29/((YEAR(E29)*12+MONTH(E29))-(YEAR(D29)*12+MONTH(D29))+1)))</f>
        <v/>
      </c>
      <c r="AA29" s="232">
        <f>G29/F29</f>
        <v/>
      </c>
      <c r="AB29" s="617">
        <f>F29-G29</f>
        <v/>
      </c>
      <c r="AC29" s="268">
        <f>SUM(F29:F31)</f>
        <v/>
      </c>
      <c r="AD29" s="232">
        <f>AD32</f>
        <v/>
      </c>
      <c r="AE29" s="681">
        <f>AE32</f>
        <v/>
      </c>
    </row>
    <row r="30" ht="14.25" customFormat="1" customHeight="1" s="483">
      <c r="A30" s="500" t="n"/>
      <c r="B30" s="563" t="inlineStr">
        <is>
          <t>理财师009</t>
        </is>
      </c>
      <c r="C30" s="563" t="inlineStr">
        <is>
          <t>私人财富管理专家PWA4-1</t>
        </is>
      </c>
      <c r="D30" s="676" t="n">
        <v>46023</v>
      </c>
      <c r="E30" s="676" t="n">
        <v>46203</v>
      </c>
      <c r="F30" s="83" t="n">
        <v>28282.8</v>
      </c>
      <c r="G30" s="565" t="n">
        <v>31807.264351</v>
      </c>
      <c r="H30" s="85" t="n">
        <v>49.686</v>
      </c>
      <c r="I30" s="85" t="n">
        <v>0</v>
      </c>
      <c r="J30" s="85" t="n">
        <v>0</v>
      </c>
      <c r="K30" s="85">
        <f>SUM(H30:J30)</f>
        <v/>
      </c>
      <c r="L30" s="85" t="n">
        <v>1108.359514</v>
      </c>
      <c r="M30" s="85" t="n">
        <v>20570.004</v>
      </c>
      <c r="N30" s="85" t="n">
        <v>0</v>
      </c>
      <c r="O30" s="85">
        <f>SUM(L30:N30)</f>
        <v/>
      </c>
      <c r="P30" s="85" t="n">
        <v>3314.503374</v>
      </c>
      <c r="Q30" s="85" t="n">
        <v>0</v>
      </c>
      <c r="R30" s="85" t="n">
        <v>699.48968</v>
      </c>
      <c r="S30" s="85">
        <f>SUM(P30:R30)</f>
        <v/>
      </c>
      <c r="T30" s="85" t="n">
        <v>4769.379014</v>
      </c>
      <c r="U30" s="85" t="n">
        <v>0</v>
      </c>
      <c r="V30" s="677" t="n">
        <v>225.874626</v>
      </c>
      <c r="W30" s="85">
        <f>SUM(T30:V30)</f>
        <v/>
      </c>
      <c r="X30" s="85" t="n">
        <v>1069.968142</v>
      </c>
      <c r="Y30" s="271">
        <f>SUM(K30+O30+S30+W30+X30)</f>
        <v/>
      </c>
      <c r="Z30" s="273">
        <f>IF(F30=0,"",K30/(F30/((YEAR(E30)*12+MONTH(E30))-(YEAR(D30)*12+MONTH(D30))+1)))</f>
        <v/>
      </c>
      <c r="AA30" s="273">
        <f>G30/F30</f>
        <v/>
      </c>
      <c r="AB30" s="678">
        <f>F30-G30</f>
        <v/>
      </c>
      <c r="AC30" s="500" t="n"/>
      <c r="AD30" s="500" t="n"/>
      <c r="AE30" s="500" t="n"/>
    </row>
    <row r="31" ht="14.25" customFormat="1" customHeight="1" s="483">
      <c r="A31" s="513" t="n"/>
      <c r="B31" s="572" t="inlineStr">
        <is>
          <t>理财师010</t>
        </is>
      </c>
      <c r="C31" s="572" t="inlineStr">
        <is>
          <t>观察期PWA0-2</t>
        </is>
      </c>
      <c r="D31" s="682" t="n">
        <v>46023</v>
      </c>
      <c r="E31" s="682" t="n">
        <v>46203</v>
      </c>
      <c r="F31" s="98" t="n">
        <v>4868.16</v>
      </c>
      <c r="G31" s="565" t="n">
        <v>13231.133502</v>
      </c>
      <c r="H31" s="100" t="n">
        <v>0</v>
      </c>
      <c r="I31" s="100" t="n">
        <v>0</v>
      </c>
      <c r="J31" s="100" t="n">
        <v>0</v>
      </c>
      <c r="K31" s="100">
        <f>SUM(H31:J31)</f>
        <v/>
      </c>
      <c r="L31" s="100" t="n">
        <v>949.2912</v>
      </c>
      <c r="M31" s="100" t="n">
        <v>0</v>
      </c>
      <c r="N31" s="100" t="n">
        <v>0</v>
      </c>
      <c r="O31" s="100">
        <f>SUM(L31:N31)</f>
        <v/>
      </c>
      <c r="P31" s="100" t="n">
        <v>2158.292651</v>
      </c>
      <c r="Q31" s="100" t="n">
        <v>8187.6366</v>
      </c>
      <c r="R31" s="100" t="n">
        <v>194.447373</v>
      </c>
      <c r="S31" s="100">
        <f>SUM(P31:R31)</f>
        <v/>
      </c>
      <c r="T31" s="100" t="n">
        <v>474.6456</v>
      </c>
      <c r="U31" s="100" t="n">
        <v>0</v>
      </c>
      <c r="V31" s="683" t="n">
        <v>122.035472</v>
      </c>
      <c r="W31" s="100">
        <f>SUM(T31:V31)</f>
        <v/>
      </c>
      <c r="X31" s="100" t="n">
        <v>1144.784607</v>
      </c>
      <c r="Y31" s="271">
        <f>SUM(K31+O31+S31+W31+X31)</f>
        <v/>
      </c>
      <c r="Z31" s="282">
        <f>IF(F31=0,"",K31/(F31/((YEAR(E31)*12+MONTH(E31))-(YEAR(D31)*12+MONTH(D31))+1)))</f>
        <v/>
      </c>
      <c r="AA31" s="282">
        <f>G31/F31</f>
        <v/>
      </c>
      <c r="AB31" s="684">
        <f>F31-G31</f>
        <v/>
      </c>
      <c r="AC31" s="513" t="n"/>
      <c r="AD31" s="513" t="n"/>
      <c r="AE31" s="513" t="n"/>
    </row>
    <row r="32" ht="14.25" customFormat="1" customHeight="1" s="483">
      <c r="A32" s="577" t="inlineStr">
        <is>
          <t>合计</t>
        </is>
      </c>
      <c r="B32" s="518" t="n"/>
      <c r="C32" s="518" t="n"/>
      <c r="D32" s="518" t="n"/>
      <c r="E32" s="578" t="n"/>
      <c r="F32" s="219">
        <f>SUM(F29:F31)</f>
        <v/>
      </c>
      <c r="G32" s="590">
        <f>SUM(G29:G31)</f>
        <v/>
      </c>
      <c r="H32" s="590">
        <f>SUM(H29:H31)</f>
        <v/>
      </c>
      <c r="I32" s="590">
        <f>SUM(I29:I31)</f>
        <v/>
      </c>
      <c r="J32" s="590">
        <f>SUM(J29:J31)</f>
        <v/>
      </c>
      <c r="K32" s="590">
        <f>SUM(K29:K31)</f>
        <v/>
      </c>
      <c r="L32" s="590">
        <f>SUM(L29:L31)</f>
        <v/>
      </c>
      <c r="M32" s="590">
        <f>SUM(M29:M31)</f>
        <v/>
      </c>
      <c r="N32" s="590">
        <f>SUM(N29:N31)</f>
        <v/>
      </c>
      <c r="O32" s="590">
        <f>SUM(O29:O31)</f>
        <v/>
      </c>
      <c r="P32" s="590">
        <f>SUM(P29:P31)</f>
        <v/>
      </c>
      <c r="Q32" s="590">
        <f>SUM(Q29:Q31)</f>
        <v/>
      </c>
      <c r="R32" s="590">
        <f>SUM(R29:R31)</f>
        <v/>
      </c>
      <c r="S32" s="590">
        <f>SUM(S29:S31)</f>
        <v/>
      </c>
      <c r="T32" s="590">
        <f>SUM(T29:T31)</f>
        <v/>
      </c>
      <c r="U32" s="590">
        <f>SUM(U29:U31)</f>
        <v/>
      </c>
      <c r="V32" s="590">
        <f>SUM(V29:V31)</f>
        <v/>
      </c>
      <c r="W32" s="590">
        <f>SUM(W29:W31)</f>
        <v/>
      </c>
      <c r="X32" s="590">
        <f>SUM(X29:X31)</f>
        <v/>
      </c>
      <c r="Y32" s="580">
        <f>SUM(K32+O32+S32+W32+X32)</f>
        <v/>
      </c>
      <c r="Z32" s="291">
        <f>IF(F32=0,"",K32/(F32/((YEAR(E29)*12+MONTH(E29))-(YEAR(D29)*12+MONTH(D29))+1)))</f>
        <v/>
      </c>
      <c r="AA32" s="292">
        <f>G32/F32</f>
        <v/>
      </c>
      <c r="AB32" s="689">
        <f>F32-G32</f>
        <v/>
      </c>
      <c r="AC32" s="293">
        <f>AC29</f>
        <v/>
      </c>
      <c r="AD32" s="291">
        <f>Y32/AC29</f>
        <v/>
      </c>
      <c r="AE32" s="690">
        <f>AC29-Y32</f>
        <v/>
      </c>
    </row>
    <row r="33" ht="14.25" customFormat="1" customHeight="1" s="483">
      <c r="A33" s="691" t="inlineStr">
        <is>
          <t>理财师020</t>
        </is>
      </c>
      <c r="B33" s="608" t="inlineStr">
        <is>
          <t>理财师020</t>
        </is>
      </c>
      <c r="C33" s="608" t="inlineStr">
        <is>
          <t>私人财富管理资深顾问PWA2-5</t>
        </is>
      </c>
      <c r="D33" s="645" t="n">
        <v>46023</v>
      </c>
      <c r="E33" s="645" t="n">
        <v>46203</v>
      </c>
      <c r="F33" s="153" t="n">
        <v>15907.32</v>
      </c>
      <c r="G33" s="674" t="n">
        <v>31542.79971</v>
      </c>
      <c r="H33" s="154" t="n">
        <v>0</v>
      </c>
      <c r="I33" s="154" t="n">
        <v>0</v>
      </c>
      <c r="J33" s="154" t="n">
        <v>0</v>
      </c>
      <c r="K33" s="267">
        <f>SUM(H33:J33)</f>
        <v/>
      </c>
      <c r="L33" s="154" t="n">
        <v>1259.210798</v>
      </c>
      <c r="M33" s="154" t="n">
        <v>3101.9274</v>
      </c>
      <c r="N33" s="154" t="n">
        <v>0</v>
      </c>
      <c r="O33" s="267">
        <f>SUM(L33:N33)</f>
        <v/>
      </c>
      <c r="P33" s="154" t="n">
        <v>10803.329409</v>
      </c>
      <c r="Q33" s="154" t="n">
        <v>0</v>
      </c>
      <c r="R33" s="154" t="n">
        <v>396.373158</v>
      </c>
      <c r="S33" s="267">
        <f>SUM(P33:R33)</f>
        <v/>
      </c>
      <c r="T33" s="154" t="n">
        <v>6594.535422</v>
      </c>
      <c r="U33" s="154" t="n">
        <v>0</v>
      </c>
      <c r="V33" s="154" t="n">
        <v>271.914403</v>
      </c>
      <c r="W33" s="267">
        <f>SUM(T33:V33)</f>
        <v/>
      </c>
      <c r="X33" s="267" t="n">
        <v>9115.509121999999</v>
      </c>
      <c r="Y33" s="267">
        <f>SUM(K33+O33+S33+W33+X33)</f>
        <v/>
      </c>
      <c r="Z33" s="232">
        <f>IF(F33=0,"",K33/(F33/((YEAR(E33)*12+MONTH(E33))-(YEAR(D33)*12+MONTH(D33))+1)))</f>
        <v/>
      </c>
      <c r="AA33" s="232">
        <f>G33/F33</f>
        <v/>
      </c>
      <c r="AB33" s="617">
        <f>F33-G33</f>
        <v/>
      </c>
      <c r="AC33" s="296">
        <f>SUM(F33:F34)</f>
        <v/>
      </c>
      <c r="AD33" s="232">
        <f>AD35</f>
        <v/>
      </c>
      <c r="AE33" s="692">
        <f>AE35</f>
        <v/>
      </c>
    </row>
    <row r="34" ht="14.25" customFormat="1" customHeight="1" s="483">
      <c r="A34" s="628" t="n"/>
      <c r="B34" s="608" t="inlineStr">
        <is>
          <t>理财师032</t>
        </is>
      </c>
      <c r="C34" s="608" t="inlineStr">
        <is>
          <t>C3</t>
        </is>
      </c>
      <c r="D34" s="693" t="n">
        <v>46049</v>
      </c>
      <c r="E34" s="693" t="n">
        <v>46229</v>
      </c>
      <c r="F34" s="153" t="n">
        <v>7912.17</v>
      </c>
      <c r="G34" s="565" t="n">
        <v>3857.440539</v>
      </c>
      <c r="H34" s="154" t="n">
        <v>0</v>
      </c>
      <c r="I34" s="154" t="n">
        <v>0</v>
      </c>
      <c r="J34" s="154" t="n">
        <v>0</v>
      </c>
      <c r="K34" s="154">
        <f>SUM(H34:J34)</f>
        <v/>
      </c>
      <c r="L34" s="154" t="n">
        <v>1008.99006</v>
      </c>
      <c r="M34" s="154" t="n">
        <v>0</v>
      </c>
      <c r="N34" s="154" t="n">
        <v>0</v>
      </c>
      <c r="O34" s="154">
        <f>SUM(L34:N34)</f>
        <v/>
      </c>
      <c r="P34" s="154" t="n">
        <v>0</v>
      </c>
      <c r="Q34" s="154" t="n">
        <v>342.296351</v>
      </c>
      <c r="R34" s="154" t="n">
        <v>35.098479</v>
      </c>
      <c r="S34" s="154">
        <f>SUM(P34:R34)</f>
        <v/>
      </c>
      <c r="T34" s="154" t="n">
        <v>440.8209</v>
      </c>
      <c r="U34" s="154" t="n">
        <v>0</v>
      </c>
      <c r="V34" s="683" t="n">
        <v>21.381724</v>
      </c>
      <c r="W34" s="154">
        <f>SUM(T34:V34)</f>
        <v/>
      </c>
      <c r="X34" s="154" t="n">
        <v>1310.569686</v>
      </c>
      <c r="Y34" s="271">
        <f>SUM(K34+O34+S34+W34+X34)</f>
        <v/>
      </c>
      <c r="Z34" s="299">
        <f>IF(F34=0,"",K34/(F34/((YEAR(E34)*12+MONTH(E34))-(YEAR(D34)*12+MONTH(D34))+1)))</f>
        <v/>
      </c>
      <c r="AA34" s="299">
        <f>G34/F34</f>
        <v/>
      </c>
      <c r="AB34" s="694">
        <f>F34-G34</f>
        <v/>
      </c>
      <c r="AC34" s="628" t="n"/>
      <c r="AD34" s="513" t="n"/>
      <c r="AE34" s="629" t="n"/>
    </row>
    <row r="35" ht="14.25" customFormat="1" customHeight="1" s="483">
      <c r="A35" s="577" t="inlineStr">
        <is>
          <t>合计</t>
        </is>
      </c>
      <c r="B35" s="518" t="n"/>
      <c r="C35" s="518" t="n"/>
      <c r="D35" s="518" t="n"/>
      <c r="E35" s="578" t="n"/>
      <c r="F35" s="219">
        <f>SUM(F33:F34)</f>
        <v/>
      </c>
      <c r="G35" s="590">
        <f>SUM(G33:G34)</f>
        <v/>
      </c>
      <c r="H35" s="539">
        <f>SUM(H33:H34)</f>
        <v/>
      </c>
      <c r="I35" s="539">
        <f>SUM(I33:I34)</f>
        <v/>
      </c>
      <c r="J35" s="539">
        <f>SUM(J33:J34)</f>
        <v/>
      </c>
      <c r="K35" s="539">
        <f>SUM(K33:K34)</f>
        <v/>
      </c>
      <c r="L35" s="539">
        <f>SUM(L33:L34)</f>
        <v/>
      </c>
      <c r="M35" s="539">
        <f>SUM(M33:M34)</f>
        <v/>
      </c>
      <c r="N35" s="539">
        <f>SUM(N33:N34)</f>
        <v/>
      </c>
      <c r="O35" s="539">
        <f>SUM(O33:O34)</f>
        <v/>
      </c>
      <c r="P35" s="539">
        <f>SUM(P33:P34)</f>
        <v/>
      </c>
      <c r="Q35" s="539">
        <f>SUM(Q33:Q34)</f>
        <v/>
      </c>
      <c r="R35" s="539">
        <f>SUM(R33:R34)</f>
        <v/>
      </c>
      <c r="S35" s="539">
        <f>SUM(S33:S34)</f>
        <v/>
      </c>
      <c r="T35" s="590">
        <f>SUM(T33:T34)</f>
        <v/>
      </c>
      <c r="U35" s="590">
        <f>SUM(U33:U34)</f>
        <v/>
      </c>
      <c r="V35" s="590">
        <f>SUM(V33:V34)</f>
        <v/>
      </c>
      <c r="W35" s="590">
        <f>SUM(W33:W34)</f>
        <v/>
      </c>
      <c r="X35" s="590">
        <f>SUM(X33:X34)</f>
        <v/>
      </c>
      <c r="Y35" s="580">
        <f>SUM(K35+O35+S35+W35+X35)</f>
        <v/>
      </c>
      <c r="Z35" s="291">
        <f>IF(F35=0,"",K35/(F35/((YEAR(E33)*12+MONTH(E33))-(YEAR(D33)*12+MONTH(D33))+1)))</f>
        <v/>
      </c>
      <c r="AA35" s="292">
        <f>G35/F35</f>
        <v/>
      </c>
      <c r="AB35" s="689">
        <f>F35-G35</f>
        <v/>
      </c>
      <c r="AC35" s="293">
        <f>AC33</f>
        <v/>
      </c>
      <c r="AD35" s="291">
        <f>Y35/AC33</f>
        <v/>
      </c>
      <c r="AE35" s="695">
        <f>AC33-Y35</f>
        <v/>
      </c>
    </row>
    <row r="36" ht="14.25" customFormat="1" customHeight="1" s="483">
      <c r="A36" s="691" t="inlineStr">
        <is>
          <t>理财师005</t>
        </is>
      </c>
      <c r="B36" s="608" t="inlineStr">
        <is>
          <t>理财师005</t>
        </is>
      </c>
      <c r="C36" s="608" t="inlineStr">
        <is>
          <t>私人财富管理资深顾问PWA2-4</t>
        </is>
      </c>
      <c r="D36" s="645" t="n">
        <v>46054</v>
      </c>
      <c r="E36" s="645" t="n">
        <v>46203</v>
      </c>
      <c r="F36" s="153" t="n">
        <v>9610.6</v>
      </c>
      <c r="G36" s="674" t="n">
        <v>9245.95507</v>
      </c>
      <c r="H36" s="154" t="n">
        <v>0</v>
      </c>
      <c r="I36" s="154" t="n">
        <v>0</v>
      </c>
      <c r="J36" s="154" t="n">
        <v>0</v>
      </c>
      <c r="K36" s="154">
        <f>SUM(H36:J36)</f>
        <v/>
      </c>
      <c r="L36" s="154" t="n">
        <v>1870.349984</v>
      </c>
      <c r="M36" s="154" t="n">
        <v>2312.474666</v>
      </c>
      <c r="N36" s="154" t="n">
        <v>0</v>
      </c>
      <c r="O36" s="154">
        <f>SUM(L36:N36)</f>
        <v/>
      </c>
      <c r="P36" s="154" t="n">
        <v>731.292658</v>
      </c>
      <c r="Q36" s="154" t="n">
        <v>1925.150771</v>
      </c>
      <c r="R36" s="154" t="n">
        <v>383.775324</v>
      </c>
      <c r="S36" s="154">
        <f>SUM(P36:R36)</f>
        <v/>
      </c>
      <c r="T36" s="154" t="n">
        <v>1738.204897</v>
      </c>
      <c r="U36" s="154" t="n">
        <v>0</v>
      </c>
      <c r="V36" s="154" t="n">
        <v>284.706769</v>
      </c>
      <c r="W36" s="154">
        <f>SUM(T36:V36)</f>
        <v/>
      </c>
      <c r="X36" s="154" t="n">
        <v>1538.392041</v>
      </c>
      <c r="Y36" s="267">
        <f>SUM(K36+O36+S36+W36+X36)</f>
        <v/>
      </c>
      <c r="Z36" s="232">
        <f>IF(F36=0,"",K36/(F36/((YEAR(E36)*12+MONTH(E36))-(YEAR(D36)*12+MONTH(D36))+1)))</f>
        <v/>
      </c>
      <c r="AA36" s="232">
        <f>G36/F36</f>
        <v/>
      </c>
      <c r="AB36" s="617">
        <f>F36-G36</f>
        <v/>
      </c>
      <c r="AC36" s="296">
        <f>SUM(F36:F37)</f>
        <v/>
      </c>
      <c r="AD36" s="232">
        <f>AD38</f>
        <v/>
      </c>
      <c r="AE36" s="692">
        <f>AE38</f>
        <v/>
      </c>
    </row>
    <row r="37" ht="14.25" customFormat="1" customHeight="1" s="483">
      <c r="A37" s="628" t="n"/>
      <c r="B37" s="608" t="inlineStr">
        <is>
          <t>理财师026</t>
        </is>
      </c>
      <c r="C37" s="608" t="inlineStr">
        <is>
          <t>观察期PWA0-1</t>
        </is>
      </c>
      <c r="D37" s="693" t="n">
        <v>46113</v>
      </c>
      <c r="E37" s="693" t="n">
        <v>46203</v>
      </c>
      <c r="F37" s="153" t="n">
        <v>1943.13</v>
      </c>
      <c r="G37" s="565" t="n">
        <v>437.370804</v>
      </c>
      <c r="H37" s="154" t="n">
        <v>0</v>
      </c>
      <c r="I37" s="154" t="n">
        <v>0</v>
      </c>
      <c r="J37" s="154" t="n">
        <v>0</v>
      </c>
      <c r="K37" s="154">
        <f>SUM(H37:J37)</f>
        <v/>
      </c>
      <c r="L37" s="154" t="n">
        <v>437.370804</v>
      </c>
      <c r="M37" s="154" t="n">
        <v>0</v>
      </c>
      <c r="N37" s="154" t="n">
        <v>0</v>
      </c>
      <c r="O37" s="154">
        <f>SUM(L37:N37)</f>
        <v/>
      </c>
      <c r="P37" s="154" t="n">
        <v>809.929895</v>
      </c>
      <c r="Q37" s="154" t="n">
        <v>0</v>
      </c>
      <c r="R37" s="154" t="n">
        <v>47.503424</v>
      </c>
      <c r="S37" s="154">
        <f>SUM(P37:R37)</f>
        <v/>
      </c>
      <c r="T37" s="154" t="n">
        <v>176.20858</v>
      </c>
      <c r="U37" s="154" t="n">
        <v>0</v>
      </c>
      <c r="V37" s="683" t="n">
        <v>11.404098</v>
      </c>
      <c r="W37" s="154">
        <f>SUM(T37:V37)</f>
        <v/>
      </c>
      <c r="X37" s="154" t="n">
        <v>12.282809</v>
      </c>
      <c r="Y37" s="271">
        <f>SUM(K37+O37+S37+W37+X37)</f>
        <v/>
      </c>
      <c r="Z37" s="299">
        <f>IF(F37=0,"",K37/(F37/((YEAR(E37)*12+MONTH(E37))-(YEAR(D37)*12+MONTH(D37))+1)))</f>
        <v/>
      </c>
      <c r="AA37" s="299">
        <f>G37/F37</f>
        <v/>
      </c>
      <c r="AB37" s="696">
        <f>F37-G37</f>
        <v/>
      </c>
      <c r="AC37" s="628" t="n"/>
      <c r="AD37" s="513" t="n"/>
      <c r="AE37" s="629" t="n"/>
    </row>
    <row r="38" ht="14.25" customFormat="1" customHeight="1" s="483">
      <c r="A38" s="577" t="inlineStr">
        <is>
          <t>合计</t>
        </is>
      </c>
      <c r="B38" s="518" t="n"/>
      <c r="C38" s="518" t="n"/>
      <c r="D38" s="518" t="n"/>
      <c r="E38" s="578" t="n"/>
      <c r="F38" s="219">
        <f>SUM(F36:F37)</f>
        <v/>
      </c>
      <c r="G38" s="590">
        <f>SUM(G36:G37)</f>
        <v/>
      </c>
      <c r="H38" s="539">
        <f>SUM(H36:H37)</f>
        <v/>
      </c>
      <c r="I38" s="539">
        <f>SUM(I36:I37)</f>
        <v/>
      </c>
      <c r="J38" s="539">
        <f>SUM(J36:J37)</f>
        <v/>
      </c>
      <c r="K38" s="539">
        <f>SUM(K36:K37)</f>
        <v/>
      </c>
      <c r="L38" s="539">
        <f>SUM(L36:L37)</f>
        <v/>
      </c>
      <c r="M38" s="539">
        <f>SUM(M36:M37)</f>
        <v/>
      </c>
      <c r="N38" s="539">
        <f>SUM(N36:N37)</f>
        <v/>
      </c>
      <c r="O38" s="539">
        <f>SUM(O36:O37)</f>
        <v/>
      </c>
      <c r="P38" s="539">
        <f>SUM(P36:P37)</f>
        <v/>
      </c>
      <c r="Q38" s="539">
        <f>SUM(Q36:Q37)</f>
        <v/>
      </c>
      <c r="R38" s="539">
        <f>SUM(R36:R37)</f>
        <v/>
      </c>
      <c r="S38" s="539">
        <f>SUM(S36:S37)</f>
        <v/>
      </c>
      <c r="T38" s="590">
        <f>SUM(T36:T37)</f>
        <v/>
      </c>
      <c r="U38" s="590">
        <f>SUM(U36:U37)</f>
        <v/>
      </c>
      <c r="V38" s="590">
        <f>SUM(V36:V37)</f>
        <v/>
      </c>
      <c r="W38" s="590">
        <f>SUM(W36:W37)</f>
        <v/>
      </c>
      <c r="X38" s="590">
        <f>SUM(X36:X37)</f>
        <v/>
      </c>
      <c r="Y38" s="580">
        <f>SUM(K38+O38+S38+W38+X38)</f>
        <v/>
      </c>
      <c r="Z38" s="209">
        <f>IF(F38=0,"",K38/(F38/((YEAR(E36)*12+MONTH(E36))-(YEAR(D36)*12+MONTH(D36))+1)))</f>
        <v/>
      </c>
      <c r="AA38" s="303">
        <f>G38/F38</f>
        <v/>
      </c>
      <c r="AB38" s="590">
        <f>F38-G38</f>
        <v/>
      </c>
      <c r="AC38" s="293">
        <f>AC36</f>
        <v/>
      </c>
      <c r="AD38" s="291">
        <f>Y38/AC36</f>
        <v/>
      </c>
      <c r="AE38" s="690">
        <f>AC36-Y38</f>
        <v/>
      </c>
    </row>
    <row r="39" ht="14.25" customFormat="1" customHeight="1" s="483">
      <c r="A39" s="691" t="inlineStr">
        <is>
          <t>理财师008</t>
        </is>
      </c>
      <c r="B39" s="608" t="inlineStr">
        <is>
          <t>理财师008</t>
        </is>
      </c>
      <c r="C39" s="608" t="inlineStr">
        <is>
          <t>私人财富管理专家PWA4-2</t>
        </is>
      </c>
      <c r="D39" s="645" t="n">
        <v>46023</v>
      </c>
      <c r="E39" s="645" t="n">
        <v>46203</v>
      </c>
      <c r="F39" s="153" t="n">
        <v>24202.22</v>
      </c>
      <c r="G39" s="674" t="n">
        <v>22328.158632</v>
      </c>
      <c r="H39" s="154" t="n">
        <v>0</v>
      </c>
      <c r="I39" s="154" t="n">
        <v>0</v>
      </c>
      <c r="J39" s="154" t="n">
        <v>0</v>
      </c>
      <c r="K39" s="154">
        <f>SUM(H39:J39)</f>
        <v/>
      </c>
      <c r="L39" s="154" t="n">
        <v>3533.62581</v>
      </c>
      <c r="M39" s="154" t="n">
        <v>5258.79666</v>
      </c>
      <c r="N39" s="154" t="n">
        <v>0</v>
      </c>
      <c r="O39" s="154">
        <f>SUM(L39:N39)</f>
        <v/>
      </c>
      <c r="P39" s="154" t="n">
        <v>9546.464904</v>
      </c>
      <c r="Q39" s="154" t="n">
        <v>0</v>
      </c>
      <c r="R39" s="154" t="n">
        <v>374.343744</v>
      </c>
      <c r="S39" s="154">
        <f>SUM(P39:R39)</f>
        <v/>
      </c>
      <c r="T39" s="154" t="n">
        <v>1081.878995</v>
      </c>
      <c r="U39" s="154" t="n">
        <v>523.50012</v>
      </c>
      <c r="V39" s="154" t="n">
        <v>135.589522</v>
      </c>
      <c r="W39" s="154">
        <f>SUM(T39:V39)</f>
        <v/>
      </c>
      <c r="X39" s="154" t="n">
        <v>1873.958877</v>
      </c>
      <c r="Y39" s="267">
        <f>SUM(K39+O39+S39+W39+X39)</f>
        <v/>
      </c>
      <c r="Z39" s="232">
        <f>IF(F39=0,"",K39/(F39/((YEAR(E39)*12+MONTH(E39))-(YEAR(D39)*12+MONTH(D39))+1)))</f>
        <v/>
      </c>
      <c r="AA39" s="232">
        <f>G39/F39</f>
        <v/>
      </c>
      <c r="AB39" s="617">
        <f>F39-G39</f>
        <v/>
      </c>
      <c r="AC39" s="296">
        <f>SUM(F39:F40)</f>
        <v/>
      </c>
      <c r="AD39" s="232">
        <f>AD41</f>
        <v/>
      </c>
      <c r="AE39" s="692">
        <f>AE41</f>
        <v/>
      </c>
    </row>
    <row r="40" ht="14.25" customFormat="1" customHeight="1" s="483">
      <c r="A40" s="628" t="n"/>
      <c r="B40" s="608" t="inlineStr">
        <is>
          <t>理财师011</t>
        </is>
      </c>
      <c r="C40" s="608" t="inlineStr">
        <is>
          <t>私人财富管理资深顾问PWA2-2</t>
        </is>
      </c>
      <c r="D40" s="693" t="n">
        <v>46023</v>
      </c>
      <c r="E40" s="693" t="n">
        <v>46203</v>
      </c>
      <c r="F40" s="153" t="n">
        <v>5045.88</v>
      </c>
      <c r="G40" s="565" t="n">
        <v>775.188773</v>
      </c>
      <c r="H40" s="154" t="n">
        <v>0</v>
      </c>
      <c r="I40" s="154" t="n">
        <v>0</v>
      </c>
      <c r="J40" s="154" t="n">
        <v>0</v>
      </c>
      <c r="K40" s="154">
        <f>SUM(H40:J40)</f>
        <v/>
      </c>
      <c r="L40" s="154" t="n">
        <v>178.04748</v>
      </c>
      <c r="M40" s="154" t="n">
        <v>0</v>
      </c>
      <c r="N40" s="154" t="n">
        <v>0</v>
      </c>
      <c r="O40" s="154">
        <f>SUM(L40:N40)</f>
        <v/>
      </c>
      <c r="P40" s="154" t="n">
        <v>47.229437</v>
      </c>
      <c r="Q40" s="154" t="n">
        <v>0</v>
      </c>
      <c r="R40" s="154" t="n">
        <v>24.120644</v>
      </c>
      <c r="S40" s="154">
        <f>SUM(P40:R40)</f>
        <v/>
      </c>
      <c r="T40" s="154" t="n">
        <v>524.574731</v>
      </c>
      <c r="U40" s="154" t="n">
        <v>0</v>
      </c>
      <c r="V40" s="683" t="n">
        <v>1.216481</v>
      </c>
      <c r="W40" s="154">
        <f>SUM(T40:V40)</f>
        <v/>
      </c>
      <c r="X40" s="154" t="n">
        <v>0</v>
      </c>
      <c r="Y40" s="271">
        <f>SUM(K40+O40+S40+W40+X40)</f>
        <v/>
      </c>
      <c r="Z40" s="299">
        <f>IF(F40=0,"",K40/(F40/((YEAR(E40)*12+MONTH(E40))-(YEAR(D40)*12+MONTH(D40))+1)))</f>
        <v/>
      </c>
      <c r="AA40" s="299">
        <f>G40/F40</f>
        <v/>
      </c>
      <c r="AB40" s="696">
        <f>F40-G40</f>
        <v/>
      </c>
      <c r="AC40" s="628" t="n"/>
      <c r="AD40" s="513" t="n"/>
      <c r="AE40" s="629" t="n"/>
    </row>
    <row r="41" ht="14.25" customFormat="1" customHeight="1" s="483">
      <c r="A41" s="577" t="inlineStr">
        <is>
          <t>合计</t>
        </is>
      </c>
      <c r="B41" s="518" t="n"/>
      <c r="C41" s="518" t="n"/>
      <c r="D41" s="518" t="n"/>
      <c r="E41" s="578" t="n"/>
      <c r="F41" s="219">
        <f>SUM(F39:F40)</f>
        <v/>
      </c>
      <c r="G41" s="590">
        <f>SUM(G39:G40)</f>
        <v/>
      </c>
      <c r="H41" s="539">
        <f>SUM(H39:H40)</f>
        <v/>
      </c>
      <c r="I41" s="539">
        <f>SUM(I39:I40)</f>
        <v/>
      </c>
      <c r="J41" s="539">
        <f>SUM(J39:J40)</f>
        <v/>
      </c>
      <c r="K41" s="539">
        <f>SUM(K39:K40)</f>
        <v/>
      </c>
      <c r="L41" s="539">
        <f>SUM(L39:L40)</f>
        <v/>
      </c>
      <c r="M41" s="539">
        <f>SUM(M39:M40)</f>
        <v/>
      </c>
      <c r="N41" s="539">
        <f>SUM(N39:N40)</f>
        <v/>
      </c>
      <c r="O41" s="539">
        <f>SUM(O39:O40)</f>
        <v/>
      </c>
      <c r="P41" s="539">
        <f>SUM(P39:P40)</f>
        <v/>
      </c>
      <c r="Q41" s="539">
        <f>SUM(Q39:Q40)</f>
        <v/>
      </c>
      <c r="R41" s="539">
        <f>SUM(R39:R40)</f>
        <v/>
      </c>
      <c r="S41" s="539">
        <f>SUM(S39:S40)</f>
        <v/>
      </c>
      <c r="T41" s="590">
        <f>SUM(T39:T40)</f>
        <v/>
      </c>
      <c r="U41" s="590">
        <f>SUM(U39:U40)</f>
        <v/>
      </c>
      <c r="V41" s="590">
        <f>SUM(V39:V40)</f>
        <v/>
      </c>
      <c r="W41" s="590">
        <f>SUM(W39:W40)</f>
        <v/>
      </c>
      <c r="X41" s="590">
        <f>SUM(X39:X40)</f>
        <v/>
      </c>
      <c r="Y41" s="580">
        <f>SUM(K41+O41+S41+W41+X41)</f>
        <v/>
      </c>
      <c r="Z41" s="209">
        <f>IF(F41=0,"",K41/(F41/((YEAR(E39)*12+MONTH(E39))-(YEAR(D39)*12+MONTH(D39))+1)))</f>
        <v/>
      </c>
      <c r="AA41" s="303">
        <f>G41/F41</f>
        <v/>
      </c>
      <c r="AB41" s="590">
        <f>F41-G41</f>
        <v/>
      </c>
      <c r="AC41" s="293">
        <f>AC39</f>
        <v/>
      </c>
      <c r="AD41" s="291">
        <f>Y41/AC39</f>
        <v/>
      </c>
      <c r="AE41" s="690">
        <f>AC39-Y41</f>
        <v/>
      </c>
    </row>
    <row r="42" ht="14.25" customFormat="1" customHeight="1" s="483">
      <c r="A42" s="680" t="inlineStr">
        <is>
          <t>理财师004</t>
        </is>
      </c>
      <c r="B42" s="608" t="inlineStr">
        <is>
          <t>理财师003</t>
        </is>
      </c>
      <c r="C42" s="608" t="inlineStr">
        <is>
          <t>私人财富管理总监PWA3-3</t>
        </is>
      </c>
      <c r="D42" s="645" t="n">
        <v>46054</v>
      </c>
      <c r="E42" s="645" t="n">
        <v>46203</v>
      </c>
      <c r="F42" s="153" t="n">
        <v>18856.5</v>
      </c>
      <c r="G42" s="674" t="n">
        <v>7173.127182</v>
      </c>
      <c r="H42" s="680" t="n">
        <v>0</v>
      </c>
      <c r="I42" s="680" t="n">
        <v>0</v>
      </c>
      <c r="J42" s="680" t="n">
        <v>0</v>
      </c>
      <c r="K42" s="680">
        <f>SUM(H42:J42)</f>
        <v/>
      </c>
      <c r="L42" s="680" t="n">
        <v>564.492584</v>
      </c>
      <c r="M42" s="680" t="n">
        <v>0</v>
      </c>
      <c r="N42" s="680" t="n">
        <v>0</v>
      </c>
      <c r="O42" s="680">
        <f>SUM(L42:N42)</f>
        <v/>
      </c>
      <c r="P42" s="680" t="n">
        <v>1550.383391</v>
      </c>
      <c r="Q42" s="680" t="n">
        <v>0</v>
      </c>
      <c r="R42" s="680" t="n">
        <v>2273.498356</v>
      </c>
      <c r="S42" s="680">
        <f>SUM(P42:R42)</f>
        <v/>
      </c>
      <c r="T42" s="154" t="n">
        <v>1396.194268</v>
      </c>
      <c r="U42" s="154" t="n">
        <v>0</v>
      </c>
      <c r="V42" s="154" t="n">
        <v>1388.558583</v>
      </c>
      <c r="W42" s="154">
        <f>SUM(T42:V42)</f>
        <v/>
      </c>
      <c r="X42" s="154" t="n">
        <v>7202.586607</v>
      </c>
      <c r="Y42" s="267">
        <f>SUM(K42+O42+S42+W42+X42)</f>
        <v/>
      </c>
      <c r="Z42" s="232">
        <f>IF(F42=0,"",K42/(F42/((YEAR(E42)*12+MONTH(E42))-(YEAR(D42)*12+MONTH(D42))+1)))</f>
        <v/>
      </c>
      <c r="AA42" s="232">
        <f>G42/F42</f>
        <v/>
      </c>
      <c r="AB42" s="617">
        <f>F42-G42</f>
        <v/>
      </c>
      <c r="AC42" s="296">
        <f>SUM(F42:F46)</f>
        <v/>
      </c>
      <c r="AD42" s="232">
        <f>AD47</f>
        <v/>
      </c>
      <c r="AE42" s="692">
        <f>AE47</f>
        <v/>
      </c>
    </row>
    <row r="43" ht="14.25" customFormat="1" customHeight="1" s="483">
      <c r="A43" s="500" t="n"/>
      <c r="B43" s="563" t="inlineStr">
        <is>
          <t>理财师006</t>
        </is>
      </c>
      <c r="C43" s="563" t="inlineStr">
        <is>
          <t>私人财富管理专家PWA4-5</t>
        </is>
      </c>
      <c r="D43" s="676" t="n">
        <v>46023</v>
      </c>
      <c r="E43" s="676" t="n">
        <v>46203</v>
      </c>
      <c r="F43" s="83" t="n">
        <v>17235</v>
      </c>
      <c r="G43" s="565" t="n">
        <v>12094.368998</v>
      </c>
      <c r="H43" s="85" t="n">
        <v>0</v>
      </c>
      <c r="I43" s="85" t="n">
        <v>0</v>
      </c>
      <c r="J43" s="85" t="n">
        <v>0</v>
      </c>
      <c r="K43" s="85">
        <f>SUM(H43:J43)</f>
        <v/>
      </c>
      <c r="L43" s="85" t="n">
        <v>1486.439176</v>
      </c>
      <c r="M43" s="85" t="n">
        <v>0</v>
      </c>
      <c r="N43" s="85" t="n">
        <v>0</v>
      </c>
      <c r="O43" s="85">
        <f>SUM(L43:N43)</f>
        <v/>
      </c>
      <c r="P43" s="85" t="n">
        <v>2747.788321</v>
      </c>
      <c r="Q43" s="85" t="n">
        <v>0</v>
      </c>
      <c r="R43" s="85" t="n">
        <v>610.841506</v>
      </c>
      <c r="S43" s="85">
        <f>SUM(P43:R43)</f>
        <v/>
      </c>
      <c r="T43" s="85" t="n">
        <v>1566.390968</v>
      </c>
      <c r="U43" s="85" t="n">
        <v>1037.679365</v>
      </c>
      <c r="V43" s="677" t="n">
        <v>311.654822</v>
      </c>
      <c r="W43" s="118">
        <f>SUM(T43:V43)</f>
        <v/>
      </c>
      <c r="X43" s="118" t="n">
        <v>4333.574839</v>
      </c>
      <c r="Y43" s="271">
        <f>SUM(K43+O43+S43+W43+X43)</f>
        <v/>
      </c>
      <c r="Z43" s="273">
        <f>IF(F43=0,"",K43/(F43/((YEAR(E43)*12+MONTH(E43))-(YEAR(D43)*12+MONTH(D43))+1)))</f>
        <v/>
      </c>
      <c r="AA43" s="273">
        <f>G43/F43</f>
        <v/>
      </c>
      <c r="AB43" s="678">
        <f>F43-G43</f>
        <v/>
      </c>
      <c r="AC43" s="626" t="n"/>
      <c r="AD43" s="500" t="n"/>
      <c r="AE43" s="627" t="n"/>
    </row>
    <row r="44" ht="14.25" customFormat="1" customHeight="1" s="483">
      <c r="A44" s="500" t="n"/>
      <c r="B44" s="563" t="inlineStr">
        <is>
          <t>理财师012</t>
        </is>
      </c>
      <c r="C44" s="563" t="inlineStr">
        <is>
          <t>首席私人财富管理专家PWA5-3</t>
        </is>
      </c>
      <c r="D44" s="676" t="n">
        <v>46023</v>
      </c>
      <c r="E44" s="676" t="n">
        <v>46203</v>
      </c>
      <c r="F44" s="83" t="n">
        <v>51394.5</v>
      </c>
      <c r="G44" s="586" t="n">
        <v>20699.568759</v>
      </c>
      <c r="H44" s="85" t="n">
        <v>3340.6425</v>
      </c>
      <c r="I44" s="85" t="n">
        <v>0</v>
      </c>
      <c r="J44" s="85" t="n">
        <v>0</v>
      </c>
      <c r="K44" s="85">
        <f>SUM(H44:J44)</f>
        <v/>
      </c>
      <c r="L44" s="85" t="n">
        <v>904.43984</v>
      </c>
      <c r="M44" s="85" t="n">
        <v>0</v>
      </c>
      <c r="N44" s="85" t="n">
        <v>0</v>
      </c>
      <c r="O44" s="85">
        <f>SUM(L44:N44)</f>
        <v/>
      </c>
      <c r="P44" s="85" t="n">
        <v>3160.387028</v>
      </c>
      <c r="Q44" s="85" t="n">
        <v>0</v>
      </c>
      <c r="R44" s="85" t="n">
        <v>3880.484178</v>
      </c>
      <c r="S44" s="85">
        <f>SUM(P44:R44)</f>
        <v/>
      </c>
      <c r="T44" s="85" t="n">
        <v>3065.24731</v>
      </c>
      <c r="U44" s="85" t="n">
        <v>0</v>
      </c>
      <c r="V44" s="677" t="n">
        <v>1466.609142</v>
      </c>
      <c r="W44" s="85">
        <f>SUM(T44:V44)</f>
        <v/>
      </c>
      <c r="X44" s="85" t="n">
        <v>4881.758761</v>
      </c>
      <c r="Y44" s="271">
        <f>SUM(K44+O44+S44+W44+X44)</f>
        <v/>
      </c>
      <c r="Z44" s="273">
        <f>IF(F44=0,"",K44/(F44/((YEAR(E44)*12+MONTH(E44))-(YEAR(D44)*12+MONTH(D44))+1)))</f>
        <v/>
      </c>
      <c r="AA44" s="273">
        <f>G44/F44</f>
        <v/>
      </c>
      <c r="AB44" s="678">
        <f>F44-G44</f>
        <v/>
      </c>
      <c r="AC44" s="626" t="n"/>
      <c r="AD44" s="500" t="n"/>
      <c r="AE44" s="627" t="n"/>
    </row>
    <row r="45" ht="14.25" customFormat="1" customHeight="1" s="483">
      <c r="A45" s="500" t="n"/>
      <c r="B45" s="572" t="inlineStr">
        <is>
          <t>理财师004</t>
        </is>
      </c>
      <c r="C45" s="572" t="inlineStr"/>
      <c r="D45" s="572" t="inlineStr"/>
      <c r="E45" s="572" t="inlineStr"/>
      <c r="F45" s="98" t="inlineStr"/>
      <c r="G45" s="574" t="n">
        <v>0</v>
      </c>
      <c r="H45" s="100" t="n">
        <v>0</v>
      </c>
      <c r="I45" s="100" t="n">
        <v>0</v>
      </c>
      <c r="J45" s="100" t="n">
        <v>0</v>
      </c>
      <c r="K45" s="100">
        <f>SUM(H45:J45)</f>
        <v/>
      </c>
      <c r="L45" s="100" t="n">
        <v>757.832636</v>
      </c>
      <c r="M45" s="100" t="n">
        <v>0</v>
      </c>
      <c r="N45" s="100" t="n">
        <v>0</v>
      </c>
      <c r="O45" s="100">
        <f>SUM(L45:N45)</f>
        <v/>
      </c>
      <c r="P45" s="100" t="n">
        <v>1958.298381</v>
      </c>
      <c r="Q45" s="100" t="n">
        <v>0</v>
      </c>
      <c r="R45" s="100" t="n">
        <v>668.610552</v>
      </c>
      <c r="S45" s="100">
        <f>SUM(P45:R45)</f>
        <v/>
      </c>
      <c r="T45" s="100" t="n">
        <v>2837.047697</v>
      </c>
      <c r="U45" s="100" t="n">
        <v>0</v>
      </c>
      <c r="V45" s="683" t="n">
        <v>465.325028</v>
      </c>
      <c r="W45" s="100">
        <f>SUM(T45:V45)</f>
        <v/>
      </c>
      <c r="X45" s="100" t="n">
        <v>2545.018293</v>
      </c>
      <c r="Y45" s="271">
        <f>SUM(K45+O45+S45+W45+X45)</f>
        <v/>
      </c>
      <c r="Z45" s="282">
        <f>IF(F45=0,"",K45/(F45/((YEAR(E45)*12+MONTH(E45))-(YEAR(D45)*12+MONTH(D45))+1)))</f>
        <v/>
      </c>
      <c r="AA45" s="282">
        <f>G45/F45</f>
        <v/>
      </c>
      <c r="AB45" s="684">
        <f>F45-G45</f>
        <v/>
      </c>
      <c r="AC45" s="626" t="n"/>
      <c r="AD45" s="500" t="n"/>
      <c r="AE45" s="627" t="n"/>
    </row>
    <row r="46" ht="14.25" customFormat="1" customHeight="1" s="483">
      <c r="A46" s="513" t="n"/>
      <c r="B46" s="572" t="inlineStr">
        <is>
          <t>理财师029</t>
        </is>
      </c>
      <c r="C46" s="572" t="inlineStr">
        <is>
          <t>私人财富管理专家PWA4-3</t>
        </is>
      </c>
      <c r="D46" s="697" t="n">
        <v>46150</v>
      </c>
      <c r="E46" s="697" t="n">
        <v>46333</v>
      </c>
      <c r="F46" s="572" t="n">
        <v>16404.52</v>
      </c>
      <c r="G46" s="698" t="n">
        <v>410.9235</v>
      </c>
      <c r="H46" s="100" t="n">
        <v>0</v>
      </c>
      <c r="I46" s="100" t="n">
        <v>0</v>
      </c>
      <c r="J46" s="100" t="n">
        <v>0</v>
      </c>
      <c r="K46" s="100">
        <f>SUM(H46:J46)</f>
        <v/>
      </c>
      <c r="L46" s="100" t="n">
        <v>410.9235</v>
      </c>
      <c r="M46" s="100" t="n">
        <v>0</v>
      </c>
      <c r="N46" s="100" t="n">
        <v>0</v>
      </c>
      <c r="O46" s="100">
        <f>SUM(L46:N46)</f>
        <v/>
      </c>
      <c r="P46" s="100" t="n">
        <v>0</v>
      </c>
      <c r="Q46" s="100" t="n">
        <v>0</v>
      </c>
      <c r="R46" s="100" t="n">
        <v>0</v>
      </c>
      <c r="S46" s="100">
        <f>SUM(P46:R46)</f>
        <v/>
      </c>
      <c r="T46" s="100" t="n">
        <v>0</v>
      </c>
      <c r="U46" s="100" t="n">
        <v>0</v>
      </c>
      <c r="V46" s="683" t="n">
        <v>0</v>
      </c>
      <c r="W46" s="100">
        <f>SUM(T46:V46)</f>
        <v/>
      </c>
      <c r="X46" s="100" t="n">
        <v>0</v>
      </c>
      <c r="Y46" s="271">
        <f>SUM(K46+O46+S46+W46+X46)</f>
        <v/>
      </c>
      <c r="Z46" s="306">
        <f>IF(F46=0,"",K46/(F46/((YEAR(E46)*12+MONTH(E46))-(YEAR(D46)*12+MONTH(D46))+1)))</f>
        <v/>
      </c>
      <c r="AA46" s="306">
        <f>G46/F46</f>
        <v/>
      </c>
      <c r="AB46" s="699">
        <f>F46-G46</f>
        <v/>
      </c>
      <c r="AC46" s="628" t="n"/>
      <c r="AD46" s="513" t="n"/>
      <c r="AE46" s="629" t="n"/>
    </row>
    <row r="47" ht="14.25" customFormat="1" customHeight="1" s="483">
      <c r="A47" s="577" t="inlineStr">
        <is>
          <t>合计</t>
        </is>
      </c>
      <c r="B47" s="518" t="n"/>
      <c r="C47" s="518" t="n"/>
      <c r="D47" s="518" t="n"/>
      <c r="E47" s="578" t="n"/>
      <c r="F47" s="219">
        <f>SUM(F42:F46)</f>
        <v/>
      </c>
      <c r="G47" s="590">
        <f>SUM(G42:G46)</f>
        <v/>
      </c>
      <c r="H47" s="688">
        <f>SUM(H42:H46)</f>
        <v/>
      </c>
      <c r="I47" s="688">
        <f>SUM(I42:I46)</f>
        <v/>
      </c>
      <c r="J47" s="688">
        <f>SUM(J42:J46)</f>
        <v/>
      </c>
      <c r="K47" s="689">
        <f>SUM(K42:K46)</f>
        <v/>
      </c>
      <c r="L47" s="688">
        <f>SUM(L42:L46)</f>
        <v/>
      </c>
      <c r="M47" s="688">
        <f>SUM(M42:M46)</f>
        <v/>
      </c>
      <c r="N47" s="688">
        <f>SUM(N42:N46)</f>
        <v/>
      </c>
      <c r="O47" s="689">
        <f>SUM(O42:O46)</f>
        <v/>
      </c>
      <c r="P47" s="688">
        <f>SUM(P42:P46)</f>
        <v/>
      </c>
      <c r="Q47" s="688">
        <f>SUM(Q42:Q46)</f>
        <v/>
      </c>
      <c r="R47" s="688">
        <f>SUM(R42:R46)</f>
        <v/>
      </c>
      <c r="S47" s="689">
        <f>SUM(S42:S46)</f>
        <v/>
      </c>
      <c r="T47" s="590">
        <f>SUM(T42:T46)</f>
        <v/>
      </c>
      <c r="U47" s="590">
        <f>SUM(U42:U46)</f>
        <v/>
      </c>
      <c r="V47" s="688">
        <f>SUM(V42:V46)</f>
        <v/>
      </c>
      <c r="W47" s="689">
        <f>SUM(W42:W46)</f>
        <v/>
      </c>
      <c r="X47" s="689">
        <f>SUM(X42:X46)</f>
        <v/>
      </c>
      <c r="Y47" s="580">
        <f>SUM(K47+O47+S47+W47+X47)</f>
        <v/>
      </c>
      <c r="Z47" s="291">
        <f>IF(F47=0,"",K47/(F47/((YEAR(E42)*12+MONTH(E42))-(YEAR(D42)*12+MONTH(D42))+1)))</f>
        <v/>
      </c>
      <c r="AA47" s="292">
        <f>G47/F47</f>
        <v/>
      </c>
      <c r="AB47" s="689">
        <f>F47-G47</f>
        <v/>
      </c>
      <c r="AC47" s="293">
        <f>AC42</f>
        <v/>
      </c>
      <c r="AD47" s="291">
        <f>Y47/AC42</f>
        <v/>
      </c>
      <c r="AE47" s="690">
        <f>AC42-Y47</f>
        <v/>
      </c>
    </row>
    <row r="48" ht="14.25" customFormat="1" customHeight="1" s="483">
      <c r="A48" s="610" t="inlineStr">
        <is>
          <t>其他团队</t>
        </is>
      </c>
      <c r="B48" s="608" t="inlineStr">
        <is>
          <t>理财师033</t>
        </is>
      </c>
      <c r="C48" s="608" t="inlineStr"/>
      <c r="D48" s="700" t="inlineStr"/>
      <c r="E48" s="700" t="inlineStr"/>
      <c r="F48" s="608" t="n">
        <v>0</v>
      </c>
      <c r="G48" s="685" t="n">
        <v>1844.2008</v>
      </c>
      <c r="H48" s="154" t="n">
        <v>0</v>
      </c>
      <c r="I48" s="154" t="n">
        <v>1844.2008</v>
      </c>
      <c r="J48" s="154" t="n">
        <v>0</v>
      </c>
      <c r="K48" s="154">
        <f>SUM(H48:J48)</f>
        <v/>
      </c>
      <c r="L48" s="154" t="n">
        <v>0</v>
      </c>
      <c r="M48" s="154" t="n">
        <v>0</v>
      </c>
      <c r="N48" s="154" t="n">
        <v>0</v>
      </c>
      <c r="O48" s="154">
        <f>SUM(L48:N48)</f>
        <v/>
      </c>
      <c r="P48" s="154" t="n">
        <v>0</v>
      </c>
      <c r="Q48" s="154" t="n">
        <v>0</v>
      </c>
      <c r="R48" s="154" t="n">
        <v>0</v>
      </c>
      <c r="S48" s="154">
        <f>SUM(P48:R48)</f>
        <v/>
      </c>
      <c r="T48" s="154" t="n">
        <v>0</v>
      </c>
      <c r="U48" s="154" t="n">
        <v>0</v>
      </c>
      <c r="V48" s="610" t="n">
        <v>0</v>
      </c>
      <c r="W48" s="154">
        <f>SUM(T48:V48)</f>
        <v/>
      </c>
      <c r="X48" s="154" t="n">
        <v>0</v>
      </c>
      <c r="Y48" s="267">
        <f>SUM(K48+O48+S48+W48+X48)</f>
        <v/>
      </c>
      <c r="Z48" s="309">
        <f>IF(F48=0,"",K48/(F48/((YEAR(E48)*12+MONTH(E48))-(YEAR(D48)*12+MONTH(D48))+1)))</f>
        <v/>
      </c>
      <c r="AA48" s="309">
        <f>G48/F48</f>
        <v/>
      </c>
      <c r="AB48" s="701">
        <f>F48-G48</f>
        <v/>
      </c>
      <c r="AC48" s="311">
        <f>SUM(F48:F51)</f>
        <v/>
      </c>
      <c r="AD48" s="312">
        <f>AD52</f>
        <v/>
      </c>
      <c r="AE48" s="702">
        <f>AE52</f>
        <v/>
      </c>
    </row>
    <row r="49" ht="14.25" customFormat="1" customHeight="1" s="483">
      <c r="A49" s="500" t="n"/>
      <c r="B49" s="572" t="inlineStr">
        <is>
          <t>理财师037</t>
        </is>
      </c>
      <c r="C49" s="572" t="inlineStr"/>
      <c r="D49" s="697" t="inlineStr"/>
      <c r="E49" s="697" t="inlineStr"/>
      <c r="F49" s="572" t="n">
        <v>0</v>
      </c>
      <c r="G49" s="698" t="n">
        <v>631.2992400000001</v>
      </c>
      <c r="H49" s="100" t="n">
        <v>0</v>
      </c>
      <c r="I49" s="100" t="n">
        <v>0</v>
      </c>
      <c r="J49" s="100" t="n">
        <v>0</v>
      </c>
      <c r="K49" s="100">
        <f>SUM(H49:J49)</f>
        <v/>
      </c>
      <c r="L49" s="100" t="n">
        <v>0</v>
      </c>
      <c r="M49" s="100" t="n">
        <v>0</v>
      </c>
      <c r="N49" s="100" t="n">
        <v>0</v>
      </c>
      <c r="O49" s="100">
        <f>SUM(L49:N49)</f>
        <v/>
      </c>
      <c r="P49" s="100" t="n">
        <v>0</v>
      </c>
      <c r="Q49" s="100" t="n">
        <v>631.2992400000001</v>
      </c>
      <c r="R49" s="100" t="n">
        <v>0</v>
      </c>
      <c r="S49" s="100">
        <f>SUM(P49:R49)</f>
        <v/>
      </c>
      <c r="T49" s="100" t="n">
        <v>0</v>
      </c>
      <c r="U49" s="100" t="n">
        <v>0</v>
      </c>
      <c r="V49" s="683" t="n">
        <v>0</v>
      </c>
      <c r="W49" s="100">
        <f>SUM(T49:V49)</f>
        <v/>
      </c>
      <c r="X49" s="100" t="n">
        <v>0</v>
      </c>
      <c r="Y49" s="271">
        <f>SUM(K49+O49+S49+W49+X49)</f>
        <v/>
      </c>
      <c r="Z49" s="306">
        <f>IF(F49=0,"",K49/(F49/((YEAR(E49)*12+MONTH(E49))-(YEAR(D49)*12+MONTH(D49))+1)))</f>
        <v/>
      </c>
      <c r="AA49" s="306">
        <f>G49/F49</f>
        <v/>
      </c>
      <c r="AB49" s="699">
        <f>F49-G49</f>
        <v/>
      </c>
      <c r="AC49" s="626" t="n"/>
      <c r="AD49" s="500" t="n"/>
      <c r="AE49" s="627" t="n"/>
    </row>
    <row r="50" ht="35.1" customFormat="1" customHeight="1" s="483">
      <c r="A50" s="500" t="n"/>
      <c r="B50" s="572" t="inlineStr">
        <is>
          <t>理财师035</t>
        </is>
      </c>
      <c r="C50" s="572" t="inlineStr"/>
      <c r="D50" s="697" t="inlineStr"/>
      <c r="E50" s="697" t="inlineStr"/>
      <c r="F50" s="572" t="n">
        <v>0</v>
      </c>
      <c r="G50" s="698" t="n">
        <v>1954.407752</v>
      </c>
      <c r="H50" s="100" t="n">
        <v>0</v>
      </c>
      <c r="I50" s="100" t="n">
        <v>0</v>
      </c>
      <c r="J50" s="100" t="n">
        <v>0</v>
      </c>
      <c r="K50" s="100">
        <f>SUM(H50:J50)</f>
        <v/>
      </c>
      <c r="L50" s="100" t="n">
        <v>0</v>
      </c>
      <c r="M50" s="100" t="n">
        <v>0</v>
      </c>
      <c r="N50" s="100" t="n">
        <v>0</v>
      </c>
      <c r="O50" s="100">
        <f>SUM(L50:N50)</f>
        <v/>
      </c>
      <c r="P50" s="100" t="n">
        <v>0</v>
      </c>
      <c r="Q50" s="100" t="n">
        <v>1943.65548</v>
      </c>
      <c r="R50" s="100" t="n">
        <v>10.752272</v>
      </c>
      <c r="S50" s="100">
        <f>SUM(P50:R50)</f>
        <v/>
      </c>
      <c r="T50" s="100" t="n">
        <v>0</v>
      </c>
      <c r="U50" s="100" t="n">
        <v>0</v>
      </c>
      <c r="V50" s="683" t="n">
        <v>0</v>
      </c>
      <c r="W50" s="100">
        <f>SUM(T50:V50)</f>
        <v/>
      </c>
      <c r="X50" s="100" t="n">
        <v>0</v>
      </c>
      <c r="Y50" s="271">
        <f>SUM(K50+O50+S50+W50+X50)</f>
        <v/>
      </c>
      <c r="Z50" s="306">
        <f>IF(F50=0,"",K50/(F50/((YEAR(E50)*12+MONTH(E50))-(YEAR(D50)*12+MONTH(D50))+1)))</f>
        <v/>
      </c>
      <c r="AA50" s="306">
        <f>G50/F50</f>
        <v/>
      </c>
      <c r="AB50" s="699">
        <f>F50-G50</f>
        <v/>
      </c>
      <c r="AC50" s="626" t="n"/>
      <c r="AD50" s="500" t="n"/>
      <c r="AE50" s="627" t="n"/>
    </row>
    <row r="51" ht="24" customFormat="1" customHeight="1" s="483">
      <c r="A51" s="513" t="n"/>
      <c r="B51" s="572" t="inlineStr">
        <is>
          <t>理财师036</t>
        </is>
      </c>
      <c r="C51" s="572" t="inlineStr"/>
      <c r="D51" s="697" t="inlineStr"/>
      <c r="E51" s="697" t="inlineStr"/>
      <c r="F51" s="572" t="n">
        <v>0</v>
      </c>
      <c r="G51" s="698" t="n">
        <v>789.4647179999999</v>
      </c>
      <c r="H51" s="100" t="n">
        <v>0</v>
      </c>
      <c r="I51" s="100" t="n">
        <v>0</v>
      </c>
      <c r="J51" s="100" t="n">
        <v>0</v>
      </c>
      <c r="K51" s="100">
        <f>SUM(H51:J51)</f>
        <v/>
      </c>
      <c r="L51" s="100" t="n">
        <v>0</v>
      </c>
      <c r="M51" s="100" t="n">
        <v>0</v>
      </c>
      <c r="N51" s="100" t="n">
        <v>0</v>
      </c>
      <c r="O51" s="100">
        <f>SUM(L51:N51)</f>
        <v/>
      </c>
      <c r="P51" s="100" t="n">
        <v>0</v>
      </c>
      <c r="Q51" s="100" t="n">
        <v>0</v>
      </c>
      <c r="R51" s="100" t="n">
        <v>18.131765</v>
      </c>
      <c r="S51" s="100">
        <f>SUM(P51:R51)</f>
        <v/>
      </c>
      <c r="T51" s="100" t="n">
        <v>0</v>
      </c>
      <c r="U51" s="100" t="n">
        <v>0</v>
      </c>
      <c r="V51" s="683" t="n">
        <v>15.942032</v>
      </c>
      <c r="W51" s="100">
        <f>SUM(T51:V51)</f>
        <v/>
      </c>
      <c r="X51" s="100" t="n">
        <v>236.299733</v>
      </c>
      <c r="Y51" s="271">
        <f>SUM(K51+O51+S51+W51+X51)</f>
        <v/>
      </c>
      <c r="Z51" s="306">
        <f>IF(F51=0,"",K51/(F51/((YEAR(E51)*12+MONTH(E51))-(YEAR(D51)*12+MONTH(D51))+1)))</f>
        <v/>
      </c>
      <c r="AA51" s="306">
        <f>G51/F51</f>
        <v/>
      </c>
      <c r="AB51" s="699">
        <f>F51-G51</f>
        <v/>
      </c>
      <c r="AC51" s="628" t="n"/>
      <c r="AD51" s="513" t="n"/>
      <c r="AE51" s="629" t="n"/>
    </row>
    <row r="52" ht="17.55" customFormat="1" customHeight="1" s="483">
      <c r="A52" s="577" t="inlineStr">
        <is>
          <t>合计</t>
        </is>
      </c>
      <c r="B52" s="518" t="n"/>
      <c r="C52" s="518" t="n"/>
      <c r="D52" s="518" t="n"/>
      <c r="E52" s="578" t="n"/>
      <c r="F52" s="276">
        <f>SUM(F48:F51)</f>
        <v/>
      </c>
      <c r="G52" s="580">
        <f>SUM(G48:G51)</f>
        <v/>
      </c>
      <c r="H52" s="580">
        <f>SUM(H48:H51)</f>
        <v/>
      </c>
      <c r="I52" s="580">
        <f>SUM(I48:I51)</f>
        <v/>
      </c>
      <c r="J52" s="580">
        <f>SUM(J48:J51)</f>
        <v/>
      </c>
      <c r="K52" s="580">
        <f>SUM(K48:K51)</f>
        <v/>
      </c>
      <c r="L52" s="580">
        <f>SUM(L48:L51)</f>
        <v/>
      </c>
      <c r="M52" s="580">
        <f>SUM(M48:M51)</f>
        <v/>
      </c>
      <c r="N52" s="580">
        <f>SUM(N48:N51)</f>
        <v/>
      </c>
      <c r="O52" s="580">
        <f>SUM(O48:O51)</f>
        <v/>
      </c>
      <c r="P52" s="580">
        <f>SUM(P48:P51)</f>
        <v/>
      </c>
      <c r="Q52" s="580">
        <f>SUM(Q48:Q51)</f>
        <v/>
      </c>
      <c r="R52" s="580">
        <f>SUM(R48:R51)</f>
        <v/>
      </c>
      <c r="S52" s="580">
        <f>SUM(S48:S51)</f>
        <v/>
      </c>
      <c r="T52" s="580">
        <f>SUM(T48:T51)</f>
        <v/>
      </c>
      <c r="U52" s="580">
        <f>SUM(U48:U51)</f>
        <v/>
      </c>
      <c r="V52" s="580">
        <f>SUM(V48:V51)</f>
        <v/>
      </c>
      <c r="W52" s="580">
        <f>SUM(W48:W51)</f>
        <v/>
      </c>
      <c r="X52" s="580">
        <f>SUM(X48:X51)</f>
        <v/>
      </c>
      <c r="Y52" s="580">
        <f>SUM(K52+O52+S52+W52+X52)</f>
        <v/>
      </c>
      <c r="Z52" s="314">
        <f>IF(F52=0,"",K52/(F52/((YEAR(E48)*12+MONTH(E48))-(YEAR(D48)*12+MONTH(D48))+1)))</f>
        <v/>
      </c>
      <c r="AA52" s="314">
        <f>G52/F52</f>
        <v/>
      </c>
      <c r="AB52" s="580">
        <f>F52-G52</f>
        <v/>
      </c>
      <c r="AC52" s="277">
        <f>AC48</f>
        <v/>
      </c>
      <c r="AD52" s="209">
        <f>Y52/AC48</f>
        <v/>
      </c>
      <c r="AE52" s="650">
        <f>AC48-Y52</f>
        <v/>
      </c>
      <c r="AH52" s="264" t="inlineStr"/>
      <c r="AJ52" s="265" t="inlineStr"/>
    </row>
    <row r="53" ht="17.55" customFormat="1" customHeight="1" s="483">
      <c r="A53" s="630" t="inlineStr">
        <is>
          <t>合计</t>
        </is>
      </c>
      <c r="B53" s="518" t="n"/>
      <c r="C53" s="518" t="n"/>
      <c r="D53" s="518" t="n"/>
      <c r="E53" s="578" t="n"/>
      <c r="F53" s="660">
        <f>F9+F15+F19+F24+F28+F32+F35+F38+F41+F47+F52</f>
        <v/>
      </c>
      <c r="G53" s="660">
        <f>G9+G15+G19+G24+G28+G32+G35+G38+G41+G47+G52</f>
        <v/>
      </c>
      <c r="H53" s="660">
        <f>H9+H15+H19+H24+H28+H32+H35+H38+H41+H47+H52</f>
        <v/>
      </c>
      <c r="I53" s="660">
        <f>I9+I15+I19+I24+I28+I32+I35+I38+I41+I47+I52</f>
        <v/>
      </c>
      <c r="J53" s="660">
        <f>J9+J15+J19+J24+J28+J32+J35+J38+J41+J47+J52</f>
        <v/>
      </c>
      <c r="K53" s="660">
        <f>K9+K15+K19+K24+K28+K32+K35+K38+K41+K47+K52</f>
        <v/>
      </c>
      <c r="L53" s="660">
        <f>L9+L15+L19+L24+L28+L32+L35+L38+L41+L47+L52</f>
        <v/>
      </c>
      <c r="M53" s="660">
        <f>M9+M15+M19+M24+M28+M32+M35+M38+M41+M47+M52</f>
        <v/>
      </c>
      <c r="N53" s="660">
        <f>N9+N15+N19+N24+N28+N32+N35+N38+N41+N47+N52</f>
        <v/>
      </c>
      <c r="O53" s="660">
        <f>O9+O15+O19+O24+O28+O32+O35+O38+O41+O47+O52</f>
        <v/>
      </c>
      <c r="P53" s="660">
        <f>P9+P15+P19+P24+P28+P32+P35+P38+P41+P47+P52</f>
        <v/>
      </c>
      <c r="Q53" s="660">
        <f>Q9+Q15+Q19+Q24+Q28+Q32+Q35+Q38+Q41+Q47+Q52</f>
        <v/>
      </c>
      <c r="R53" s="660">
        <f>R9+R15+R19+R24+R28+R32+R35+R38+R41+R47+R52</f>
        <v/>
      </c>
      <c r="S53" s="660">
        <f>S9+S15+S19+S24+S28+S32+S35+S38+S41+S47+S52</f>
        <v/>
      </c>
      <c r="T53" s="660">
        <f>T9+T15+T19+T24+T28+T32+T35+T38+T41+T47+T52</f>
        <v/>
      </c>
      <c r="U53" s="660">
        <f>U9+U15+U19+U24+U28+U32+U35+U38+U41+U47+U52</f>
        <v/>
      </c>
      <c r="V53" s="660">
        <f>V9+V15+V19+V24+V28+V32+V35+V38+V41+V47+V52</f>
        <v/>
      </c>
      <c r="W53" s="660">
        <f>W9+W15+W19+W24+W28+W32+W35+W38+W41+W47+W52</f>
        <v/>
      </c>
      <c r="X53" s="660">
        <f>X9+X15+X19+X24+X28+X32+X35+X38+X41+X47+X52</f>
        <v/>
      </c>
      <c r="Y53" s="662">
        <f>Y9+Y15+Y19+Y24+Y28+Y32+Y35+Y38+Y41+Y47+Y52</f>
        <v/>
      </c>
      <c r="Z53" s="315">
        <f>K53/(F53/((YEAR(E4)*12+MONTH(E4))-(YEAR(D4)*12+MONTH(D4))+1))</f>
        <v/>
      </c>
      <c r="AA53" s="315">
        <f>G53/F53</f>
        <v/>
      </c>
      <c r="AB53" s="660">
        <f>F53-G53</f>
        <v/>
      </c>
      <c r="AC53" s="660">
        <f>AC9+AC15+AC19+AC24+AC28+AC32+AC35+AC38+AC41+AC47+AC52</f>
        <v/>
      </c>
      <c r="AD53" s="316">
        <f>Y53/AC53</f>
        <v/>
      </c>
      <c r="AE53" s="660">
        <f>AC53-Y53</f>
        <v/>
      </c>
    </row>
    <row r="54">
      <c r="AB54" s="633" t="inlineStr">
        <is>
          <t>公司目标</t>
        </is>
      </c>
      <c r="AC54" s="633" t="n">
        <v>931832.219989</v>
      </c>
      <c r="AD54" s="252">
        <f>IF(AC54&lt;&gt;0,Y53/AC54,"")</f>
        <v/>
      </c>
      <c r="AE54" s="663">
        <f>AC54-Y53</f>
        <v/>
      </c>
    </row>
  </sheetData>
  <mergeCells count="87">
    <mergeCell ref="A4:A8"/>
    <mergeCell ref="A29:A31"/>
    <mergeCell ref="AD20:AD23"/>
    <mergeCell ref="U2:U3"/>
    <mergeCell ref="A2:A3"/>
    <mergeCell ref="C2:C3"/>
    <mergeCell ref="E2:E3"/>
    <mergeCell ref="W2:W3"/>
    <mergeCell ref="AE48:AE51"/>
    <mergeCell ref="AC16:AC18"/>
    <mergeCell ref="AE16:AE18"/>
    <mergeCell ref="A33:A34"/>
    <mergeCell ref="AE25:AE27"/>
    <mergeCell ref="AD29:AD31"/>
    <mergeCell ref="AA2:AA3"/>
    <mergeCell ref="AC2:AC3"/>
    <mergeCell ref="A52:E52"/>
    <mergeCell ref="AE20:AE23"/>
    <mergeCell ref="V2:V3"/>
    <mergeCell ref="AC42:AC46"/>
    <mergeCell ref="AE36:AE37"/>
    <mergeCell ref="X2:X3"/>
    <mergeCell ref="AE42:AE46"/>
    <mergeCell ref="AD48:AD51"/>
    <mergeCell ref="A42:A46"/>
    <mergeCell ref="AD16:AD18"/>
    <mergeCell ref="N2:N3"/>
    <mergeCell ref="F2:F3"/>
    <mergeCell ref="P2:P3"/>
    <mergeCell ref="H2:H3"/>
    <mergeCell ref="AC39:AC40"/>
    <mergeCell ref="AE39:AE40"/>
    <mergeCell ref="AC29:AC31"/>
    <mergeCell ref="K2:K3"/>
    <mergeCell ref="AD36:AD37"/>
    <mergeCell ref="AE4:AE8"/>
    <mergeCell ref="O2:O3"/>
    <mergeCell ref="A32:E32"/>
    <mergeCell ref="Q2:Q3"/>
    <mergeCell ref="A38:E38"/>
    <mergeCell ref="A16:A18"/>
    <mergeCell ref="A25:A27"/>
    <mergeCell ref="A39:A40"/>
    <mergeCell ref="S2:S3"/>
    <mergeCell ref="AC48:AC51"/>
    <mergeCell ref="A24:E24"/>
    <mergeCell ref="AC25:AC27"/>
    <mergeCell ref="A36:A37"/>
    <mergeCell ref="B2:B3"/>
    <mergeCell ref="AC10:AC14"/>
    <mergeCell ref="D2:D3"/>
    <mergeCell ref="AE10:AE14"/>
    <mergeCell ref="A10:A14"/>
    <mergeCell ref="Z2:Z3"/>
    <mergeCell ref="AB2:AB3"/>
    <mergeCell ref="AC20:AC23"/>
    <mergeCell ref="T2:T3"/>
    <mergeCell ref="AD2:AD3"/>
    <mergeCell ref="AD4:AD8"/>
    <mergeCell ref="A20:A23"/>
    <mergeCell ref="A47:E47"/>
    <mergeCell ref="AD42:AD46"/>
    <mergeCell ref="A28:E28"/>
    <mergeCell ref="AD25:AD27"/>
    <mergeCell ref="G2:G3"/>
    <mergeCell ref="I2:I3"/>
    <mergeCell ref="A48:A51"/>
    <mergeCell ref="AD39:AD40"/>
    <mergeCell ref="A15:E15"/>
    <mergeCell ref="M2:M3"/>
    <mergeCell ref="AE2:AE3"/>
    <mergeCell ref="Y2:Y3"/>
    <mergeCell ref="AC33:AC34"/>
    <mergeCell ref="A41:E41"/>
    <mergeCell ref="AE33:AE34"/>
    <mergeCell ref="R2:R3"/>
    <mergeCell ref="J2:J3"/>
    <mergeCell ref="L2:L3"/>
    <mergeCell ref="AD10:AD14"/>
    <mergeCell ref="A53:E53"/>
    <mergeCell ref="AC36:AC37"/>
    <mergeCell ref="A35:E35"/>
    <mergeCell ref="A19:E19"/>
    <mergeCell ref="AC4:AC8"/>
    <mergeCell ref="AD33:AD34"/>
    <mergeCell ref="AE29:AE31"/>
    <mergeCell ref="A9:E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width="9" customWidth="1" style="533" min="24" max="36"/>
  </cols>
  <sheetData>
    <row r="1" ht="20.25" customFormat="1" customHeight="1" s="483">
      <c r="A1" s="754" t="inlineStr">
        <is>
          <t>私人财富管理部折标销售进度表-截止20260515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552" t="inlineStr">
        <is>
          <t>上半年时间进度</t>
        </is>
      </c>
      <c r="AE1" s="70">
        <f>AJ7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传统202605</t>
        </is>
      </c>
      <c r="I2" s="541" t="inlineStr">
        <is>
          <t>保险202605</t>
        </is>
      </c>
      <c r="J2" s="541" t="inlineStr">
        <is>
          <t>管理费202605</t>
        </is>
      </c>
      <c r="K2" s="669" t="inlineStr">
        <is>
          <t>2026年
5月折标</t>
        </is>
      </c>
      <c r="L2" s="541" t="inlineStr">
        <is>
          <t>传统202604</t>
        </is>
      </c>
      <c r="M2" s="541" t="inlineStr">
        <is>
          <t>保险202604</t>
        </is>
      </c>
      <c r="N2" s="541" t="inlineStr">
        <is>
          <t>管理费202604</t>
        </is>
      </c>
      <c r="O2" s="669" t="inlineStr">
        <is>
          <t>2026年
4月折标</t>
        </is>
      </c>
      <c r="P2" s="541" t="inlineStr">
        <is>
          <t>传统202603</t>
        </is>
      </c>
      <c r="Q2" s="541" t="inlineStr">
        <is>
          <t>保险202603</t>
        </is>
      </c>
      <c r="R2" s="541" t="inlineStr">
        <is>
          <t>管理费202603</t>
        </is>
      </c>
      <c r="S2" s="669" t="inlineStr">
        <is>
          <t>2026年
3月折标</t>
        </is>
      </c>
      <c r="T2" s="541" t="inlineStr">
        <is>
          <t>传统202602</t>
        </is>
      </c>
      <c r="U2" s="541" t="inlineStr">
        <is>
          <t>保险202602</t>
        </is>
      </c>
      <c r="V2" s="541" t="inlineStr">
        <is>
          <t>管理费202602</t>
        </is>
      </c>
      <c r="W2" s="669" t="inlineStr">
        <is>
          <t>2026年
2月折标</t>
        </is>
      </c>
      <c r="X2" s="669" t="inlineStr">
        <is>
          <t>2026年
1月折标</t>
        </is>
      </c>
      <c r="Y2" s="670" t="inlineStr">
        <is>
          <t>2026年YTD折标</t>
        </is>
      </c>
      <c r="Z2" s="671" t="inlineStr">
        <is>
          <t>月度
完成率</t>
        </is>
      </c>
      <c r="AA2" s="666" t="inlineStr">
        <is>
          <t>考核期完成率（累计）</t>
        </is>
      </c>
      <c r="AB2" s="560" t="inlineStr">
        <is>
          <t>考核期差距</t>
        </is>
      </c>
      <c r="AC2" s="561" t="inlineStr">
        <is>
          <t>财富中心
上半年年任务</t>
        </is>
      </c>
      <c r="AD2" s="79" t="inlineStr">
        <is>
          <t>财富中心
上半年任务完成率</t>
        </is>
      </c>
      <c r="AE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</row>
    <row r="4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19125.889167</v>
      </c>
      <c r="H4" s="703" t="n">
        <v>35.806548</v>
      </c>
      <c r="I4" s="703" t="n">
        <v>0</v>
      </c>
      <c r="J4" s="703" t="n">
        <v>0</v>
      </c>
      <c r="K4" s="703">
        <f>SUM(H4:J4)</f>
        <v/>
      </c>
      <c r="L4" s="703" t="n">
        <v>2573.204374</v>
      </c>
      <c r="M4" s="703" t="n">
        <v>0</v>
      </c>
      <c r="N4" s="703" t="n">
        <v>535.227607</v>
      </c>
      <c r="O4" s="703">
        <f>SUM(L4:N4)</f>
        <v/>
      </c>
      <c r="P4" s="703" t="n">
        <v>8704.796721000001</v>
      </c>
      <c r="Q4" s="703" t="n">
        <v>0</v>
      </c>
      <c r="R4" s="703" t="n">
        <v>1242.252932</v>
      </c>
      <c r="S4" s="703">
        <f>SUM(P4:R4)</f>
        <v/>
      </c>
      <c r="T4" s="703" t="n">
        <v>1402.304143</v>
      </c>
      <c r="U4" s="703" t="n">
        <v>742.65048</v>
      </c>
      <c r="V4" s="703" t="n">
        <v>430.381249</v>
      </c>
      <c r="W4" s="703">
        <f>SUM(T4:V4)</f>
        <v/>
      </c>
      <c r="X4" s="703" t="n">
        <v>3459.265113</v>
      </c>
      <c r="Y4" s="318">
        <f>SUM(K4+O4+S4+W4+X4)</f>
        <v/>
      </c>
      <c r="Z4" s="319">
        <f>IF(F4=0,"",K4/(F4/((YEAR(E4)*12+MONTH(E4))-(YEAR(D4)*12+MONTH(D4))+1)))</f>
        <v/>
      </c>
      <c r="AA4" s="319">
        <f>G4/F4</f>
        <v/>
      </c>
      <c r="AB4" s="704">
        <f>F4-G4</f>
        <v/>
      </c>
      <c r="AC4" s="321">
        <f>SUM(F4:F8)</f>
        <v/>
      </c>
      <c r="AD4" s="322">
        <f>AD9</f>
        <v/>
      </c>
      <c r="AE4" s="705">
        <f>AE9</f>
        <v/>
      </c>
      <c r="AF4" s="706" t="inlineStr"/>
      <c r="AG4" s="706" t="inlineStr"/>
      <c r="AH4" s="706" t="inlineStr">
        <is>
          <t>开始日期</t>
        </is>
      </c>
      <c r="AI4" s="706" t="inlineStr">
        <is>
          <t>结束日期</t>
        </is>
      </c>
      <c r="AJ4" s="706" t="inlineStr"/>
    </row>
    <row r="5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15443.035162</v>
      </c>
      <c r="H5" s="707" t="n">
        <v>0</v>
      </c>
      <c r="I5" s="707" t="n">
        <v>0</v>
      </c>
      <c r="J5" s="707" t="n">
        <v>0</v>
      </c>
      <c r="K5" s="707">
        <f>SUM(H5:J5)</f>
        <v/>
      </c>
      <c r="L5" s="707" t="n">
        <v>249.800095</v>
      </c>
      <c r="M5" s="707" t="n">
        <v>5040.9216</v>
      </c>
      <c r="N5" s="707" t="n">
        <v>164.52884</v>
      </c>
      <c r="O5" s="707">
        <f>SUM(L5:N5)</f>
        <v/>
      </c>
      <c r="P5" s="707" t="n">
        <v>1613.445926</v>
      </c>
      <c r="Q5" s="707" t="n">
        <v>0</v>
      </c>
      <c r="R5" s="707" t="n">
        <v>488.407071</v>
      </c>
      <c r="S5" s="707">
        <f>SUM(P5:R5)</f>
        <v/>
      </c>
      <c r="T5" s="707" t="n">
        <v>454.800547</v>
      </c>
      <c r="U5" s="707" t="n">
        <v>0</v>
      </c>
      <c r="V5" s="707" t="n">
        <v>289.117436</v>
      </c>
      <c r="W5" s="707">
        <f>SUM(T5:V5)</f>
        <v/>
      </c>
      <c r="X5" s="707" t="n">
        <v>3311.566531</v>
      </c>
      <c r="Y5" s="271">
        <f>SUM(K5+O5+S5+W5+X5)</f>
        <v/>
      </c>
      <c r="Z5" s="326">
        <f>IF(F5=0,"",K5/(F5/((YEAR(E5)*12+MONTH(E5))-(YEAR(D5)*12+MONTH(D5))+1)))</f>
        <v/>
      </c>
      <c r="AA5" s="326">
        <f>G5/F5</f>
        <v/>
      </c>
      <c r="AB5" s="708">
        <f>F5-G5</f>
        <v/>
      </c>
      <c r="AC5" s="500" t="n"/>
      <c r="AD5" s="500" t="n"/>
      <c r="AE5" s="500" t="n"/>
      <c r="AF5" s="706" t="inlineStr"/>
      <c r="AG5" s="706" t="inlineStr"/>
      <c r="AH5" s="328" t="n">
        <v>46023</v>
      </c>
      <c r="AI5" s="328" t="n">
        <v>46203</v>
      </c>
      <c r="AJ5" s="706" t="inlineStr"/>
    </row>
    <row r="6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117035.287089</v>
      </c>
      <c r="H6" s="707" t="n">
        <v>3657.41376</v>
      </c>
      <c r="I6" s="707" t="n">
        <v>71693.622</v>
      </c>
      <c r="J6" s="707" t="n">
        <v>0</v>
      </c>
      <c r="K6" s="707">
        <f>SUM(H6:J6)</f>
        <v/>
      </c>
      <c r="L6" s="707" t="n">
        <v>3787.29351</v>
      </c>
      <c r="M6" s="707" t="n">
        <v>0</v>
      </c>
      <c r="N6" s="707" t="n">
        <v>862.927829</v>
      </c>
      <c r="O6" s="707">
        <f>SUM(L6:N6)</f>
        <v/>
      </c>
      <c r="P6" s="707" t="n">
        <v>1444.66245</v>
      </c>
      <c r="Q6" s="707" t="n">
        <v>0</v>
      </c>
      <c r="R6" s="707" t="n">
        <v>1063.763858</v>
      </c>
      <c r="S6" s="707">
        <f>SUM(P6:R6)</f>
        <v/>
      </c>
      <c r="T6" s="707" t="n">
        <v>9688.821542</v>
      </c>
      <c r="U6" s="707" t="n">
        <v>0</v>
      </c>
      <c r="V6" s="707" t="n">
        <v>606.6776630000001</v>
      </c>
      <c r="W6" s="707">
        <f>SUM(T6:V6)</f>
        <v/>
      </c>
      <c r="X6" s="707" t="n">
        <v>13116.995922</v>
      </c>
      <c r="Y6" s="271">
        <f>SUM(K6+O6+S6+W6+X6)</f>
        <v/>
      </c>
      <c r="Z6" s="326">
        <f>IF(F6=0,"",K6/(F6/((YEAR(E6)*12+MONTH(E6))-(YEAR(D6)*12+MONTH(D6))+1)))</f>
        <v/>
      </c>
      <c r="AA6" s="326">
        <f>G6/F6</f>
        <v/>
      </c>
      <c r="AB6" s="708">
        <f>F6-G6</f>
        <v/>
      </c>
      <c r="AC6" s="500" t="n"/>
      <c r="AD6" s="500" t="n"/>
      <c r="AE6" s="500" t="n"/>
      <c r="AF6" s="706" t="inlineStr"/>
      <c r="AG6" s="706" t="inlineStr"/>
      <c r="AH6" s="706" t="inlineStr">
        <is>
          <t>计算日期</t>
        </is>
      </c>
      <c r="AI6" s="706">
        <f>W5-V5</f>
        <v/>
      </c>
      <c r="AJ6" s="706" t="inlineStr">
        <is>
          <t>时间进度</t>
        </is>
      </c>
    </row>
    <row r="7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3457.691707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133.5516</v>
      </c>
      <c r="M7" s="707" t="n">
        <v>0</v>
      </c>
      <c r="N7" s="707" t="n">
        <v>22.107856</v>
      </c>
      <c r="O7" s="707">
        <f>SUM(L7:N7)</f>
        <v/>
      </c>
      <c r="P7" s="707" t="n">
        <v>500.150742</v>
      </c>
      <c r="Q7" s="707" t="n">
        <v>0</v>
      </c>
      <c r="R7" s="707" t="n">
        <v>157.397938</v>
      </c>
      <c r="S7" s="707">
        <f>SUM(P7:R7)</f>
        <v/>
      </c>
      <c r="T7" s="707" t="n">
        <v>267.1032</v>
      </c>
      <c r="U7" s="707" t="n">
        <v>0</v>
      </c>
      <c r="V7" s="707" t="n">
        <v>25.494675</v>
      </c>
      <c r="W7" s="707">
        <f>SUM(T7:V7)</f>
        <v/>
      </c>
      <c r="X7" s="707" t="n">
        <v>2351.885696</v>
      </c>
      <c r="Y7" s="271">
        <f>SUM(K7+O7+S7+W7+X7)</f>
        <v/>
      </c>
      <c r="Z7" s="326">
        <f>IF(F7=0,"",K7/(F7/((YEAR(E7)*12+MONTH(E7))-(YEAR(D7)*12+MONTH(D7))+1)))</f>
        <v/>
      </c>
      <c r="AA7" s="326">
        <f>G7/F7</f>
        <v/>
      </c>
      <c r="AB7" s="708">
        <f>F7-G7</f>
        <v/>
      </c>
      <c r="AC7" s="500" t="n"/>
      <c r="AD7" s="500" t="n"/>
      <c r="AE7" s="500" t="n"/>
      <c r="AF7" s="706" t="inlineStr"/>
      <c r="AG7" s="706" t="inlineStr"/>
      <c r="AH7" s="709" t="n">
        <v>46157</v>
      </c>
      <c r="AI7" s="330">
        <f>AI5-AH5+1</f>
        <v/>
      </c>
      <c r="AJ7" s="331">
        <f>(AH7-AH5+1)/AI7</f>
        <v/>
      </c>
    </row>
    <row r="8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23664.438388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0</v>
      </c>
      <c r="M8" s="707" t="n">
        <v>2724.3216</v>
      </c>
      <c r="N8" s="707" t="n">
        <v>12.779778</v>
      </c>
      <c r="O8" s="707">
        <f>SUM(L8:N8)</f>
        <v/>
      </c>
      <c r="P8" s="707" t="n">
        <v>0</v>
      </c>
      <c r="Q8" s="707" t="n">
        <v>22785.2352</v>
      </c>
      <c r="R8" s="707" t="n">
        <v>13.774172</v>
      </c>
      <c r="S8" s="707">
        <f>SUM(P8:R8)</f>
        <v/>
      </c>
      <c r="T8" s="707" t="n">
        <v>41.2776</v>
      </c>
      <c r="U8" s="707" t="n">
        <v>0</v>
      </c>
      <c r="V8" s="707" t="n">
        <v>18.646322</v>
      </c>
      <c r="W8" s="707">
        <f>SUM(T8:V8)</f>
        <v/>
      </c>
      <c r="X8" s="707" t="n">
        <v>683.02396</v>
      </c>
      <c r="Y8" s="271">
        <f>SUM(K8+O8+S8+W8+X8)</f>
        <v/>
      </c>
      <c r="Z8" s="326">
        <f>IF(F8=0,"",K8/(F8/((YEAR(E8)*12+MONTH(E8))-(YEAR(D8)*12+MONTH(D8))+1)))</f>
        <v/>
      </c>
      <c r="AA8" s="326">
        <f>G8/F8</f>
        <v/>
      </c>
      <c r="AB8" s="708">
        <f>F8-G8</f>
        <v/>
      </c>
      <c r="AC8" s="513" t="n"/>
      <c r="AD8" s="513" t="n"/>
      <c r="AE8" s="513" t="n"/>
      <c r="AF8" s="706" t="inlineStr"/>
      <c r="AG8" s="706" t="inlineStr"/>
      <c r="AH8" s="706" t="inlineStr"/>
      <c r="AI8" s="706" t="inlineStr"/>
      <c r="AJ8" s="706" t="inlineStr"/>
    </row>
    <row r="9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1">
        <f>SUM(K9+O9+S9+W9+X9)</f>
        <v/>
      </c>
      <c r="Z9" s="335">
        <f>IF(F9=0,"",K9/(F9/((YEAR(E4)*12+MONTH(E4))-(YEAR(D4)*12+MONTH(D4))+1)))</f>
        <v/>
      </c>
      <c r="AA9" s="336">
        <f>G9/F9</f>
        <v/>
      </c>
      <c r="AB9" s="711">
        <f>F9-G9</f>
        <v/>
      </c>
      <c r="AC9" s="337">
        <f>AC4</f>
        <v/>
      </c>
      <c r="AD9" s="335">
        <f>Y9/AC4</f>
        <v/>
      </c>
      <c r="AE9" s="712">
        <f>AC4-Y9</f>
        <v/>
      </c>
      <c r="AF9" s="713" t="inlineStr"/>
      <c r="AG9" s="713" t="inlineStr"/>
      <c r="AH9" s="340" t="n">
        <v>46136</v>
      </c>
      <c r="AI9" s="713" t="inlineStr"/>
      <c r="AJ9" s="341">
        <f>(AD10-DATE(YEAR(AD10),1,1)+1)/AE9</f>
        <v/>
      </c>
    </row>
    <row r="10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19986.504175</v>
      </c>
      <c r="H10" s="703" t="n">
        <v>3187.431</v>
      </c>
      <c r="I10" s="703" t="n">
        <v>0</v>
      </c>
      <c r="J10" s="703" t="n">
        <v>0</v>
      </c>
      <c r="K10" s="703">
        <f>SUM(H10:J10)</f>
        <v/>
      </c>
      <c r="L10" s="703" t="n">
        <v>2418.943367</v>
      </c>
      <c r="M10" s="703" t="n">
        <v>2443.706261</v>
      </c>
      <c r="N10" s="703" t="n">
        <v>88.105912</v>
      </c>
      <c r="O10" s="703">
        <f>SUM(L10:N10)</f>
        <v/>
      </c>
      <c r="P10" s="703" t="n">
        <v>2574.496213</v>
      </c>
      <c r="Q10" s="703" t="n">
        <v>2927.70165</v>
      </c>
      <c r="R10" s="703" t="n">
        <v>154.748145</v>
      </c>
      <c r="S10" s="703">
        <f>SUM(P10:R10)</f>
        <v/>
      </c>
      <c r="T10" s="703" t="n">
        <v>745.691219</v>
      </c>
      <c r="U10" s="703" t="n">
        <v>2330.36622</v>
      </c>
      <c r="V10" s="703" t="n">
        <v>72.478376</v>
      </c>
      <c r="W10" s="703">
        <f>SUM(T10:V10)</f>
        <v/>
      </c>
      <c r="X10" s="703" t="n">
        <v>3042.835811</v>
      </c>
      <c r="Y10" s="318">
        <f>SUM(K10+O10+S10+W10+X10)</f>
        <v/>
      </c>
      <c r="Z10" s="319">
        <f>IF(F10=0,"",K10/(F10/((YEAR(E10)*12+MONTH(E10))-(YEAR(D10)*12+MONTH(D10))+1)))</f>
        <v/>
      </c>
      <c r="AA10" s="319">
        <f>G10/F10</f>
        <v/>
      </c>
      <c r="AB10" s="704">
        <f>F10-G10</f>
        <v/>
      </c>
      <c r="AC10" s="321">
        <f>SUM(F10:F14)</f>
        <v/>
      </c>
      <c r="AD10" s="322">
        <f>AD15</f>
        <v/>
      </c>
      <c r="AE10" s="705">
        <f>AE15</f>
        <v/>
      </c>
      <c r="AF10" s="706" t="inlineStr"/>
      <c r="AG10" s="706" t="inlineStr"/>
      <c r="AH10" s="706" t="inlineStr"/>
      <c r="AI10" s="706" t="inlineStr"/>
      <c r="AJ10" s="706" t="inlineStr"/>
    </row>
    <row r="1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280.185418</v>
      </c>
      <c r="M11" s="707" t="n">
        <v>773.505646</v>
      </c>
      <c r="N11" s="707" t="n">
        <v>3.573146</v>
      </c>
      <c r="O11" s="707">
        <f>SUM(L11:N11)</f>
        <v/>
      </c>
      <c r="P11" s="707" t="n">
        <v>43.4733</v>
      </c>
      <c r="Q11" s="707" t="n">
        <v>0</v>
      </c>
      <c r="R11" s="707" t="n">
        <v>10.334614</v>
      </c>
      <c r="S11" s="707">
        <f>SUM(P11:R11)</f>
        <v/>
      </c>
      <c r="T11" s="707" t="n">
        <v>0</v>
      </c>
      <c r="U11" s="707" t="n">
        <v>0</v>
      </c>
      <c r="V11" s="707" t="n">
        <v>0</v>
      </c>
      <c r="W11" s="707">
        <f>SUM(T11:V11)</f>
        <v/>
      </c>
      <c r="X11" s="707" t="n">
        <v>0</v>
      </c>
      <c r="Y11" s="271">
        <f>SUM(K11+O11+S11+W11+X11)</f>
        <v/>
      </c>
      <c r="Z11" s="326">
        <f>IF(F11=0,"",K11/(F11/((YEAR(E11)*12+MONTH(E11))-(YEAR(D11)*12+MONTH(D11))+1)))</f>
        <v/>
      </c>
      <c r="AA11" s="326">
        <f>G11/F11</f>
        <v/>
      </c>
      <c r="AB11" s="708">
        <f>F11-G11</f>
        <v/>
      </c>
      <c r="AC11" s="500" t="n"/>
      <c r="AD11" s="500" t="n"/>
      <c r="AE11" s="500" t="n"/>
      <c r="AF11" s="706" t="inlineStr"/>
      <c r="AG11" s="706" t="inlineStr"/>
      <c r="AH11" s="706" t="inlineStr"/>
      <c r="AI11" s="706" t="inlineStr"/>
      <c r="AJ11" s="706" t="inlineStr"/>
    </row>
    <row r="12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15920.823123</v>
      </c>
      <c r="H12" s="707" t="n">
        <v>0</v>
      </c>
      <c r="I12" s="707" t="n">
        <v>0</v>
      </c>
      <c r="J12" s="707" t="n">
        <v>0</v>
      </c>
      <c r="K12" s="707">
        <f>SUM(H12:J12)</f>
        <v/>
      </c>
      <c r="L12" s="707" t="n">
        <v>5719.894428</v>
      </c>
      <c r="M12" s="707" t="n">
        <v>0</v>
      </c>
      <c r="N12" s="707" t="n">
        <v>170.991639</v>
      </c>
      <c r="O12" s="707">
        <f>SUM(L12:N12)</f>
        <v/>
      </c>
      <c r="P12" s="707" t="n">
        <v>2659.960961</v>
      </c>
      <c r="Q12" s="707" t="n">
        <v>0</v>
      </c>
      <c r="R12" s="707" t="n">
        <v>743.622962</v>
      </c>
      <c r="S12" s="707">
        <f>SUM(P12:R12)</f>
        <v/>
      </c>
      <c r="T12" s="707" t="n">
        <v>0</v>
      </c>
      <c r="U12" s="707" t="n">
        <v>0</v>
      </c>
      <c r="V12" s="707" t="n">
        <v>144.157177</v>
      </c>
      <c r="W12" s="707">
        <f>SUM(T12:V12)</f>
        <v/>
      </c>
      <c r="X12" s="707" t="n">
        <v>6482.195956</v>
      </c>
      <c r="Y12" s="271">
        <f>SUM(K12+O12+S12+W12+X12)</f>
        <v/>
      </c>
      <c r="Z12" s="326">
        <f>IF(F12=0,"",K12/(F12/((YEAR(E12)*12+MONTH(E12))-(YEAR(D12)*12+MONTH(D12))+1)))</f>
        <v/>
      </c>
      <c r="AA12" s="326">
        <f>G12/F12</f>
        <v/>
      </c>
      <c r="AB12" s="708">
        <f>F12-G12</f>
        <v/>
      </c>
      <c r="AC12" s="500" t="n"/>
      <c r="AD12" s="500" t="n"/>
      <c r="AE12" s="500" t="n"/>
      <c r="AF12" s="706" t="inlineStr"/>
      <c r="AG12" s="706" t="inlineStr"/>
      <c r="AH12" s="706" t="inlineStr"/>
      <c r="AI12" s="706" t="inlineStr"/>
      <c r="AJ12" s="706" t="inlineStr"/>
    </row>
    <row r="13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856.9360799999999</v>
      </c>
      <c r="H13" s="707" t="n">
        <v>0</v>
      </c>
      <c r="I13" s="707" t="n">
        <v>0</v>
      </c>
      <c r="J13" s="707" t="n">
        <v>0</v>
      </c>
      <c r="K13" s="707">
        <f>SUM(H13:J13)</f>
        <v/>
      </c>
      <c r="L13" s="707" t="n">
        <v>0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856.9360799999999</v>
      </c>
      <c r="R13" s="707" t="n">
        <v>0</v>
      </c>
      <c r="S13" s="707">
        <f>SUM(P13:R13)</f>
        <v/>
      </c>
      <c r="T13" s="707" t="n">
        <v>0</v>
      </c>
      <c r="U13" s="707" t="n">
        <v>0</v>
      </c>
      <c r="V13" s="707" t="n">
        <v>0</v>
      </c>
      <c r="W13" s="707">
        <f>SUM(T13:V13)</f>
        <v/>
      </c>
      <c r="X13" s="707" t="n">
        <v>0</v>
      </c>
      <c r="Y13" s="271">
        <f>SUM(K13+O13+S13+W13+X13)</f>
        <v/>
      </c>
      <c r="Z13" s="326">
        <f>IF(F13=0,"",K13/(F13/((YEAR(E13)*12+MONTH(E13))-(YEAR(D13)*12+MONTH(D13))+1)))</f>
        <v/>
      </c>
      <c r="AA13" s="326">
        <f>G13/F13</f>
        <v/>
      </c>
      <c r="AB13" s="708">
        <f>F13-G13</f>
        <v/>
      </c>
      <c r="AC13" s="500" t="n"/>
      <c r="AD13" s="500" t="n"/>
      <c r="AE13" s="500" t="n"/>
      <c r="AF13" s="706" t="inlineStr"/>
      <c r="AG13" s="706" t="inlineStr"/>
      <c r="AH13" s="706" t="inlineStr"/>
      <c r="AI13" s="706" t="inlineStr"/>
      <c r="AJ13" s="706" t="inlineStr"/>
    </row>
    <row r="14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9130.706448000001</v>
      </c>
      <c r="H14" s="707" t="n">
        <v>478.2024</v>
      </c>
      <c r="I14" s="707" t="n">
        <v>0</v>
      </c>
      <c r="J14" s="707" t="n">
        <v>0</v>
      </c>
      <c r="K14" s="707">
        <f>SUM(H14:J14)</f>
        <v/>
      </c>
      <c r="L14" s="707" t="n">
        <v>3291.566745</v>
      </c>
      <c r="M14" s="707" t="n">
        <v>0</v>
      </c>
      <c r="N14" s="707" t="n">
        <v>133.306062</v>
      </c>
      <c r="O14" s="707">
        <f>SUM(L14:N14)</f>
        <v/>
      </c>
      <c r="P14" s="707" t="n">
        <v>3556.620439</v>
      </c>
      <c r="Q14" s="707" t="n">
        <v>0</v>
      </c>
      <c r="R14" s="707" t="n">
        <v>446.103228</v>
      </c>
      <c r="S14" s="707">
        <f>SUM(P14:R14)</f>
        <v/>
      </c>
      <c r="T14" s="707" t="n">
        <v>1054.327266</v>
      </c>
      <c r="U14" s="707" t="n">
        <v>0</v>
      </c>
      <c r="V14" s="707" t="n">
        <v>170.580309</v>
      </c>
      <c r="W14" s="707">
        <f>SUM(T14:V14)</f>
        <v/>
      </c>
      <c r="X14" s="707" t="n">
        <v>692.512431</v>
      </c>
      <c r="Y14" s="271">
        <f>SUM(K14+O14+S14+W14+X14)</f>
        <v/>
      </c>
      <c r="Z14" s="326">
        <f>IF(F14=0,"",K14/(F14/((YEAR(E14)*12+MONTH(E14))-(YEAR(D14)*12+MONTH(D14))+1)))</f>
        <v/>
      </c>
      <c r="AA14" s="326">
        <f>G14/F14</f>
        <v/>
      </c>
      <c r="AB14" s="708">
        <f>F14-G14</f>
        <v/>
      </c>
      <c r="AC14" s="513" t="n"/>
      <c r="AD14" s="513" t="n"/>
      <c r="AE14" s="513" t="n"/>
      <c r="AF14" s="706" t="inlineStr"/>
      <c r="AG14" s="706" t="inlineStr"/>
      <c r="AH14" s="706" t="inlineStr"/>
      <c r="AI14" s="706" t="inlineStr"/>
      <c r="AJ14" s="706" t="inlineStr"/>
    </row>
    <row r="15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1">
        <f>SUM(K15+O15+S15+W15+X15)</f>
        <v/>
      </c>
      <c r="Z15" s="335">
        <f>IF(F15=0,"",K15/(F15/((YEAR(E10)*12+MONTH(E10))-(YEAR(D10)*12+MONTH(D10))+1)))</f>
        <v/>
      </c>
      <c r="AA15" s="336">
        <f>G15/F15</f>
        <v/>
      </c>
      <c r="AB15" s="711">
        <f>F15-G15</f>
        <v/>
      </c>
      <c r="AC15" s="337">
        <f>AC10</f>
        <v/>
      </c>
      <c r="AD15" s="335">
        <f>Y15/AC10</f>
        <v/>
      </c>
      <c r="AE15" s="712">
        <f>AC10-Y15</f>
        <v/>
      </c>
      <c r="AF15" s="713" t="inlineStr"/>
      <c r="AG15" s="713" t="inlineStr"/>
      <c r="AH15" s="713" t="inlineStr"/>
      <c r="AI15" s="713" t="inlineStr"/>
      <c r="AJ15" s="713" t="inlineStr"/>
    </row>
    <row r="16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7336.610538</v>
      </c>
      <c r="H16" s="703" t="n">
        <v>0</v>
      </c>
      <c r="I16" s="703" t="n">
        <v>0</v>
      </c>
      <c r="J16" s="703" t="n">
        <v>0</v>
      </c>
      <c r="K16" s="703">
        <f>SUM(H16:J16)</f>
        <v/>
      </c>
      <c r="L16" s="703" t="n">
        <v>2170.20375</v>
      </c>
      <c r="M16" s="703" t="n">
        <v>0</v>
      </c>
      <c r="N16" s="703" t="n">
        <v>14.593625</v>
      </c>
      <c r="O16" s="703">
        <f>SUM(L16:N16)</f>
        <v/>
      </c>
      <c r="P16" s="703" t="n">
        <v>1305.1575</v>
      </c>
      <c r="Q16" s="703" t="n">
        <v>1178.4864</v>
      </c>
      <c r="R16" s="703" t="n">
        <v>22.441342</v>
      </c>
      <c r="S16" s="703">
        <f>SUM(P16:R16)</f>
        <v/>
      </c>
      <c r="T16" s="703" t="n">
        <v>0</v>
      </c>
      <c r="U16" s="703" t="n">
        <v>0</v>
      </c>
      <c r="V16" s="703" t="n">
        <v>15.177921</v>
      </c>
      <c r="W16" s="703">
        <f>SUM(T16:V16)</f>
        <v/>
      </c>
      <c r="X16" s="703" t="n">
        <v>2630.55</v>
      </c>
      <c r="Y16" s="318">
        <f>SUM(K16+O16+S16+W16+X16)</f>
        <v/>
      </c>
      <c r="Z16" s="319">
        <f>IF(F16=0,"",K16/(F16/((YEAR(E16)*12+MONTH(E16))-(YEAR(D16)*12+MONTH(D16))+1)))</f>
        <v/>
      </c>
      <c r="AA16" s="319">
        <f>G16/F16</f>
        <v/>
      </c>
      <c r="AB16" s="704">
        <f>F16-G16</f>
        <v/>
      </c>
      <c r="AC16" s="321">
        <f>SUM(F16:F19)</f>
        <v/>
      </c>
      <c r="AD16" s="322">
        <f>AD20</f>
        <v/>
      </c>
      <c r="AE16" s="705">
        <f>AE20</f>
        <v/>
      </c>
      <c r="AF16" s="706" t="inlineStr"/>
      <c r="AG16" s="706" t="inlineStr"/>
      <c r="AH16" s="706" t="inlineStr"/>
      <c r="AI16" s="706" t="inlineStr"/>
      <c r="AJ16" s="706" t="inlineStr"/>
    </row>
    <row r="17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2.058637</v>
      </c>
      <c r="O17" s="707">
        <f>SUM(L17:N17)</f>
        <v/>
      </c>
      <c r="P17" s="707" t="n">
        <v>0</v>
      </c>
      <c r="Q17" s="707" t="n">
        <v>0</v>
      </c>
      <c r="R17" s="707" t="n">
        <v>3.23046</v>
      </c>
      <c r="S17" s="707">
        <f>SUM(P17:R17)</f>
        <v/>
      </c>
      <c r="T17" s="707" t="n">
        <v>25.0224</v>
      </c>
      <c r="U17" s="707" t="n">
        <v>1050.9408</v>
      </c>
      <c r="V17" s="707" t="n">
        <v>3.667668</v>
      </c>
      <c r="W17" s="707">
        <f>SUM(T17:V17)</f>
        <v/>
      </c>
      <c r="X17" s="707" t="n">
        <v>125.112</v>
      </c>
      <c r="Y17" s="271">
        <f>SUM(K17+O17+S17+W17+X17)</f>
        <v/>
      </c>
      <c r="Z17" s="326">
        <f>IF(F17=0,"",K17/(F17/((YEAR(E17)*12+MONTH(E17))-(YEAR(D17)*12+MONTH(D17))+1)))</f>
        <v/>
      </c>
      <c r="AA17" s="326">
        <f>G17/F17</f>
        <v/>
      </c>
      <c r="AB17" s="708">
        <f>F17-G17</f>
        <v/>
      </c>
      <c r="AC17" s="500" t="n"/>
      <c r="AD17" s="500" t="n"/>
      <c r="AE17" s="500" t="n"/>
      <c r="AF17" s="706" t="inlineStr"/>
      <c r="AG17" s="706" t="inlineStr"/>
      <c r="AH17" s="706" t="inlineStr"/>
      <c r="AI17" s="706" t="inlineStr"/>
      <c r="AJ17" s="706" t="inlineStr"/>
    </row>
    <row r="18" ht="14.25" customFormat="1" customHeight="1" s="483">
      <c r="A18" s="500" t="n"/>
      <c r="B18" s="707" t="inlineStr">
        <is>
          <t>理财师035</t>
        </is>
      </c>
      <c r="C18" s="707" t="inlineStr"/>
      <c r="D18" s="707" t="inlineStr"/>
      <c r="E18" s="707" t="inlineStr"/>
      <c r="F18" s="707" t="n">
        <v>0</v>
      </c>
      <c r="G18" s="707" t="n">
        <v>2115.816172</v>
      </c>
      <c r="H18" s="707" t="n">
        <v>140.8446</v>
      </c>
      <c r="I18" s="707" t="n">
        <v>0</v>
      </c>
      <c r="J18" s="707" t="n">
        <v>0</v>
      </c>
      <c r="K18" s="707">
        <f>SUM(H18:J18)</f>
        <v/>
      </c>
      <c r="L18" s="707" t="n">
        <v>0</v>
      </c>
      <c r="M18" s="707" t="n">
        <v>0</v>
      </c>
      <c r="N18" s="707" t="n">
        <v>20.56382</v>
      </c>
      <c r="O18" s="707">
        <f>SUM(L18:N18)</f>
        <v/>
      </c>
      <c r="P18" s="707" t="n">
        <v>0</v>
      </c>
      <c r="Q18" s="707" t="n">
        <v>1943.65548</v>
      </c>
      <c r="R18" s="707" t="n">
        <v>10.752272</v>
      </c>
      <c r="S18" s="707">
        <f>SUM(P18:R18)</f>
        <v/>
      </c>
      <c r="T18" s="707" t="n">
        <v>0</v>
      </c>
      <c r="U18" s="707" t="n">
        <v>0</v>
      </c>
      <c r="V18" s="707" t="n">
        <v>0</v>
      </c>
      <c r="W18" s="707">
        <f>SUM(T18:V18)</f>
        <v/>
      </c>
      <c r="X18" s="707" t="n">
        <v>0</v>
      </c>
      <c r="Y18" s="271">
        <f>SUM(K18+O18+S18+W18+X18)</f>
        <v/>
      </c>
      <c r="Z18" s="326">
        <f>IF(F18=0,"",K18/(F18/((YEAR(E18)*12+MONTH(E18))-(YEAR(D18)*12+MONTH(D18))+1)))</f>
        <v/>
      </c>
      <c r="AA18" s="326">
        <f>G18/F18</f>
        <v/>
      </c>
      <c r="AB18" s="708">
        <f>F18-G18</f>
        <v/>
      </c>
      <c r="AC18" s="500" t="n"/>
      <c r="AD18" s="500" t="n"/>
      <c r="AE18" s="500" t="n"/>
      <c r="AF18" s="706" t="inlineStr"/>
      <c r="AG18" s="706" t="inlineStr"/>
      <c r="AH18" s="706" t="inlineStr"/>
      <c r="AI18" s="706" t="inlineStr"/>
      <c r="AJ18" s="706" t="inlineStr"/>
    </row>
    <row r="19" ht="14.25" customFormat="1" customHeight="1" s="483">
      <c r="A19" s="513" t="n"/>
      <c r="B19" s="707" t="inlineStr">
        <is>
          <t>理财师007</t>
        </is>
      </c>
      <c r="C19" s="707" t="inlineStr">
        <is>
          <t>私人财富管理专家PWA4-4</t>
        </is>
      </c>
      <c r="D19" s="676" t="n">
        <v>46054</v>
      </c>
      <c r="E19" s="676" t="n">
        <v>46203</v>
      </c>
      <c r="F19" s="707" t="n">
        <v>25870.625</v>
      </c>
      <c r="G19" s="707" t="n">
        <v>25485.177925</v>
      </c>
      <c r="H19" s="707" t="n">
        <v>132.0813</v>
      </c>
      <c r="I19" s="707" t="n">
        <v>0</v>
      </c>
      <c r="J19" s="707" t="n">
        <v>0</v>
      </c>
      <c r="K19" s="707">
        <f>SUM(H19:J19)</f>
        <v/>
      </c>
      <c r="L19" s="707" t="n">
        <v>2425.111949</v>
      </c>
      <c r="M19" s="707" t="n">
        <v>0</v>
      </c>
      <c r="N19" s="707" t="n">
        <v>263.174864</v>
      </c>
      <c r="O19" s="707">
        <f>SUM(L19:N19)</f>
        <v/>
      </c>
      <c r="P19" s="707" t="n">
        <v>3406.959578</v>
      </c>
      <c r="Q19" s="707" t="n">
        <v>14793.1056</v>
      </c>
      <c r="R19" s="707" t="n">
        <v>606.358521</v>
      </c>
      <c r="S19" s="707">
        <f>SUM(P19:R19)</f>
        <v/>
      </c>
      <c r="T19" s="707" t="n">
        <v>3557.362586</v>
      </c>
      <c r="U19" s="707" t="n">
        <v>0</v>
      </c>
      <c r="V19" s="707" t="n">
        <v>301.023526</v>
      </c>
      <c r="W19" s="707">
        <f>SUM(T19:V19)</f>
        <v/>
      </c>
      <c r="X19" s="707" t="n">
        <v>8988.571889000001</v>
      </c>
      <c r="Y19" s="714">
        <f>SUM(K19+O19+S19+W19+X19)</f>
        <v/>
      </c>
      <c r="Z19" s="326">
        <f>IF(F19=0,"",K19/(F19/((YEAR(E19)*12+MONTH(E19))-(YEAR(D19)*12+MONTH(D19))+1)))</f>
        <v/>
      </c>
      <c r="AA19" s="326">
        <f>G19/F19</f>
        <v/>
      </c>
      <c r="AB19" s="714">
        <f>F19-G19</f>
        <v/>
      </c>
      <c r="AC19" s="513" t="n"/>
      <c r="AD19" s="513" t="n"/>
      <c r="AE19" s="513" t="n"/>
      <c r="AF19" s="706" t="inlineStr"/>
      <c r="AG19" s="706" t="inlineStr"/>
      <c r="AH19" s="706" t="inlineStr"/>
      <c r="AI19" s="706" t="inlineStr"/>
      <c r="AJ19" s="706" t="inlineStr"/>
    </row>
    <row r="20" ht="14.25" customFormat="1" customHeight="1" s="483">
      <c r="A20" s="710" t="inlineStr">
        <is>
          <t>合计</t>
        </is>
      </c>
      <c r="B20" s="518" t="n"/>
      <c r="C20" s="518" t="n"/>
      <c r="D20" s="518" t="n"/>
      <c r="E20" s="578" t="n"/>
      <c r="F20" s="333">
        <f>SUM(F16:F19)</f>
        <v/>
      </c>
      <c r="G20" s="710">
        <f>SUM(G16:G19)</f>
        <v/>
      </c>
      <c r="H20" s="710">
        <f>SUM(H16:H19)</f>
        <v/>
      </c>
      <c r="I20" s="710">
        <f>SUM(I16:I19)</f>
        <v/>
      </c>
      <c r="J20" s="710">
        <f>SUM(J16:J19)</f>
        <v/>
      </c>
      <c r="K20" s="710">
        <f>SUM(K16:K19)</f>
        <v/>
      </c>
      <c r="L20" s="710">
        <f>SUM(L16:L19)</f>
        <v/>
      </c>
      <c r="M20" s="710">
        <f>SUM(M16:M19)</f>
        <v/>
      </c>
      <c r="N20" s="710">
        <f>SUM(N16:N19)</f>
        <v/>
      </c>
      <c r="O20" s="710">
        <f>SUM(O16:O19)</f>
        <v/>
      </c>
      <c r="P20" s="710">
        <f>SUM(P16:P19)</f>
        <v/>
      </c>
      <c r="Q20" s="710">
        <f>SUM(Q16:Q19)</f>
        <v/>
      </c>
      <c r="R20" s="710">
        <f>SUM(R16:R19)</f>
        <v/>
      </c>
      <c r="S20" s="710">
        <f>SUM(S16:S19)</f>
        <v/>
      </c>
      <c r="T20" s="710">
        <f>SUM(T16:T19)</f>
        <v/>
      </c>
      <c r="U20" s="710">
        <f>SUM(U16:U19)</f>
        <v/>
      </c>
      <c r="V20" s="710">
        <f>SUM(V16:V19)</f>
        <v/>
      </c>
      <c r="W20" s="710">
        <f>SUM(W16:W19)</f>
        <v/>
      </c>
      <c r="X20" s="710">
        <f>SUM(X16:X19)</f>
        <v/>
      </c>
      <c r="Y20" s="333">
        <f>SUM(K20+O20+S20+W20+X20)</f>
        <v/>
      </c>
      <c r="Z20" s="335">
        <f>IF(F20=0,"",K20/(F20/((YEAR(E16)*12+MONTH(E16))-(YEAR(D16)*12+MONTH(D16))+1)))</f>
        <v/>
      </c>
      <c r="AA20" s="336">
        <f>G20/F20</f>
        <v/>
      </c>
      <c r="AB20" s="715">
        <f>F20-G20</f>
        <v/>
      </c>
      <c r="AC20" s="337">
        <f>AC16</f>
        <v/>
      </c>
      <c r="AD20" s="335">
        <f>Y20/AC16</f>
        <v/>
      </c>
      <c r="AE20" s="716">
        <f>AC16-Y20</f>
        <v/>
      </c>
      <c r="AF20" s="713" t="inlineStr"/>
      <c r="AG20" s="713" t="inlineStr"/>
      <c r="AH20" s="713" t="inlineStr"/>
      <c r="AI20" s="713" t="inlineStr"/>
      <c r="AJ20" s="713" t="inlineStr"/>
    </row>
    <row r="21" ht="14.25" customFormat="1" customHeight="1" s="483">
      <c r="A21" s="703" t="inlineStr">
        <is>
          <t>理财师016</t>
        </is>
      </c>
      <c r="B21" s="703" t="inlineStr">
        <is>
          <t>理财师028</t>
        </is>
      </c>
      <c r="C21" s="703" t="inlineStr">
        <is>
          <t>私人财富管理专家PWA4-5</t>
        </is>
      </c>
      <c r="D21" s="693" t="n">
        <v>46001</v>
      </c>
      <c r="E21" s="693" t="n">
        <v>46182</v>
      </c>
      <c r="F21" s="703" t="n">
        <v>23502</v>
      </c>
      <c r="G21" s="703" t="n">
        <v>32.04495</v>
      </c>
      <c r="H21" s="703" t="n">
        <v>0</v>
      </c>
      <c r="I21" s="703" t="n">
        <v>0</v>
      </c>
      <c r="J21" s="703" t="n">
        <v>0</v>
      </c>
      <c r="K21" s="703">
        <f>SUM(H21:J21)</f>
        <v/>
      </c>
      <c r="L21" s="703" t="n">
        <v>0</v>
      </c>
      <c r="M21" s="703" t="n">
        <v>0</v>
      </c>
      <c r="N21" s="703" t="n">
        <v>0</v>
      </c>
      <c r="O21" s="703">
        <f>SUM(L21:N21)</f>
        <v/>
      </c>
      <c r="P21" s="703" t="n">
        <v>0</v>
      </c>
      <c r="Q21" s="703" t="n">
        <v>0</v>
      </c>
      <c r="R21" s="703" t="n">
        <v>32.04495</v>
      </c>
      <c r="S21" s="703">
        <f>SUM(P21:R21)</f>
        <v/>
      </c>
      <c r="T21" s="703" t="n">
        <v>0</v>
      </c>
      <c r="U21" s="703" t="n">
        <v>0</v>
      </c>
      <c r="V21" s="703" t="n">
        <v>0</v>
      </c>
      <c r="W21" s="703">
        <f>SUM(T21:V21)</f>
        <v/>
      </c>
      <c r="X21" s="703" t="n">
        <v>0</v>
      </c>
      <c r="Y21" s="318">
        <f>SUM(K21+O21+S21+W21+X21)</f>
        <v/>
      </c>
      <c r="Z21" s="319">
        <f>IF(F21=0,"",K21/(F21/((YEAR(E21)*12+MONTH(E21))-(YEAR(D21)*12+MONTH(D21))+1)))</f>
        <v/>
      </c>
      <c r="AA21" s="319">
        <f>G21/F21</f>
        <v/>
      </c>
      <c r="AB21" s="704">
        <f>F21-G21</f>
        <v/>
      </c>
      <c r="AC21" s="321">
        <f>SUM(F21:F23)</f>
        <v/>
      </c>
      <c r="AD21" s="322">
        <f>AD24</f>
        <v/>
      </c>
      <c r="AE21" s="717">
        <f>AE24</f>
        <v/>
      </c>
      <c r="AF21" s="706" t="inlineStr"/>
      <c r="AG21" s="706" t="inlineStr"/>
      <c r="AH21" s="706" t="inlineStr"/>
      <c r="AI21" s="706" t="inlineStr"/>
      <c r="AJ21" s="706" t="inlineStr"/>
    </row>
    <row r="22" ht="14.25" customFormat="1" customHeight="1" s="483">
      <c r="A22" s="500" t="n"/>
      <c r="B22" s="707" t="inlineStr">
        <is>
          <t>理财师015</t>
        </is>
      </c>
      <c r="C22" s="707" t="inlineStr">
        <is>
          <t>私人财富管理资深顾问PWA2-4</t>
        </is>
      </c>
      <c r="D22" s="676" t="n">
        <v>45992</v>
      </c>
      <c r="E22" s="676" t="n">
        <v>46203</v>
      </c>
      <c r="F22" s="707" t="n">
        <v>11461.38</v>
      </c>
      <c r="G22" s="707" t="n">
        <v>5229.641166</v>
      </c>
      <c r="H22" s="707" t="n">
        <v>328.969836</v>
      </c>
      <c r="I22" s="707" t="n">
        <v>0</v>
      </c>
      <c r="J22" s="707" t="n">
        <v>0</v>
      </c>
      <c r="K22" s="707">
        <f>SUM(H22:J22)</f>
        <v/>
      </c>
      <c r="L22" s="707" t="n">
        <v>0</v>
      </c>
      <c r="M22" s="707" t="n">
        <v>0</v>
      </c>
      <c r="N22" s="707" t="n">
        <v>37.443523</v>
      </c>
      <c r="O22" s="707">
        <f>SUM(L22:N22)</f>
        <v/>
      </c>
      <c r="P22" s="707" t="n">
        <v>198.1746</v>
      </c>
      <c r="Q22" s="707" t="n">
        <v>0</v>
      </c>
      <c r="R22" s="707" t="n">
        <v>29.640215</v>
      </c>
      <c r="S22" s="707">
        <f>SUM(P22:R22)</f>
        <v/>
      </c>
      <c r="T22" s="707" t="n">
        <v>0.8469</v>
      </c>
      <c r="U22" s="707" t="n">
        <v>4558.0158</v>
      </c>
      <c r="V22" s="707" t="n">
        <v>19.389048</v>
      </c>
      <c r="W22" s="707">
        <f>SUM(T22:V22)</f>
        <v/>
      </c>
      <c r="X22" s="707" t="n">
        <v>21.644177</v>
      </c>
      <c r="Y22" s="271">
        <f>SUM(K22+O22+S22+W22+X22)</f>
        <v/>
      </c>
      <c r="Z22" s="326">
        <f>IF(F22=0,"",K22/(F22/((YEAR(E22)*12+MONTH(E22))-(YEAR(D22)*12+MONTH(D22))+1)))</f>
        <v/>
      </c>
      <c r="AA22" s="326">
        <f>G22/F22</f>
        <v/>
      </c>
      <c r="AB22" s="708">
        <f>F22-G22</f>
        <v/>
      </c>
      <c r="AC22" s="500" t="n"/>
      <c r="AD22" s="500" t="n"/>
      <c r="AE22" s="500" t="n"/>
      <c r="AF22" s="706" t="inlineStr"/>
      <c r="AG22" s="706" t="inlineStr"/>
      <c r="AH22" s="706" t="inlineStr"/>
      <c r="AI22" s="706" t="inlineStr"/>
      <c r="AJ22" s="706" t="inlineStr"/>
    </row>
    <row r="23" ht="14.25" customFormat="1" customHeight="1" s="483">
      <c r="A23" s="513" t="n"/>
      <c r="B23" s="707" t="inlineStr">
        <is>
          <t>理财师016</t>
        </is>
      </c>
      <c r="C23" s="707" t="inlineStr">
        <is>
          <t>私人财富管理资深顾问PWA2-4</t>
        </is>
      </c>
      <c r="D23" s="676" t="n">
        <v>46023</v>
      </c>
      <c r="E23" s="676" t="n">
        <v>46203</v>
      </c>
      <c r="F23" s="707" t="n">
        <v>8731.32</v>
      </c>
      <c r="G23" s="707" t="n">
        <v>8744.550526000001</v>
      </c>
      <c r="H23" s="707" t="n">
        <v>0</v>
      </c>
      <c r="I23" s="707" t="n">
        <v>0</v>
      </c>
      <c r="J23" s="707" t="n">
        <v>0</v>
      </c>
      <c r="K23" s="707">
        <f>SUM(H23:J23)</f>
        <v/>
      </c>
      <c r="L23" s="707" t="n">
        <v>1832.902273</v>
      </c>
      <c r="M23" s="707" t="n">
        <v>0</v>
      </c>
      <c r="N23" s="707" t="n">
        <v>110.962682</v>
      </c>
      <c r="O23" s="707">
        <f>SUM(L23:N23)</f>
        <v/>
      </c>
      <c r="P23" s="707" t="n">
        <v>220.16475</v>
      </c>
      <c r="Q23" s="707" t="n">
        <v>0</v>
      </c>
      <c r="R23" s="707" t="n">
        <v>154.524295</v>
      </c>
      <c r="S23" s="707">
        <f>SUM(P23:R23)</f>
        <v/>
      </c>
      <c r="T23" s="707" t="n">
        <v>3847.561596</v>
      </c>
      <c r="U23" s="707" t="n">
        <v>0</v>
      </c>
      <c r="V23" s="707" t="n">
        <v>38.370126</v>
      </c>
      <c r="W23" s="707">
        <f>SUM(T23:V23)</f>
        <v/>
      </c>
      <c r="X23" s="707" t="n">
        <v>2540.064804</v>
      </c>
      <c r="Y23" s="271">
        <f>SUM(K23+O23+S23+W23+X23)</f>
        <v/>
      </c>
      <c r="Z23" s="326">
        <f>IF(F23=0,"",K23/(F23/((YEAR(E23)*12+MONTH(E23))-(YEAR(D23)*12+MONTH(D23))+1)))</f>
        <v/>
      </c>
      <c r="AA23" s="326">
        <f>G23/F23</f>
        <v/>
      </c>
      <c r="AB23" s="708">
        <f>F23-G23</f>
        <v/>
      </c>
      <c r="AC23" s="513" t="n"/>
      <c r="AD23" s="513" t="n"/>
      <c r="AE23" s="513" t="n"/>
      <c r="AF23" s="706" t="inlineStr"/>
      <c r="AG23" s="706" t="inlineStr"/>
      <c r="AH23" s="706" t="inlineStr"/>
      <c r="AI23" s="706" t="inlineStr"/>
      <c r="AJ23" s="706" t="inlineStr"/>
    </row>
    <row r="24" ht="14.25" customFormat="1" customHeight="1" s="483">
      <c r="A24" s="710" t="inlineStr">
        <is>
          <t>合计</t>
        </is>
      </c>
      <c r="B24" s="518" t="n"/>
      <c r="C24" s="518" t="n"/>
      <c r="D24" s="518" t="n"/>
      <c r="E24" s="578" t="n"/>
      <c r="F24" s="333">
        <f>SUM(F21:F23)</f>
        <v/>
      </c>
      <c r="G24" s="710">
        <f>SUM(G21:G23)</f>
        <v/>
      </c>
      <c r="H24" s="710">
        <f>SUM(H21:H23)</f>
        <v/>
      </c>
      <c r="I24" s="710">
        <f>SUM(I21:I23)</f>
        <v/>
      </c>
      <c r="J24" s="710">
        <f>SUM(J21:J23)</f>
        <v/>
      </c>
      <c r="K24" s="710">
        <f>SUM(K21:K23)</f>
        <v/>
      </c>
      <c r="L24" s="710">
        <f>SUM(L21:L23)</f>
        <v/>
      </c>
      <c r="M24" s="710">
        <f>SUM(M21:M23)</f>
        <v/>
      </c>
      <c r="N24" s="710">
        <f>SUM(N21:N23)</f>
        <v/>
      </c>
      <c r="O24" s="710">
        <f>SUM(O21:O23)</f>
        <v/>
      </c>
      <c r="P24" s="710">
        <f>SUM(P21:P23)</f>
        <v/>
      </c>
      <c r="Q24" s="710">
        <f>SUM(Q21:Q23)</f>
        <v/>
      </c>
      <c r="R24" s="710">
        <f>SUM(R21:R23)</f>
        <v/>
      </c>
      <c r="S24" s="710">
        <f>SUM(S21:S23)</f>
        <v/>
      </c>
      <c r="T24" s="710">
        <f>SUM(T21:T23)</f>
        <v/>
      </c>
      <c r="U24" s="710">
        <f>SUM(U21:U23)</f>
        <v/>
      </c>
      <c r="V24" s="710">
        <f>SUM(V21:V23)</f>
        <v/>
      </c>
      <c r="W24" s="710">
        <f>SUM(W21:W23)</f>
        <v/>
      </c>
      <c r="X24" s="710">
        <f>SUM(X21:X23)</f>
        <v/>
      </c>
      <c r="Y24" s="711">
        <f>SUM(K24+O24+S24+W24+X24)</f>
        <v/>
      </c>
      <c r="Z24" s="335">
        <f>IF(F24=0,"",K24/(F24/((YEAR(E21)*12+MONTH(E21))-(YEAR(D21)*12+MONTH(D21))+1)))</f>
        <v/>
      </c>
      <c r="AA24" s="336">
        <f>G24/F24</f>
        <v/>
      </c>
      <c r="AB24" s="711">
        <f>F24-G24</f>
        <v/>
      </c>
      <c r="AC24" s="337">
        <f>AC21</f>
        <v/>
      </c>
      <c r="AD24" s="335">
        <f>Y24/AC21</f>
        <v/>
      </c>
      <c r="AE24" s="718">
        <f>AC21-Y24</f>
        <v/>
      </c>
      <c r="AF24" s="713" t="inlineStr"/>
      <c r="AG24" s="713" t="inlineStr"/>
      <c r="AH24" s="713" t="inlineStr"/>
      <c r="AI24" s="713" t="inlineStr"/>
      <c r="AJ24" s="713" t="inlineStr"/>
    </row>
    <row r="25" ht="14.25" customFormat="1" customHeight="1" s="483">
      <c r="A25" s="703" t="inlineStr">
        <is>
          <t>理财师002</t>
        </is>
      </c>
      <c r="B25" s="703" t="inlineStr">
        <is>
          <t>理财师001</t>
        </is>
      </c>
      <c r="C25" s="703" t="inlineStr">
        <is>
          <t>私人财富管理顾问PWA1-2</t>
        </is>
      </c>
      <c r="D25" s="693" t="n">
        <v>46023</v>
      </c>
      <c r="E25" s="693" t="n">
        <v>46203</v>
      </c>
      <c r="F25" s="703" t="n">
        <v>4993.22</v>
      </c>
      <c r="G25" s="703" t="n">
        <v>4259.828296</v>
      </c>
      <c r="H25" s="703" t="n">
        <v>0</v>
      </c>
      <c r="I25" s="703" t="n">
        <v>0</v>
      </c>
      <c r="J25" s="703" t="n">
        <v>0</v>
      </c>
      <c r="K25" s="703">
        <f>SUM(H25:J25)</f>
        <v/>
      </c>
      <c r="L25" s="703" t="n">
        <v>88.54274700000001</v>
      </c>
      <c r="M25" s="703" t="n">
        <v>0</v>
      </c>
      <c r="N25" s="703" t="n">
        <v>616.124389</v>
      </c>
      <c r="O25" s="703">
        <f>SUM(L25:N25)</f>
        <v/>
      </c>
      <c r="P25" s="703" t="n">
        <v>50.830377</v>
      </c>
      <c r="Q25" s="703" t="n">
        <v>0</v>
      </c>
      <c r="R25" s="703" t="n">
        <v>761.144365</v>
      </c>
      <c r="S25" s="703">
        <f>SUM(P25:R25)</f>
        <v/>
      </c>
      <c r="T25" s="703" t="n">
        <v>153.11976</v>
      </c>
      <c r="U25" s="703" t="n">
        <v>0</v>
      </c>
      <c r="V25" s="703" t="n">
        <v>560.548117</v>
      </c>
      <c r="W25" s="703">
        <f>SUM(T25:V25)</f>
        <v/>
      </c>
      <c r="X25" s="703" t="n">
        <v>2029.518541</v>
      </c>
      <c r="Y25" s="318">
        <f>SUM(K25+O25+S25+W25+X25)</f>
        <v/>
      </c>
      <c r="Z25" s="319">
        <f>IF(F25=0,"",K25/(F25/((YEAR(E25)*12+MONTH(E25))-(YEAR(D25)*12+MONTH(D25))+1)))</f>
        <v/>
      </c>
      <c r="AA25" s="319">
        <f>G25/F25</f>
        <v/>
      </c>
      <c r="AB25" s="704">
        <f>F25-G25</f>
        <v/>
      </c>
      <c r="AC25" s="321">
        <f>SUM(F25:F27)</f>
        <v/>
      </c>
      <c r="AD25" s="322">
        <f>AD28</f>
        <v/>
      </c>
      <c r="AE25" s="705">
        <f>AE28</f>
        <v/>
      </c>
      <c r="AF25" s="706" t="inlineStr"/>
      <c r="AG25" s="706" t="inlineStr"/>
      <c r="AH25" s="706" t="inlineStr"/>
      <c r="AI25" s="706" t="inlineStr"/>
      <c r="AJ25" s="706" t="inlineStr"/>
    </row>
    <row r="26" ht="14.25" customFormat="1" customHeight="1" s="483">
      <c r="A26" s="500" t="n"/>
      <c r="B26" s="707" t="inlineStr">
        <is>
          <t>理财师027</t>
        </is>
      </c>
      <c r="C26" s="707" t="inlineStr">
        <is>
          <t>私人财富管理资深顾问PWA2-3</t>
        </is>
      </c>
      <c r="D26" s="676" t="n">
        <v>45943</v>
      </c>
      <c r="E26" s="676" t="n">
        <v>46124</v>
      </c>
      <c r="F26" s="707" t="n">
        <v>6847</v>
      </c>
      <c r="G26" s="707" t="n">
        <v>1138.55362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133.5165</v>
      </c>
      <c r="M26" s="707" t="n">
        <v>0</v>
      </c>
      <c r="N26" s="707" t="n">
        <v>14.759064</v>
      </c>
      <c r="O26" s="707">
        <f>SUM(L26:N26)</f>
        <v/>
      </c>
      <c r="P26" s="707" t="n">
        <v>0</v>
      </c>
      <c r="Q26" s="707" t="n">
        <v>0</v>
      </c>
      <c r="R26" s="707" t="n">
        <v>2.181886</v>
      </c>
      <c r="S26" s="707">
        <f>SUM(P26:R26)</f>
        <v/>
      </c>
      <c r="T26" s="707" t="n">
        <v>0</v>
      </c>
      <c r="U26" s="707" t="n">
        <v>0</v>
      </c>
      <c r="V26" s="707" t="n">
        <v>1.481485</v>
      </c>
      <c r="W26" s="707">
        <f>SUM(T26:V26)</f>
        <v/>
      </c>
      <c r="X26" s="707" t="n">
        <v>66.75825</v>
      </c>
      <c r="Y26" s="271">
        <f>SUM(K26+O26+S26+W26+X26)</f>
        <v/>
      </c>
      <c r="Z26" s="326">
        <f>IF(F26=0,"",K26/(F26/((YEAR(E26)*12+MONTH(E26))-(YEAR(D26)*12+MONTH(D26))+1)))</f>
        <v/>
      </c>
      <c r="AA26" s="326">
        <f>G26/F26</f>
        <v/>
      </c>
      <c r="AB26" s="708">
        <f>F26-G26</f>
        <v/>
      </c>
      <c r="AC26" s="500" t="n"/>
      <c r="AD26" s="500" t="n"/>
      <c r="AE26" s="500" t="n"/>
      <c r="AF26" s="706" t="inlineStr"/>
      <c r="AG26" s="706" t="inlineStr"/>
      <c r="AH26" s="706" t="inlineStr"/>
      <c r="AI26" s="706" t="inlineStr"/>
      <c r="AJ26" s="706" t="inlineStr"/>
    </row>
    <row r="27" ht="14.25" customFormat="1" customHeight="1" s="483">
      <c r="A27" s="513" t="n"/>
      <c r="B27" s="707" t="inlineStr">
        <is>
          <t>理财师002</t>
        </is>
      </c>
      <c r="C27" s="707" t="inlineStr">
        <is>
          <t>私人财富管理专家PWA4-5</t>
        </is>
      </c>
      <c r="D27" s="676" t="n">
        <v>46023</v>
      </c>
      <c r="E27" s="676" t="n">
        <v>46203</v>
      </c>
      <c r="F27" s="707" t="n">
        <v>24411</v>
      </c>
      <c r="G27" s="707" t="n">
        <v>25511.98742</v>
      </c>
      <c r="H27" s="707" t="n">
        <v>1612.83477</v>
      </c>
      <c r="I27" s="707" t="n">
        <v>0</v>
      </c>
      <c r="J27" s="707" t="n">
        <v>0</v>
      </c>
      <c r="K27" s="707">
        <f>SUM(H27:J27)</f>
        <v/>
      </c>
      <c r="L27" s="707" t="n">
        <v>-6293.787361</v>
      </c>
      <c r="M27" s="707" t="n">
        <v>0</v>
      </c>
      <c r="N27" s="707" t="n">
        <v>210.102519</v>
      </c>
      <c r="O27" s="707">
        <f>SUM(L27:N27)</f>
        <v/>
      </c>
      <c r="P27" s="707" t="n">
        <v>2164.476574</v>
      </c>
      <c r="Q27" s="707" t="n">
        <v>0</v>
      </c>
      <c r="R27" s="707" t="n">
        <v>365.27682</v>
      </c>
      <c r="S27" s="707">
        <f>SUM(P27:R27)</f>
        <v/>
      </c>
      <c r="T27" s="707" t="n">
        <v>2346.171162</v>
      </c>
      <c r="U27" s="707" t="n">
        <v>0</v>
      </c>
      <c r="V27" s="707" t="n">
        <v>187.41719</v>
      </c>
      <c r="W27" s="707">
        <f>SUM(T27:V27)</f>
        <v/>
      </c>
      <c r="X27" s="707" t="n">
        <v>24919.495747</v>
      </c>
      <c r="Y27" s="271">
        <f>SUM(K27+O27+S27+W27+X27)</f>
        <v/>
      </c>
      <c r="Z27" s="326">
        <f>IF(F27=0,"",K27/(F27/((YEAR(E27)*12+MONTH(E27))-(YEAR(D27)*12+MONTH(D27))+1)))</f>
        <v/>
      </c>
      <c r="AA27" s="326">
        <f>G27/F27</f>
        <v/>
      </c>
      <c r="AB27" s="708">
        <f>F27-G27</f>
        <v/>
      </c>
      <c r="AC27" s="513" t="n"/>
      <c r="AD27" s="513" t="n"/>
      <c r="AE27" s="513" t="n"/>
      <c r="AF27" s="706" t="inlineStr"/>
      <c r="AG27" s="706" t="inlineStr"/>
      <c r="AH27" s="706" t="inlineStr"/>
      <c r="AI27" s="706" t="inlineStr"/>
      <c r="AJ27" s="706" t="inlineStr"/>
    </row>
    <row r="28" ht="14.25" customFormat="1" customHeight="1" s="483">
      <c r="A28" s="710" t="inlineStr">
        <is>
          <t>合计</t>
        </is>
      </c>
      <c r="B28" s="518" t="n"/>
      <c r="C28" s="518" t="n"/>
      <c r="D28" s="518" t="n"/>
      <c r="E28" s="578" t="n"/>
      <c r="F28" s="333">
        <f>SUM(F25:F27)</f>
        <v/>
      </c>
      <c r="G28" s="710">
        <f>SUM(G25:G27)</f>
        <v/>
      </c>
      <c r="H28" s="710">
        <f>SUM(H25:H27)</f>
        <v/>
      </c>
      <c r="I28" s="710">
        <f>SUM(I25:I27)</f>
        <v/>
      </c>
      <c r="J28" s="710">
        <f>SUM(J25:J27)</f>
        <v/>
      </c>
      <c r="K28" s="710">
        <f>SUM(K25:K27)</f>
        <v/>
      </c>
      <c r="L28" s="710">
        <f>SUM(L25:L27)</f>
        <v/>
      </c>
      <c r="M28" s="710">
        <f>SUM(M25:M27)</f>
        <v/>
      </c>
      <c r="N28" s="710">
        <f>SUM(N25:N27)</f>
        <v/>
      </c>
      <c r="O28" s="710">
        <f>SUM(O25:O27)</f>
        <v/>
      </c>
      <c r="P28" s="710">
        <f>SUM(P25:P27)</f>
        <v/>
      </c>
      <c r="Q28" s="710">
        <f>SUM(Q25:Q27)</f>
        <v/>
      </c>
      <c r="R28" s="710">
        <f>SUM(R25:R27)</f>
        <v/>
      </c>
      <c r="S28" s="710">
        <f>SUM(S25:S27)</f>
        <v/>
      </c>
      <c r="T28" s="710">
        <f>SUM(T25:T27)</f>
        <v/>
      </c>
      <c r="U28" s="710">
        <f>SUM(U25:U27)</f>
        <v/>
      </c>
      <c r="V28" s="710">
        <f>SUM(V25:V27)</f>
        <v/>
      </c>
      <c r="W28" s="710">
        <f>SUM(W25:W27)</f>
        <v/>
      </c>
      <c r="X28" s="710">
        <f>SUM(X25:X27)</f>
        <v/>
      </c>
      <c r="Y28" s="711">
        <f>SUM(K28+O28+S28+W28+X28)</f>
        <v/>
      </c>
      <c r="Z28" s="335">
        <f>IF(F28=0,"",K28/(F28/((YEAR(E25)*12+MONTH(E25))-(YEAR(D25)*12+MONTH(D25))+1)))</f>
        <v/>
      </c>
      <c r="AA28" s="336">
        <f>G28/F28</f>
        <v/>
      </c>
      <c r="AB28" s="711">
        <f>F28-G28</f>
        <v/>
      </c>
      <c r="AC28" s="337">
        <f>AC25</f>
        <v/>
      </c>
      <c r="AD28" s="335">
        <f>Y28/AC25</f>
        <v/>
      </c>
      <c r="AE28" s="718">
        <f>AC25-Y28</f>
        <v/>
      </c>
      <c r="AF28" s="713" t="inlineStr"/>
      <c r="AG28" s="713" t="inlineStr"/>
      <c r="AH28" s="713" t="inlineStr"/>
      <c r="AI28" s="713" t="inlineStr"/>
      <c r="AJ28" s="713" t="inlineStr"/>
    </row>
    <row r="29" ht="14.25" customFormat="1" customHeight="1" s="483">
      <c r="A29" s="703" t="inlineStr">
        <is>
          <t>理财师009</t>
        </is>
      </c>
      <c r="B29" s="703" t="inlineStr">
        <is>
          <t>理财师048</t>
        </is>
      </c>
      <c r="C29" s="703" t="inlineStr">
        <is>
          <t>观察期PWA0-1</t>
        </is>
      </c>
      <c r="D29" s="693" t="n">
        <v>46082</v>
      </c>
      <c r="E29" s="693" t="n">
        <v>46234</v>
      </c>
      <c r="F29" s="703" t="n">
        <v>3056.1223</v>
      </c>
      <c r="G29" s="703" t="n">
        <v>176.114154</v>
      </c>
      <c r="H29" s="703" t="n">
        <v>0</v>
      </c>
      <c r="I29" s="703" t="n">
        <v>0</v>
      </c>
      <c r="J29" s="703" t="n">
        <v>0</v>
      </c>
      <c r="K29" s="703">
        <f>SUM(H29:J29)</f>
        <v/>
      </c>
      <c r="L29" s="703" t="n">
        <v>0</v>
      </c>
      <c r="M29" s="703" t="n">
        <v>0</v>
      </c>
      <c r="N29" s="703" t="n">
        <v>25.715569</v>
      </c>
      <c r="O29" s="703">
        <f>SUM(L29:N29)</f>
        <v/>
      </c>
      <c r="P29" s="703" t="n">
        <v>103.23148</v>
      </c>
      <c r="Q29" s="703" t="n">
        <v>0</v>
      </c>
      <c r="R29" s="703" t="n">
        <v>47.167105</v>
      </c>
      <c r="S29" s="703">
        <f>SUM(P29:R29)</f>
        <v/>
      </c>
      <c r="T29" s="703" t="n">
        <v>51.706393</v>
      </c>
      <c r="U29" s="703" t="n">
        <v>90.204069</v>
      </c>
      <c r="V29" s="703" t="n">
        <v>16.925117</v>
      </c>
      <c r="W29" s="703">
        <f>SUM(T29:V29)</f>
        <v/>
      </c>
      <c r="X29" s="703" t="n">
        <v>193.330405</v>
      </c>
      <c r="Y29" s="318">
        <f>SUM(K29+O29+S29+W29+X29)</f>
        <v/>
      </c>
      <c r="Z29" s="319">
        <f>IF(F29=0,"",K29/(F29/((YEAR(E29)*12+MONTH(E29))-(YEAR(D29)*12+MONTH(D29))+1)))</f>
        <v/>
      </c>
      <c r="AA29" s="319">
        <f>G29/F29</f>
        <v/>
      </c>
      <c r="AB29" s="704">
        <f>F29-G29</f>
        <v/>
      </c>
      <c r="AC29" s="321">
        <f>SUM(F29:F31)</f>
        <v/>
      </c>
      <c r="AD29" s="322">
        <f>AD32</f>
        <v/>
      </c>
      <c r="AE29" s="705">
        <f>AE32</f>
        <v/>
      </c>
      <c r="AF29" s="706" t="inlineStr"/>
      <c r="AG29" s="706" t="inlineStr"/>
      <c r="AH29" s="706" t="inlineStr"/>
      <c r="AI29" s="706" t="inlineStr"/>
      <c r="AJ29" s="706" t="inlineStr"/>
    </row>
    <row r="30" ht="14.25" customFormat="1" customHeight="1" s="483">
      <c r="A30" s="500" t="n"/>
      <c r="B30" s="707" t="inlineStr">
        <is>
          <t>理财师009</t>
        </is>
      </c>
      <c r="C30" s="707" t="inlineStr">
        <is>
          <t>私人财富管理专家PWA4-1</t>
        </is>
      </c>
      <c r="D30" s="676" t="n">
        <v>46023</v>
      </c>
      <c r="E30" s="676" t="n">
        <v>46203</v>
      </c>
      <c r="F30" s="707" t="n">
        <v>28282.8</v>
      </c>
      <c r="G30" s="707" t="n">
        <v>32080.352724</v>
      </c>
      <c r="H30" s="707" t="n">
        <v>49.686</v>
      </c>
      <c r="I30" s="707" t="n">
        <v>0</v>
      </c>
      <c r="J30" s="707" t="n">
        <v>0</v>
      </c>
      <c r="K30" s="707">
        <f>SUM(H30:J30)</f>
        <v/>
      </c>
      <c r="L30" s="707" t="n">
        <v>1108.359514</v>
      </c>
      <c r="M30" s="707" t="n">
        <v>20570.004</v>
      </c>
      <c r="N30" s="707" t="n">
        <v>273.088373</v>
      </c>
      <c r="O30" s="707">
        <f>SUM(L30:N30)</f>
        <v/>
      </c>
      <c r="P30" s="707" t="n">
        <v>3314.503374</v>
      </c>
      <c r="Q30" s="707" t="n">
        <v>0</v>
      </c>
      <c r="R30" s="707" t="n">
        <v>699.48968</v>
      </c>
      <c r="S30" s="707">
        <f>SUM(P30:R30)</f>
        <v/>
      </c>
      <c r="T30" s="707" t="n">
        <v>4769.379014</v>
      </c>
      <c r="U30" s="707" t="n">
        <v>0</v>
      </c>
      <c r="V30" s="707" t="n">
        <v>225.874626</v>
      </c>
      <c r="W30" s="707">
        <f>SUM(T30:V30)</f>
        <v/>
      </c>
      <c r="X30" s="707" t="n">
        <v>1069.968142</v>
      </c>
      <c r="Y30" s="271">
        <f>SUM(K30+O30+S30+W30+X30)</f>
        <v/>
      </c>
      <c r="Z30" s="326">
        <f>IF(F30=0,"",K30/(F30/((YEAR(E30)*12+MONTH(E30))-(YEAR(D30)*12+MONTH(D30))+1)))</f>
        <v/>
      </c>
      <c r="AA30" s="326">
        <f>G30/F30</f>
        <v/>
      </c>
      <c r="AB30" s="708">
        <f>F30-G30</f>
        <v/>
      </c>
      <c r="AC30" s="500" t="n"/>
      <c r="AD30" s="500" t="n"/>
      <c r="AE30" s="500" t="n"/>
      <c r="AF30" s="706" t="inlineStr"/>
      <c r="AG30" s="706" t="inlineStr"/>
      <c r="AH30" s="706" t="inlineStr"/>
      <c r="AI30" s="706" t="inlineStr"/>
      <c r="AJ30" s="706" t="inlineStr"/>
    </row>
    <row r="31" ht="14.25" customFormat="1" customHeight="1" s="483">
      <c r="A31" s="513" t="n"/>
      <c r="B31" s="707" t="inlineStr">
        <is>
          <t>理财师010</t>
        </is>
      </c>
      <c r="C31" s="707" t="inlineStr">
        <is>
          <t>观察期PWA0-2</t>
        </is>
      </c>
      <c r="D31" s="676" t="n">
        <v>46023</v>
      </c>
      <c r="E31" s="676" t="n">
        <v>46203</v>
      </c>
      <c r="F31" s="707" t="n">
        <v>4868.16</v>
      </c>
      <c r="G31" s="707" t="n">
        <v>13850.070411</v>
      </c>
      <c r="H31" s="707" t="n">
        <v>474.6456</v>
      </c>
      <c r="I31" s="707" t="n">
        <v>0</v>
      </c>
      <c r="J31" s="707" t="n">
        <v>0</v>
      </c>
      <c r="K31" s="707">
        <f>SUM(H31:J31)</f>
        <v/>
      </c>
      <c r="L31" s="707" t="n">
        <v>949.2912</v>
      </c>
      <c r="M31" s="707" t="n">
        <v>0</v>
      </c>
      <c r="N31" s="707" t="n">
        <v>144.291309</v>
      </c>
      <c r="O31" s="707">
        <f>SUM(L31:N31)</f>
        <v/>
      </c>
      <c r="P31" s="707" t="n">
        <v>2158.292651</v>
      </c>
      <c r="Q31" s="707" t="n">
        <v>8187.6366</v>
      </c>
      <c r="R31" s="707" t="n">
        <v>194.447373</v>
      </c>
      <c r="S31" s="707">
        <f>SUM(P31:R31)</f>
        <v/>
      </c>
      <c r="T31" s="707" t="n">
        <v>474.6456</v>
      </c>
      <c r="U31" s="707" t="n">
        <v>0</v>
      </c>
      <c r="V31" s="707" t="n">
        <v>122.035472</v>
      </c>
      <c r="W31" s="707">
        <f>SUM(T31:V31)</f>
        <v/>
      </c>
      <c r="X31" s="707" t="n">
        <v>1144.784607</v>
      </c>
      <c r="Y31" s="271">
        <f>SUM(K31+O31+S31+W31+X31)</f>
        <v/>
      </c>
      <c r="Z31" s="326">
        <f>IF(F31=0,"",K31/(F31/((YEAR(E31)*12+MONTH(E31))-(YEAR(D31)*12+MONTH(D31))+1)))</f>
        <v/>
      </c>
      <c r="AA31" s="326">
        <f>G31/F31</f>
        <v/>
      </c>
      <c r="AB31" s="708">
        <f>F31-G31</f>
        <v/>
      </c>
      <c r="AC31" s="513" t="n"/>
      <c r="AD31" s="513" t="n"/>
      <c r="AE31" s="513" t="n"/>
      <c r="AF31" s="706" t="inlineStr"/>
      <c r="AG31" s="706" t="inlineStr"/>
      <c r="AH31" s="706" t="inlineStr"/>
      <c r="AI31" s="706" t="inlineStr"/>
      <c r="AJ31" s="706" t="inlineStr"/>
    </row>
    <row r="32" ht="14.25" customFormat="1" customHeight="1" s="483">
      <c r="A32" s="710" t="inlineStr">
        <is>
          <t>合计</t>
        </is>
      </c>
      <c r="B32" s="518" t="n"/>
      <c r="C32" s="518" t="n"/>
      <c r="D32" s="518" t="n"/>
      <c r="E32" s="578" t="n"/>
      <c r="F32" s="333">
        <f>SUM(F29:F31)</f>
        <v/>
      </c>
      <c r="G32" s="710">
        <f>SUM(G29:G31)</f>
        <v/>
      </c>
      <c r="H32" s="710">
        <f>SUM(H29:H31)</f>
        <v/>
      </c>
      <c r="I32" s="710">
        <f>SUM(I29:I31)</f>
        <v/>
      </c>
      <c r="J32" s="710">
        <f>SUM(J29:J31)</f>
        <v/>
      </c>
      <c r="K32" s="710">
        <f>SUM(K29:K31)</f>
        <v/>
      </c>
      <c r="L32" s="710">
        <f>SUM(L29:L31)</f>
        <v/>
      </c>
      <c r="M32" s="710">
        <f>SUM(M29:M31)</f>
        <v/>
      </c>
      <c r="N32" s="710">
        <f>SUM(N29:N31)</f>
        <v/>
      </c>
      <c r="O32" s="710">
        <f>SUM(O29:O31)</f>
        <v/>
      </c>
      <c r="P32" s="710">
        <f>SUM(P29:P31)</f>
        <v/>
      </c>
      <c r="Q32" s="710">
        <f>SUM(Q29:Q31)</f>
        <v/>
      </c>
      <c r="R32" s="710">
        <f>SUM(R29:R31)</f>
        <v/>
      </c>
      <c r="S32" s="710">
        <f>SUM(S29:S31)</f>
        <v/>
      </c>
      <c r="T32" s="710">
        <f>SUM(T29:T31)</f>
        <v/>
      </c>
      <c r="U32" s="710">
        <f>SUM(U29:U31)</f>
        <v/>
      </c>
      <c r="V32" s="710">
        <f>SUM(V29:V31)</f>
        <v/>
      </c>
      <c r="W32" s="710">
        <f>SUM(W29:W31)</f>
        <v/>
      </c>
      <c r="X32" s="710">
        <f>SUM(X29:X31)</f>
        <v/>
      </c>
      <c r="Y32" s="711">
        <f>SUM(K32+O32+S32+W32+X32)</f>
        <v/>
      </c>
      <c r="Z32" s="335">
        <f>IF(F32=0,"",K32/(F32/((YEAR(E29)*12+MONTH(E29))-(YEAR(D29)*12+MONTH(D29))+1)))</f>
        <v/>
      </c>
      <c r="AA32" s="336">
        <f>G32/F32</f>
        <v/>
      </c>
      <c r="AB32" s="711">
        <f>F32-G32</f>
        <v/>
      </c>
      <c r="AC32" s="337">
        <f>AC29</f>
        <v/>
      </c>
      <c r="AD32" s="335">
        <f>Y32/AC29</f>
        <v/>
      </c>
      <c r="AE32" s="718">
        <f>AC29-Y32</f>
        <v/>
      </c>
      <c r="AF32" s="713" t="inlineStr"/>
      <c r="AG32" s="713" t="inlineStr"/>
      <c r="AH32" s="713" t="inlineStr"/>
      <c r="AI32" s="713" t="inlineStr"/>
      <c r="AJ32" s="713" t="inlineStr"/>
    </row>
    <row r="33" ht="14.25" customFormat="1" customHeight="1" s="483">
      <c r="A33" s="703" t="inlineStr">
        <is>
          <t>理财师020</t>
        </is>
      </c>
      <c r="B33" s="703" t="inlineStr">
        <is>
          <t>理财师032</t>
        </is>
      </c>
      <c r="C33" s="703" t="inlineStr">
        <is>
          <t>C3</t>
        </is>
      </c>
      <c r="D33" s="693" t="n">
        <v>46049</v>
      </c>
      <c r="E33" s="693" t="n">
        <v>46229</v>
      </c>
      <c r="F33" s="703" t="n">
        <v>7912.17</v>
      </c>
      <c r="G33" s="703" t="n">
        <v>3958.784872</v>
      </c>
      <c r="H33" s="703" t="n">
        <v>0</v>
      </c>
      <c r="I33" s="703" t="n">
        <v>69.72140899999999</v>
      </c>
      <c r="J33" s="703" t="n">
        <v>0</v>
      </c>
      <c r="K33" s="703">
        <f>SUM(H33:J33)</f>
        <v/>
      </c>
      <c r="L33" s="703" t="n">
        <v>1008.99006</v>
      </c>
      <c r="M33" s="703" t="n">
        <v>0</v>
      </c>
      <c r="N33" s="703" t="n">
        <v>31.622924</v>
      </c>
      <c r="O33" s="703">
        <f>SUM(L33:N33)</f>
        <v/>
      </c>
      <c r="P33" s="703" t="n">
        <v>0</v>
      </c>
      <c r="Q33" s="703" t="n">
        <v>342.296351</v>
      </c>
      <c r="R33" s="703" t="n">
        <v>35.098479</v>
      </c>
      <c r="S33" s="703">
        <f>SUM(P33:R33)</f>
        <v/>
      </c>
      <c r="T33" s="703" t="n">
        <v>440.8209</v>
      </c>
      <c r="U33" s="703" t="n">
        <v>0</v>
      </c>
      <c r="V33" s="703" t="n">
        <v>21.381724</v>
      </c>
      <c r="W33" s="703">
        <f>SUM(T33:V33)</f>
        <v/>
      </c>
      <c r="X33" s="703" t="n">
        <v>1310.569686</v>
      </c>
      <c r="Y33" s="318">
        <f>SUM(K33+O33+S33+W33+X33)</f>
        <v/>
      </c>
      <c r="Z33" s="319">
        <f>IF(F33=0,"",K33/(F33/((YEAR(E33)*12+MONTH(E33))-(YEAR(D33)*12+MONTH(D33))+1)))</f>
        <v/>
      </c>
      <c r="AA33" s="319">
        <f>G33/F33</f>
        <v/>
      </c>
      <c r="AB33" s="704">
        <f>F33-G33</f>
        <v/>
      </c>
      <c r="AC33" s="321">
        <f>SUM(F33:F34)</f>
        <v/>
      </c>
      <c r="AD33" s="322">
        <f>AD35</f>
        <v/>
      </c>
      <c r="AE33" s="705">
        <f>AE35</f>
        <v/>
      </c>
      <c r="AF33" s="706" t="inlineStr"/>
      <c r="AG33" s="706" t="inlineStr"/>
      <c r="AH33" s="706" t="inlineStr"/>
      <c r="AI33" s="706" t="inlineStr"/>
      <c r="AJ33" s="706" t="inlineStr"/>
    </row>
    <row r="34" ht="14.25" customFormat="1" customHeight="1" s="483">
      <c r="A34" s="513" t="n"/>
      <c r="B34" s="707" t="inlineStr">
        <is>
          <t>理财师020</t>
        </is>
      </c>
      <c r="C34" s="707" t="inlineStr">
        <is>
          <t>私人财富管理资深顾问PWA2-5</t>
        </is>
      </c>
      <c r="D34" s="676" t="n">
        <v>46023</v>
      </c>
      <c r="E34" s="676" t="n">
        <v>46203</v>
      </c>
      <c r="F34" s="707" t="n">
        <v>15907.32</v>
      </c>
      <c r="G34" s="707" t="n">
        <v>33051.97401</v>
      </c>
      <c r="H34" s="707" t="n">
        <v>1263.248184</v>
      </c>
      <c r="I34" s="707" t="n">
        <v>0</v>
      </c>
      <c r="J34" s="707" t="n">
        <v>0</v>
      </c>
      <c r="K34" s="707">
        <f>SUM(H34:J34)</f>
        <v/>
      </c>
      <c r="L34" s="707" t="n">
        <v>1259.210798</v>
      </c>
      <c r="M34" s="707" t="n">
        <v>3101.9274</v>
      </c>
      <c r="N34" s="707" t="n">
        <v>245.926116</v>
      </c>
      <c r="O34" s="707">
        <f>SUM(L34:N34)</f>
        <v/>
      </c>
      <c r="P34" s="707" t="n">
        <v>10803.329409</v>
      </c>
      <c r="Q34" s="707" t="n">
        <v>0</v>
      </c>
      <c r="R34" s="707" t="n">
        <v>396.373158</v>
      </c>
      <c r="S34" s="707">
        <f>SUM(P34:R34)</f>
        <v/>
      </c>
      <c r="T34" s="707" t="n">
        <v>6594.535422</v>
      </c>
      <c r="U34" s="707" t="n">
        <v>0</v>
      </c>
      <c r="V34" s="707" t="n">
        <v>271.914403</v>
      </c>
      <c r="W34" s="707">
        <f>SUM(T34:V34)</f>
        <v/>
      </c>
      <c r="X34" s="707" t="n">
        <v>9115.509121999999</v>
      </c>
      <c r="Y34" s="271">
        <f>SUM(K34+O34+S34+W34+X34)</f>
        <v/>
      </c>
      <c r="Z34" s="326">
        <f>IF(F34=0,"",K34/(F34/((YEAR(E34)*12+MONTH(E34))-(YEAR(D34)*12+MONTH(D34))+1)))</f>
        <v/>
      </c>
      <c r="AA34" s="326">
        <f>G34/F34</f>
        <v/>
      </c>
      <c r="AB34" s="708">
        <f>F34-G34</f>
        <v/>
      </c>
      <c r="AC34" s="513" t="n"/>
      <c r="AD34" s="513" t="n"/>
      <c r="AE34" s="513" t="n"/>
      <c r="AF34" s="706" t="inlineStr"/>
      <c r="AG34" s="706" t="inlineStr"/>
      <c r="AH34" s="706" t="inlineStr"/>
      <c r="AI34" s="706" t="inlineStr"/>
      <c r="AJ34" s="706" t="inlineStr"/>
    </row>
    <row r="35" ht="14.25" customFormat="1" customHeight="1" s="483">
      <c r="A35" s="710" t="inlineStr">
        <is>
          <t>合计</t>
        </is>
      </c>
      <c r="B35" s="518" t="n"/>
      <c r="C35" s="518" t="n"/>
      <c r="D35" s="518" t="n"/>
      <c r="E35" s="578" t="n"/>
      <c r="F35" s="333">
        <f>SUM(F33:F34)</f>
        <v/>
      </c>
      <c r="G35" s="710">
        <f>SUM(G33:G34)</f>
        <v/>
      </c>
      <c r="H35" s="710">
        <f>SUM(H33:H34)</f>
        <v/>
      </c>
      <c r="I35" s="710">
        <f>SUM(I33:I34)</f>
        <v/>
      </c>
      <c r="J35" s="710">
        <f>SUM(J33:J34)</f>
        <v/>
      </c>
      <c r="K35" s="710">
        <f>SUM(K33:K34)</f>
        <v/>
      </c>
      <c r="L35" s="710">
        <f>SUM(L33:L34)</f>
        <v/>
      </c>
      <c r="M35" s="710">
        <f>SUM(M33:M34)</f>
        <v/>
      </c>
      <c r="N35" s="710">
        <f>SUM(N33:N34)</f>
        <v/>
      </c>
      <c r="O35" s="710">
        <f>SUM(O33:O34)</f>
        <v/>
      </c>
      <c r="P35" s="710">
        <f>SUM(P33:P34)</f>
        <v/>
      </c>
      <c r="Q35" s="710">
        <f>SUM(Q33:Q34)</f>
        <v/>
      </c>
      <c r="R35" s="710">
        <f>SUM(R33:R34)</f>
        <v/>
      </c>
      <c r="S35" s="710">
        <f>SUM(S33:S34)</f>
        <v/>
      </c>
      <c r="T35" s="710">
        <f>SUM(T33:T34)</f>
        <v/>
      </c>
      <c r="U35" s="710">
        <f>SUM(U33:U34)</f>
        <v/>
      </c>
      <c r="V35" s="710">
        <f>SUM(V33:V34)</f>
        <v/>
      </c>
      <c r="W35" s="710">
        <f>SUM(W33:W34)</f>
        <v/>
      </c>
      <c r="X35" s="710">
        <f>SUM(X33:X34)</f>
        <v/>
      </c>
      <c r="Y35" s="711">
        <f>SUM(K35+O35+S35+W35+X35)</f>
        <v/>
      </c>
      <c r="Z35" s="335">
        <f>IF(F35=0,"",K35/(F35/((YEAR(E33)*12+MONTH(E33))-(YEAR(D33)*12+MONTH(D33))+1)))</f>
        <v/>
      </c>
      <c r="AA35" s="336">
        <f>G35/F35</f>
        <v/>
      </c>
      <c r="AB35" s="711">
        <f>F35-G35</f>
        <v/>
      </c>
      <c r="AC35" s="337">
        <f>AC33</f>
        <v/>
      </c>
      <c r="AD35" s="335">
        <f>Y35/AC33</f>
        <v/>
      </c>
      <c r="AE35" s="718">
        <f>AC33-Y35</f>
        <v/>
      </c>
      <c r="AF35" s="713" t="inlineStr"/>
      <c r="AG35" s="713" t="inlineStr"/>
      <c r="AH35" s="713" t="inlineStr"/>
      <c r="AI35" s="713" t="inlineStr"/>
      <c r="AJ35" s="713" t="inlineStr"/>
    </row>
    <row r="36" ht="14.25" customFormat="1" customHeight="1" s="483">
      <c r="A36" s="703" t="inlineStr">
        <is>
          <t>理财师005</t>
        </is>
      </c>
      <c r="B36" s="703" t="inlineStr">
        <is>
          <t>理财师026</t>
        </is>
      </c>
      <c r="C36" s="703" t="inlineStr">
        <is>
          <t>观察期PWA0-1</t>
        </is>
      </c>
      <c r="D36" s="693" t="n">
        <v>46113</v>
      </c>
      <c r="E36" s="693" t="n">
        <v>46203</v>
      </c>
      <c r="F36" s="703" t="n">
        <v>1943.13</v>
      </c>
      <c r="G36" s="703" t="n">
        <v>451.918255</v>
      </c>
      <c r="H36" s="703" t="n">
        <v>0</v>
      </c>
      <c r="I36" s="703" t="n">
        <v>0</v>
      </c>
      <c r="J36" s="703" t="n">
        <v>0</v>
      </c>
      <c r="K36" s="703">
        <f>SUM(H36:J36)</f>
        <v/>
      </c>
      <c r="L36" s="703" t="n">
        <v>437.370804</v>
      </c>
      <c r="M36" s="703" t="n">
        <v>0</v>
      </c>
      <c r="N36" s="703" t="n">
        <v>14.547451</v>
      </c>
      <c r="O36" s="703">
        <f>SUM(L36:N36)</f>
        <v/>
      </c>
      <c r="P36" s="703" t="n">
        <v>809.929895</v>
      </c>
      <c r="Q36" s="703" t="n">
        <v>0</v>
      </c>
      <c r="R36" s="703" t="n">
        <v>47.503424</v>
      </c>
      <c r="S36" s="703">
        <f>SUM(P36:R36)</f>
        <v/>
      </c>
      <c r="T36" s="703" t="n">
        <v>176.20858</v>
      </c>
      <c r="U36" s="703" t="n">
        <v>0</v>
      </c>
      <c r="V36" s="703" t="n">
        <v>11.404098</v>
      </c>
      <c r="W36" s="703">
        <f>SUM(T36:V36)</f>
        <v/>
      </c>
      <c r="X36" s="703" t="n">
        <v>12.282809</v>
      </c>
      <c r="Y36" s="318">
        <f>SUM(K36+O36+S36+W36+X36)</f>
        <v/>
      </c>
      <c r="Z36" s="319">
        <f>IF(F36=0,"",K36/(F36/((YEAR(E36)*12+MONTH(E36))-(YEAR(D36)*12+MONTH(D36))+1)))</f>
        <v/>
      </c>
      <c r="AA36" s="319">
        <f>G36/F36</f>
        <v/>
      </c>
      <c r="AB36" s="704">
        <f>F36-G36</f>
        <v/>
      </c>
      <c r="AC36" s="321">
        <f>SUM(F36:F37)</f>
        <v/>
      </c>
      <c r="AD36" s="322">
        <f>AD38</f>
        <v/>
      </c>
      <c r="AE36" s="705">
        <f>AE38</f>
        <v/>
      </c>
      <c r="AF36" s="706" t="inlineStr"/>
      <c r="AG36" s="706" t="inlineStr"/>
      <c r="AH36" s="706" t="inlineStr"/>
      <c r="AI36" s="706" t="inlineStr"/>
      <c r="AJ36" s="706" t="inlineStr"/>
    </row>
    <row r="37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9523.006517</v>
      </c>
      <c r="H37" s="707" t="n">
        <v>0</v>
      </c>
      <c r="I37" s="707" t="n">
        <v>0</v>
      </c>
      <c r="J37" s="707" t="n">
        <v>0</v>
      </c>
      <c r="K37" s="707">
        <f>SUM(H37:J37)</f>
        <v/>
      </c>
      <c r="L37" s="707" t="n">
        <v>1870.349984</v>
      </c>
      <c r="M37" s="707" t="n">
        <v>2312.474666</v>
      </c>
      <c r="N37" s="707" t="n">
        <v>277.051448</v>
      </c>
      <c r="O37" s="707">
        <f>SUM(L37:N37)</f>
        <v/>
      </c>
      <c r="P37" s="707" t="n">
        <v>731.292658</v>
      </c>
      <c r="Q37" s="707" t="n">
        <v>1925.150771</v>
      </c>
      <c r="R37" s="707" t="n">
        <v>383.775324</v>
      </c>
      <c r="S37" s="707">
        <f>SUM(P37:R37)</f>
        <v/>
      </c>
      <c r="T37" s="707" t="n">
        <v>1738.204897</v>
      </c>
      <c r="U37" s="707" t="n">
        <v>0</v>
      </c>
      <c r="V37" s="707" t="n">
        <v>284.706769</v>
      </c>
      <c r="W37" s="707">
        <f>SUM(T37:V37)</f>
        <v/>
      </c>
      <c r="X37" s="707" t="n">
        <v>1538.392041</v>
      </c>
      <c r="Y37" s="271">
        <f>SUM(K37+O37+S37+W37+X37)</f>
        <v/>
      </c>
      <c r="Z37" s="326">
        <f>IF(F37=0,"",K37/(F37/((YEAR(E37)*12+MONTH(E37))-(YEAR(D37)*12+MONTH(D37))+1)))</f>
        <v/>
      </c>
      <c r="AA37" s="326">
        <f>G37/F37</f>
        <v/>
      </c>
      <c r="AB37" s="708">
        <f>F37-G37</f>
        <v/>
      </c>
      <c r="AC37" s="513" t="n"/>
      <c r="AD37" s="513" t="n"/>
      <c r="AE37" s="513" t="n"/>
      <c r="AF37" s="706" t="inlineStr"/>
      <c r="AG37" s="706" t="inlineStr"/>
      <c r="AH37" s="706" t="inlineStr"/>
      <c r="AI37" s="706" t="inlineStr"/>
      <c r="AJ37" s="706" t="inlineStr"/>
    </row>
    <row r="38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SUM(F36:F37)</f>
        <v/>
      </c>
      <c r="G38" s="710">
        <f>SUM(G36:G37)</f>
        <v/>
      </c>
      <c r="H38" s="710">
        <f>SUM(H36:H37)</f>
        <v/>
      </c>
      <c r="I38" s="710">
        <f>SUM(I36:I37)</f>
        <v/>
      </c>
      <c r="J38" s="710">
        <f>SUM(J36:J37)</f>
        <v/>
      </c>
      <c r="K38" s="710">
        <f>SUM(K36:K37)</f>
        <v/>
      </c>
      <c r="L38" s="710">
        <f>SUM(L36:L37)</f>
        <v/>
      </c>
      <c r="M38" s="710">
        <f>SUM(M36:M37)</f>
        <v/>
      </c>
      <c r="N38" s="710">
        <f>SUM(N36:N37)</f>
        <v/>
      </c>
      <c r="O38" s="710">
        <f>SUM(O36:O37)</f>
        <v/>
      </c>
      <c r="P38" s="710">
        <f>SUM(P36:P37)</f>
        <v/>
      </c>
      <c r="Q38" s="710">
        <f>SUM(Q36:Q37)</f>
        <v/>
      </c>
      <c r="R38" s="710">
        <f>SUM(R36:R37)</f>
        <v/>
      </c>
      <c r="S38" s="710">
        <f>SUM(S36:S37)</f>
        <v/>
      </c>
      <c r="T38" s="710">
        <f>SUM(T36:T37)</f>
        <v/>
      </c>
      <c r="U38" s="710">
        <f>SUM(U36:U37)</f>
        <v/>
      </c>
      <c r="V38" s="710">
        <f>SUM(V36:V37)</f>
        <v/>
      </c>
      <c r="W38" s="710">
        <f>SUM(W36:W37)</f>
        <v/>
      </c>
      <c r="X38" s="710">
        <f>SUM(X36:X37)</f>
        <v/>
      </c>
      <c r="Y38" s="711">
        <f>SUM(K38+O38+S38+W38+X38)</f>
        <v/>
      </c>
      <c r="Z38" s="335">
        <f>IF(F38=0,"",K38/(F38/((YEAR(E36)*12+MONTH(E36))-(YEAR(D36)*12+MONTH(D36))+1)))</f>
        <v/>
      </c>
      <c r="AA38" s="336">
        <f>G38/F38</f>
        <v/>
      </c>
      <c r="AB38" s="711">
        <f>F38-G38</f>
        <v/>
      </c>
      <c r="AC38" s="337">
        <f>AC36</f>
        <v/>
      </c>
      <c r="AD38" s="335">
        <f>Y38/AC36</f>
        <v/>
      </c>
      <c r="AE38" s="718">
        <f>AC36-Y38</f>
        <v/>
      </c>
      <c r="AF38" s="713" t="inlineStr"/>
      <c r="AG38" s="713" t="inlineStr"/>
      <c r="AH38" s="713" t="inlineStr"/>
      <c r="AI38" s="713" t="inlineStr"/>
      <c r="AJ38" s="713" t="inlineStr"/>
    </row>
    <row r="39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776.498841</v>
      </c>
      <c r="H39" s="703" t="n">
        <v>0</v>
      </c>
      <c r="I39" s="703" t="n">
        <v>0</v>
      </c>
      <c r="J39" s="703" t="n">
        <v>0</v>
      </c>
      <c r="K39" s="703">
        <f>SUM(H39:J39)</f>
        <v/>
      </c>
      <c r="L39" s="703" t="n">
        <v>178.04748</v>
      </c>
      <c r="M39" s="703" t="n">
        <v>0</v>
      </c>
      <c r="N39" s="703" t="n">
        <v>1.310068</v>
      </c>
      <c r="O39" s="703">
        <f>SUM(L39:N39)</f>
        <v/>
      </c>
      <c r="P39" s="703" t="n">
        <v>47.229437</v>
      </c>
      <c r="Q39" s="703" t="n">
        <v>0</v>
      </c>
      <c r="R39" s="703" t="n">
        <v>24.120644</v>
      </c>
      <c r="S39" s="703">
        <f>SUM(P39:R39)</f>
        <v/>
      </c>
      <c r="T39" s="703" t="n">
        <v>524.574731</v>
      </c>
      <c r="U39" s="703" t="n">
        <v>0</v>
      </c>
      <c r="V39" s="703" t="n">
        <v>1.216481</v>
      </c>
      <c r="W39" s="703">
        <f>SUM(T39:V39)</f>
        <v/>
      </c>
      <c r="X39" s="703" t="n">
        <v>0</v>
      </c>
      <c r="Y39" s="318">
        <f>SUM(K39+O39+S39+W39+X39)</f>
        <v/>
      </c>
      <c r="Z39" s="319">
        <f>IF(F39=0,"",K39/(F39/((YEAR(E39)*12+MONTH(E39))-(YEAR(D39)*12+MONTH(D39))+1)))</f>
        <v/>
      </c>
      <c r="AA39" s="319">
        <f>G39/F39</f>
        <v/>
      </c>
      <c r="AB39" s="704">
        <f>F39-G39</f>
        <v/>
      </c>
      <c r="AC39" s="321">
        <f>SUM(F39:F40)</f>
        <v/>
      </c>
      <c r="AD39" s="322">
        <f>AD41</f>
        <v/>
      </c>
      <c r="AE39" s="705">
        <f>AE41</f>
        <v/>
      </c>
      <c r="AF39" s="706" t="inlineStr"/>
      <c r="AG39" s="706" t="inlineStr"/>
      <c r="AH39" s="706" t="inlineStr"/>
      <c r="AI39" s="706" t="inlineStr"/>
      <c r="AJ39" s="706" t="inlineStr"/>
    </row>
    <row r="40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22541.500811</v>
      </c>
      <c r="H40" s="707" t="n">
        <v>3385.023162</v>
      </c>
      <c r="I40" s="707" t="n">
        <v>0</v>
      </c>
      <c r="J40" s="707" t="n">
        <v>0</v>
      </c>
      <c r="K40" s="707">
        <f>SUM(H40:J40)</f>
        <v/>
      </c>
      <c r="L40" s="707" t="n">
        <v>3533.62581</v>
      </c>
      <c r="M40" s="707" t="n">
        <v>1927.43226</v>
      </c>
      <c r="N40" s="707" t="n">
        <v>132.81261</v>
      </c>
      <c r="O40" s="707">
        <f>SUM(L40:N40)</f>
        <v/>
      </c>
      <c r="P40" s="707" t="n">
        <v>9546.464904</v>
      </c>
      <c r="Q40" s="707" t="n">
        <v>0</v>
      </c>
      <c r="R40" s="707" t="n">
        <v>401.214551</v>
      </c>
      <c r="S40" s="707">
        <f>SUM(P40:R40)</f>
        <v/>
      </c>
      <c r="T40" s="707" t="n">
        <v>1081.878995</v>
      </c>
      <c r="U40" s="707" t="n">
        <v>523.50012</v>
      </c>
      <c r="V40" s="707" t="n">
        <v>135.589522</v>
      </c>
      <c r="W40" s="707">
        <f>SUM(T40:V40)</f>
        <v/>
      </c>
      <c r="X40" s="707" t="n">
        <v>1873.958877</v>
      </c>
      <c r="Y40" s="271">
        <f>SUM(K40+O40+S40+W40+X40)</f>
        <v/>
      </c>
      <c r="Z40" s="326">
        <f>IF(F40=0,"",K40/(F40/((YEAR(E40)*12+MONTH(E40))-(YEAR(D40)*12+MONTH(D40))+1)))</f>
        <v/>
      </c>
      <c r="AA40" s="326">
        <f>G40/F40</f>
        <v/>
      </c>
      <c r="AB40" s="708">
        <f>F40-G40</f>
        <v/>
      </c>
      <c r="AC40" s="513" t="n"/>
      <c r="AD40" s="513" t="n"/>
      <c r="AE40" s="513" t="n"/>
      <c r="AF40" s="706" t="inlineStr"/>
      <c r="AG40" s="706" t="inlineStr"/>
      <c r="AH40" s="706" t="inlineStr"/>
      <c r="AI40" s="706" t="inlineStr"/>
      <c r="AJ40" s="706" t="inlineStr"/>
    </row>
    <row r="4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1">
        <f>SUM(K41+O41+S41+W41+X41)</f>
        <v/>
      </c>
      <c r="Z41" s="335">
        <f>IF(F41=0,"",K41/(F41/((YEAR(E39)*12+MONTH(E39))-(YEAR(D39)*12+MONTH(D39))+1)))</f>
        <v/>
      </c>
      <c r="AA41" s="336">
        <f>G41/F41</f>
        <v/>
      </c>
      <c r="AB41" s="711">
        <f>F41-G41</f>
        <v/>
      </c>
      <c r="AC41" s="337">
        <f>AC39</f>
        <v/>
      </c>
      <c r="AD41" s="335">
        <f>Y41/AC39</f>
        <v/>
      </c>
      <c r="AE41" s="718">
        <f>AC39-Y41</f>
        <v/>
      </c>
      <c r="AF41" s="713" t="inlineStr"/>
      <c r="AG41" s="713" t="inlineStr"/>
      <c r="AH41" s="713" t="inlineStr"/>
      <c r="AI41" s="713" t="inlineStr"/>
      <c r="AJ41" s="713" t="inlineStr"/>
    </row>
    <row r="42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12888.475185</v>
      </c>
      <c r="H42" s="703" t="n">
        <v>416.7423</v>
      </c>
      <c r="I42" s="703" t="n">
        <v>0</v>
      </c>
      <c r="J42" s="703" t="n">
        <v>0</v>
      </c>
      <c r="K42" s="703">
        <f>SUM(H42:J42)</f>
        <v/>
      </c>
      <c r="L42" s="703" t="n">
        <v>1486.439176</v>
      </c>
      <c r="M42" s="703" t="n">
        <v>0</v>
      </c>
      <c r="N42" s="703" t="n">
        <v>377.363887</v>
      </c>
      <c r="O42" s="703">
        <f>SUM(L42:N42)</f>
        <v/>
      </c>
      <c r="P42" s="703" t="n">
        <v>2747.788321</v>
      </c>
      <c r="Q42" s="703" t="n">
        <v>0</v>
      </c>
      <c r="R42" s="703" t="n">
        <v>610.841506</v>
      </c>
      <c r="S42" s="703">
        <f>SUM(P42:R42)</f>
        <v/>
      </c>
      <c r="T42" s="703" t="n">
        <v>1566.390968</v>
      </c>
      <c r="U42" s="703" t="n">
        <v>1037.679365</v>
      </c>
      <c r="V42" s="703" t="n">
        <v>311.654822</v>
      </c>
      <c r="W42" s="703">
        <f>SUM(T42:V42)</f>
        <v/>
      </c>
      <c r="X42" s="703" t="n">
        <v>4333.574839</v>
      </c>
      <c r="Y42" s="318">
        <f>SUM(K42+O42+S42+W42+X42)</f>
        <v/>
      </c>
      <c r="Z42" s="319">
        <f>IF(F42=0,"",K42/(F42/((YEAR(E42)*12+MONTH(E42))-(YEAR(D42)*12+MONTH(D42))+1)))</f>
        <v/>
      </c>
      <c r="AA42" s="319">
        <f>G42/F42</f>
        <v/>
      </c>
      <c r="AB42" s="704">
        <f>F42-G42</f>
        <v/>
      </c>
      <c r="AC42" s="321">
        <f>SUM(F42:F46)</f>
        <v/>
      </c>
      <c r="AD42" s="322">
        <f>AD47</f>
        <v/>
      </c>
      <c r="AE42" s="705">
        <f>AE47</f>
        <v/>
      </c>
      <c r="AF42" s="706" t="inlineStr"/>
      <c r="AG42" s="706" t="inlineStr"/>
      <c r="AH42" s="706" t="inlineStr"/>
      <c r="AI42" s="706" t="inlineStr"/>
      <c r="AJ42" s="706" t="inlineStr"/>
    </row>
    <row r="43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9343.944081</v>
      </c>
      <c r="H43" s="707" t="n">
        <v>735.4035</v>
      </c>
      <c r="I43" s="707" t="n">
        <v>0</v>
      </c>
      <c r="J43" s="707" t="n">
        <v>0</v>
      </c>
      <c r="K43" s="707">
        <f>SUM(H43:J43)</f>
        <v/>
      </c>
      <c r="L43" s="707" t="n">
        <v>564.492584</v>
      </c>
      <c r="M43" s="707" t="n">
        <v>0</v>
      </c>
      <c r="N43" s="707" t="n">
        <v>1435.413398</v>
      </c>
      <c r="O43" s="707">
        <f>SUM(L43:N43)</f>
        <v/>
      </c>
      <c r="P43" s="707" t="n">
        <v>1550.383391</v>
      </c>
      <c r="Q43" s="707" t="n">
        <v>0</v>
      </c>
      <c r="R43" s="707" t="n">
        <v>2273.498356</v>
      </c>
      <c r="S43" s="707">
        <f>SUM(P43:R43)</f>
        <v/>
      </c>
      <c r="T43" s="707" t="n">
        <v>1396.194268</v>
      </c>
      <c r="U43" s="707" t="n">
        <v>0</v>
      </c>
      <c r="V43" s="707" t="n">
        <v>1388.558583</v>
      </c>
      <c r="W43" s="707">
        <f>SUM(T43:V43)</f>
        <v/>
      </c>
      <c r="X43" s="707" t="n">
        <v>7202.586607</v>
      </c>
      <c r="Y43" s="271">
        <f>SUM(K43+O43+S43+W43+X43)</f>
        <v/>
      </c>
      <c r="Z43" s="326">
        <f>IF(F43=0,"",K43/(F43/((YEAR(E43)*12+MONTH(E43))-(YEAR(D43)*12+MONTH(D43))+1)))</f>
        <v/>
      </c>
      <c r="AA43" s="326">
        <f>G43/F43</f>
        <v/>
      </c>
      <c r="AB43" s="708">
        <f>F43-G43</f>
        <v/>
      </c>
      <c r="AC43" s="500" t="n"/>
      <c r="AD43" s="500" t="n"/>
      <c r="AE43" s="500" t="n"/>
      <c r="AF43" s="706" t="inlineStr"/>
      <c r="AG43" s="706" t="inlineStr"/>
      <c r="AH43" s="706" t="inlineStr"/>
      <c r="AI43" s="706" t="inlineStr"/>
      <c r="AJ43" s="706" t="inlineStr"/>
    </row>
    <row r="44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421.44971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410.9235</v>
      </c>
      <c r="M44" s="707" t="n">
        <v>0</v>
      </c>
      <c r="N44" s="707" t="n">
        <v>4.340061</v>
      </c>
      <c r="O44" s="707">
        <f>SUM(L44:N44)</f>
        <v/>
      </c>
      <c r="P44" s="707" t="n">
        <v>0</v>
      </c>
      <c r="Q44" s="707" t="n">
        <v>0</v>
      </c>
      <c r="R44" s="707" t="n">
        <v>5.058234</v>
      </c>
      <c r="S44" s="707">
        <f>SUM(P44:R44)</f>
        <v/>
      </c>
      <c r="T44" s="707" t="n">
        <v>0</v>
      </c>
      <c r="U44" s="707" t="n">
        <v>0</v>
      </c>
      <c r="V44" s="707" t="n">
        <v>1.127915</v>
      </c>
      <c r="W44" s="707">
        <f>SUM(T44:V44)</f>
        <v/>
      </c>
      <c r="X44" s="707" t="n">
        <v>0</v>
      </c>
      <c r="Y44" s="271">
        <f>SUM(K44+O44+S44+W44+X44)</f>
        <v/>
      </c>
      <c r="Z44" s="326">
        <f>IF(F44=0,"",K44/(F44/((YEAR(E44)*12+MONTH(E44))-(YEAR(D44)*12+MONTH(D44))+1)))</f>
        <v/>
      </c>
      <c r="AA44" s="326">
        <f>G44/F44</f>
        <v/>
      </c>
      <c r="AB44" s="708">
        <f>F44-G44</f>
        <v/>
      </c>
      <c r="AC44" s="500" t="n"/>
      <c r="AD44" s="500" t="n"/>
      <c r="AE44" s="500" t="n"/>
      <c r="AF44" s="706" t="inlineStr"/>
      <c r="AG44" s="706" t="inlineStr"/>
      <c r="AH44" s="706" t="inlineStr"/>
      <c r="AI44" s="706" t="inlineStr"/>
      <c r="AJ44" s="706" t="inlineStr"/>
    </row>
    <row r="45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0</v>
      </c>
      <c r="I45" s="707" t="n">
        <v>0</v>
      </c>
      <c r="J45" s="707" t="n">
        <v>0</v>
      </c>
      <c r="K45" s="707">
        <f>SUM(H45:J45)</f>
        <v/>
      </c>
      <c r="L45" s="707" t="n">
        <v>757.832636</v>
      </c>
      <c r="M45" s="707" t="n">
        <v>0</v>
      </c>
      <c r="N45" s="707" t="n">
        <v>581.619744</v>
      </c>
      <c r="O45" s="707">
        <f>SUM(L45:N45)</f>
        <v/>
      </c>
      <c r="P45" s="707" t="n">
        <v>1958.298381</v>
      </c>
      <c r="Q45" s="707" t="n">
        <v>0</v>
      </c>
      <c r="R45" s="707" t="n">
        <v>662.594343</v>
      </c>
      <c r="S45" s="707">
        <f>SUM(P45:R45)</f>
        <v/>
      </c>
      <c r="T45" s="707" t="n">
        <v>2837.047697</v>
      </c>
      <c r="U45" s="707" t="n">
        <v>0</v>
      </c>
      <c r="V45" s="707" t="n">
        <v>463.983498</v>
      </c>
      <c r="W45" s="707">
        <f>SUM(T45:V45)</f>
        <v/>
      </c>
      <c r="X45" s="707" t="n">
        <v>2545.018293</v>
      </c>
      <c r="Y45" s="271">
        <f>SUM(K45+O45+S45+W45+X45)</f>
        <v/>
      </c>
      <c r="Z45" s="326">
        <f>IF(F45=0,"",K45/(F45/((YEAR(E45)*12+MONTH(E45))-(YEAR(D45)*12+MONTH(D45))+1)))</f>
        <v/>
      </c>
      <c r="AA45" s="326">
        <f>G45/F45</f>
        <v/>
      </c>
      <c r="AB45" s="708">
        <f>F45-G45</f>
        <v/>
      </c>
      <c r="AC45" s="500" t="n"/>
      <c r="AD45" s="500" t="n"/>
      <c r="AE45" s="500" t="n"/>
      <c r="AF45" s="706" t="inlineStr"/>
      <c r="AG45" s="706" t="inlineStr"/>
      <c r="AH45" s="706" t="inlineStr"/>
      <c r="AI45" s="706" t="inlineStr"/>
      <c r="AJ45" s="706" t="inlineStr"/>
    </row>
    <row r="46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22279.022157</v>
      </c>
      <c r="H46" s="707" t="n">
        <v>4097.57864</v>
      </c>
      <c r="I46" s="707" t="n">
        <v>0</v>
      </c>
      <c r="J46" s="707" t="n">
        <v>0</v>
      </c>
      <c r="K46" s="707">
        <f>SUM(H46:J46)</f>
        <v/>
      </c>
      <c r="L46" s="707" t="n">
        <v>904.43984</v>
      </c>
      <c r="M46" s="707" t="n">
        <v>0</v>
      </c>
      <c r="N46" s="707" t="n">
        <v>822.517258</v>
      </c>
      <c r="O46" s="707">
        <f>SUM(L46:N46)</f>
        <v/>
      </c>
      <c r="P46" s="707" t="n">
        <v>3160.387028</v>
      </c>
      <c r="Q46" s="707" t="n">
        <v>0</v>
      </c>
      <c r="R46" s="707" t="n">
        <v>3880.484178</v>
      </c>
      <c r="S46" s="707">
        <f>SUM(P46:R46)</f>
        <v/>
      </c>
      <c r="T46" s="707" t="n">
        <v>3065.24731</v>
      </c>
      <c r="U46" s="707" t="n">
        <v>0</v>
      </c>
      <c r="V46" s="707" t="n">
        <v>1466.609142</v>
      </c>
      <c r="W46" s="707">
        <f>SUM(T46:V46)</f>
        <v/>
      </c>
      <c r="X46" s="707" t="n">
        <v>4881.758761</v>
      </c>
      <c r="Y46" s="271">
        <f>SUM(K46+O46+S46+W46+X46)</f>
        <v/>
      </c>
      <c r="Z46" s="326">
        <f>IF(F46=0,"",K46/(F46/((YEAR(E46)*12+MONTH(E46))-(YEAR(D46)*12+MONTH(D46))+1)))</f>
        <v/>
      </c>
      <c r="AA46" s="326">
        <f>G46/F46</f>
        <v/>
      </c>
      <c r="AB46" s="708">
        <f>F46-G46</f>
        <v/>
      </c>
      <c r="AC46" s="513" t="n"/>
      <c r="AD46" s="513" t="n"/>
      <c r="AE46" s="513" t="n"/>
      <c r="AF46" s="706" t="inlineStr"/>
      <c r="AG46" s="706" t="inlineStr"/>
      <c r="AH46" s="706" t="inlineStr"/>
      <c r="AI46" s="706" t="inlineStr"/>
      <c r="AJ46" s="706" t="inlineStr"/>
    </row>
    <row r="47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1">
        <f>SUM(K47+O47+S47+W47+X47)</f>
        <v/>
      </c>
      <c r="Z47" s="335">
        <f>IF(F47=0,"",K47/(F47/((YEAR(E42)*12+MONTH(E42))-(YEAR(D42)*12+MONTH(D42))+1)))</f>
        <v/>
      </c>
      <c r="AA47" s="336">
        <f>G47/F47</f>
        <v/>
      </c>
      <c r="AB47" s="711">
        <f>F47-G47</f>
        <v/>
      </c>
      <c r="AC47" s="337">
        <f>AC42</f>
        <v/>
      </c>
      <c r="AD47" s="335">
        <f>Y47/AC42</f>
        <v/>
      </c>
      <c r="AE47" s="718">
        <f>AC42-Y47</f>
        <v/>
      </c>
      <c r="AF47" s="713" t="inlineStr"/>
      <c r="AG47" s="713" t="inlineStr"/>
      <c r="AH47" s="713" t="inlineStr"/>
      <c r="AI47" s="713" t="inlineStr"/>
      <c r="AJ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F9+F15+F20+F24+F28+F32+F35+F38+F41+F47</f>
        <v/>
      </c>
      <c r="G48" s="720">
        <f>G9+G15+G20+G24+G28+G32+G35+G38+G41+G47</f>
        <v/>
      </c>
      <c r="H48" s="720">
        <f>H9+H15+H20+H24+H28+H32+H35+H38+H41+H47</f>
        <v/>
      </c>
      <c r="I48" s="720">
        <f>I9+I15+I20+I24+I28+I32+I35+I38+I41+I47</f>
        <v/>
      </c>
      <c r="J48" s="720">
        <f>J9+J15+J20+J24+J28+J32+J35+J38+J41+J47</f>
        <v/>
      </c>
      <c r="K48" s="720">
        <f>K9+K15+K20+K24+K28+K32+K35+K38+K41+K47</f>
        <v/>
      </c>
      <c r="L48" s="720">
        <f>L9+L15+L20+L24+L28+L32+L35+L38+L41+L47</f>
        <v/>
      </c>
      <c r="M48" s="720">
        <f>M9+M15+M20+M24+M28+M32+M35+M38+M41+M47</f>
        <v/>
      </c>
      <c r="N48" s="720">
        <f>N9+N15+N20+N24+N28+N32+N35+N38+N41+N47</f>
        <v/>
      </c>
      <c r="O48" s="720">
        <f>O9+O15+O20+O24+O28+O32+O35+O38+O41+O47</f>
        <v/>
      </c>
      <c r="P48" s="720">
        <f>P9+P15+P20+P24+P28+P32+P35+P38+P41+P47</f>
        <v/>
      </c>
      <c r="Q48" s="720">
        <f>Q9+Q15+Q20+Q24+Q28+Q32+Q35+Q38+Q41+Q47</f>
        <v/>
      </c>
      <c r="R48" s="720">
        <f>R9+R15+R20+R24+R28+R32+R35+R38+R41+R47</f>
        <v/>
      </c>
      <c r="S48" s="720">
        <f>S9+S15+S20+S24+S28+S32+S35+S38+S41+S47</f>
        <v/>
      </c>
      <c r="T48" s="720">
        <f>T9+T15+T20+T24+T28+T32+T35+T38+T41+T47</f>
        <v/>
      </c>
      <c r="U48" s="720">
        <f>U9+U15+U20+U24+U28+U32+U35+U38+U41+U47</f>
        <v/>
      </c>
      <c r="V48" s="720">
        <f>V9+V15+V20+V24+V28+V32+V35+V38+V41+V47</f>
        <v/>
      </c>
      <c r="W48" s="720">
        <f>W9+W15+W20+W24+W28+W32+W35+W38+W41+W47</f>
        <v/>
      </c>
      <c r="X48" s="720">
        <f>X9+X15+X20+X24+X28+X32+X35+X38+X41+X47</f>
        <v/>
      </c>
      <c r="Y48" s="349">
        <f>Y9+Y15+Y20+Y24+Y28+Y32+Y35+Y38+Y41+Y47</f>
        <v/>
      </c>
      <c r="Z48" s="350">
        <f>K48/(F48/((YEAR(E4)*12+MONTH(E4))-(YEAR(D4)*12+MONTH(D4))+1))</f>
        <v/>
      </c>
      <c r="AA48" s="350">
        <f>G48/F48</f>
        <v/>
      </c>
      <c r="AB48" s="721">
        <f>F48-G48</f>
        <v/>
      </c>
      <c r="AC48" s="352">
        <f>AC9+AC15+AC20+AC24+AC28+AC32+AC35+AC38+AC41+AC47</f>
        <v/>
      </c>
      <c r="AD48" s="353">
        <f>Y48/AC48</f>
        <v/>
      </c>
      <c r="AE48" s="722">
        <f>AC48-Y48</f>
        <v/>
      </c>
      <c r="AF48" s="723" t="inlineStr"/>
      <c r="AG48" s="723" t="inlineStr"/>
      <c r="AH48" s="723" t="inlineStr"/>
      <c r="AI48" s="723" t="inlineStr"/>
      <c r="AJ48" s="723" t="inlineStr"/>
    </row>
    <row r="49" ht="14.25" customFormat="1" customHeight="1" s="483">
      <c r="AB49" s="633" t="inlineStr">
        <is>
          <t>公司目标</t>
        </is>
      </c>
      <c r="AC49" s="633" t="n">
        <v>930486.542524</v>
      </c>
      <c r="AD49" s="252">
        <f>IF(AC49&lt;&gt;0,Y48/AC49,"")</f>
        <v/>
      </c>
      <c r="AE49" s="663">
        <f>AC49-Y48</f>
        <v/>
      </c>
    </row>
    <row r="50" ht="35.1" customFormat="1" customHeight="1" s="483"/>
    <row r="51" ht="24" customFormat="1" customHeight="1" s="483"/>
  </sheetData>
  <mergeCells count="83">
    <mergeCell ref="A21:A23"/>
    <mergeCell ref="A48:E48"/>
    <mergeCell ref="A4:A8"/>
    <mergeCell ref="A29:A31"/>
    <mergeCell ref="U2:U3"/>
    <mergeCell ref="A2:A3"/>
    <mergeCell ref="C2:C3"/>
    <mergeCell ref="E2:E3"/>
    <mergeCell ref="W2:W3"/>
    <mergeCell ref="A33:A34"/>
    <mergeCell ref="AE25:AE27"/>
    <mergeCell ref="AD29:AD31"/>
    <mergeCell ref="AA2:AA3"/>
    <mergeCell ref="AC2:AC3"/>
    <mergeCell ref="AE36:AE37"/>
    <mergeCell ref="V2:V3"/>
    <mergeCell ref="AC42:AC46"/>
    <mergeCell ref="X2:X3"/>
    <mergeCell ref="AE42:AE46"/>
    <mergeCell ref="A42:A46"/>
    <mergeCell ref="N2:N3"/>
    <mergeCell ref="F2:F3"/>
    <mergeCell ref="P2:P3"/>
    <mergeCell ref="H2:H3"/>
    <mergeCell ref="AC39:AC40"/>
    <mergeCell ref="AC21:AC23"/>
    <mergeCell ref="AE39:AE40"/>
    <mergeCell ref="AC29:AC31"/>
    <mergeCell ref="K2:K3"/>
    <mergeCell ref="AD36:AD37"/>
    <mergeCell ref="AE4:AE8"/>
    <mergeCell ref="AC1:AD1"/>
    <mergeCell ref="AE21:AE23"/>
    <mergeCell ref="O2:O3"/>
    <mergeCell ref="A32:E32"/>
    <mergeCell ref="Q2:Q3"/>
    <mergeCell ref="A38:E38"/>
    <mergeCell ref="A25:A27"/>
    <mergeCell ref="A39:A40"/>
    <mergeCell ref="AC16:AC19"/>
    <mergeCell ref="AE16:AE19"/>
    <mergeCell ref="S2:S3"/>
    <mergeCell ref="A24:E24"/>
    <mergeCell ref="AC25:AC27"/>
    <mergeCell ref="A36:A37"/>
    <mergeCell ref="B2:B3"/>
    <mergeCell ref="AC10:AC14"/>
    <mergeCell ref="D2:D3"/>
    <mergeCell ref="AE10:AE14"/>
    <mergeCell ref="A10:A14"/>
    <mergeCell ref="Z2:Z3"/>
    <mergeCell ref="AB2:AB3"/>
    <mergeCell ref="T2:T3"/>
    <mergeCell ref="AD2:AD3"/>
    <mergeCell ref="AD4:AD8"/>
    <mergeCell ref="A47:E47"/>
    <mergeCell ref="AD42:AD46"/>
    <mergeCell ref="A20:E20"/>
    <mergeCell ref="A28:E28"/>
    <mergeCell ref="AD25:AD27"/>
    <mergeCell ref="G2:G3"/>
    <mergeCell ref="I2:I3"/>
    <mergeCell ref="AD39:AD40"/>
    <mergeCell ref="A15:E15"/>
    <mergeCell ref="M2:M3"/>
    <mergeCell ref="AE2:AE3"/>
    <mergeCell ref="A16:A19"/>
    <mergeCell ref="Y2:Y3"/>
    <mergeCell ref="AC33:AC34"/>
    <mergeCell ref="A41:E41"/>
    <mergeCell ref="AD21:AD23"/>
    <mergeCell ref="AE33:AE34"/>
    <mergeCell ref="R2:R3"/>
    <mergeCell ref="AD16:AD19"/>
    <mergeCell ref="J2:J3"/>
    <mergeCell ref="L2:L3"/>
    <mergeCell ref="AD10:AD14"/>
    <mergeCell ref="AC36:AC37"/>
    <mergeCell ref="A35:E35"/>
    <mergeCell ref="AC4:AC8"/>
    <mergeCell ref="AD33:AD34"/>
    <mergeCell ref="AE29:AE31"/>
    <mergeCell ref="A9:E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8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width="9" customWidth="1" style="533" min="24" max="36"/>
  </cols>
  <sheetData>
    <row r="1" ht="20.25" customFormat="1" customHeight="1" s="483">
      <c r="A1" s="754" t="inlineStr">
        <is>
          <t>私人财富管理部折标销售进度表-截止20260522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552" t="inlineStr">
        <is>
          <t>上半年时间进度</t>
        </is>
      </c>
      <c r="AE1" s="70">
        <f>AJ7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传统202605</t>
        </is>
      </c>
      <c r="I2" s="541" t="inlineStr">
        <is>
          <t>保险202605</t>
        </is>
      </c>
      <c r="J2" s="541" t="inlineStr">
        <is>
          <t>管理费202605</t>
        </is>
      </c>
      <c r="K2" s="669" t="inlineStr">
        <is>
          <t>2026年
5月折标</t>
        </is>
      </c>
      <c r="L2" s="541" t="inlineStr">
        <is>
          <t>传统202604</t>
        </is>
      </c>
      <c r="M2" s="541" t="inlineStr">
        <is>
          <t>保险202604</t>
        </is>
      </c>
      <c r="N2" s="541" t="inlineStr">
        <is>
          <t>管理费202604</t>
        </is>
      </c>
      <c r="O2" s="669" t="inlineStr">
        <is>
          <t>2026年
4月折标</t>
        </is>
      </c>
      <c r="P2" s="541" t="inlineStr">
        <is>
          <t>传统202603</t>
        </is>
      </c>
      <c r="Q2" s="541" t="inlineStr">
        <is>
          <t>保险202603</t>
        </is>
      </c>
      <c r="R2" s="541" t="inlineStr">
        <is>
          <t>管理费202603</t>
        </is>
      </c>
      <c r="S2" s="669" t="inlineStr">
        <is>
          <t>2026年
3月折标</t>
        </is>
      </c>
      <c r="T2" s="541" t="inlineStr">
        <is>
          <t>传统202602</t>
        </is>
      </c>
      <c r="U2" s="541" t="inlineStr">
        <is>
          <t>保险202602</t>
        </is>
      </c>
      <c r="V2" s="541" t="inlineStr">
        <is>
          <t>管理费202602</t>
        </is>
      </c>
      <c r="W2" s="669" t="inlineStr">
        <is>
          <t>2026年
2月折标</t>
        </is>
      </c>
      <c r="X2" s="669" t="inlineStr">
        <is>
          <t>2026年
1月折标</t>
        </is>
      </c>
      <c r="Y2" s="670" t="inlineStr">
        <is>
          <t>2026年YTD折标</t>
        </is>
      </c>
      <c r="Z2" s="671" t="inlineStr">
        <is>
          <t>月度
完成率</t>
        </is>
      </c>
      <c r="AA2" s="666" t="inlineStr">
        <is>
          <t>考核期完成率（累计）</t>
        </is>
      </c>
      <c r="AB2" s="560" t="inlineStr">
        <is>
          <t>考核期差距</t>
        </is>
      </c>
      <c r="AC2" s="561" t="inlineStr">
        <is>
          <t>财富中心
上半年年任务</t>
        </is>
      </c>
      <c r="AD2" s="79" t="inlineStr">
        <is>
          <t>财富中心
上半年任务完成率</t>
        </is>
      </c>
      <c r="AE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</row>
    <row r="4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19817.703639</v>
      </c>
      <c r="H4" s="703" t="n">
        <v>727.621021</v>
      </c>
      <c r="I4" s="703" t="n">
        <v>0</v>
      </c>
      <c r="J4" s="703" t="n">
        <v>0</v>
      </c>
      <c r="K4" s="703">
        <f>SUM(H4:J4)</f>
        <v/>
      </c>
      <c r="L4" s="703" t="n">
        <v>2573.204374</v>
      </c>
      <c r="M4" s="703" t="n">
        <v>0</v>
      </c>
      <c r="N4" s="703" t="n">
        <v>535.227607</v>
      </c>
      <c r="O4" s="703">
        <f>SUM(L4:N4)</f>
        <v/>
      </c>
      <c r="P4" s="703" t="n">
        <v>8704.796721000001</v>
      </c>
      <c r="Q4" s="703" t="n">
        <v>0</v>
      </c>
      <c r="R4" s="703" t="n">
        <v>1242.252932</v>
      </c>
      <c r="S4" s="703">
        <f>SUM(P4:R4)</f>
        <v/>
      </c>
      <c r="T4" s="703" t="n">
        <v>1402.304143</v>
      </c>
      <c r="U4" s="703" t="n">
        <v>742.65048</v>
      </c>
      <c r="V4" s="703" t="n">
        <v>430.381249</v>
      </c>
      <c r="W4" s="703">
        <f>SUM(T4:V4)</f>
        <v/>
      </c>
      <c r="X4" s="703" t="n">
        <v>3459.265113</v>
      </c>
      <c r="Y4" s="318">
        <f>SUM(K4+O4+S4+W4+X4)</f>
        <v/>
      </c>
      <c r="Z4" s="319">
        <f>IF(F4=0,"",K4/(F4/((YEAR(E4)*12+MONTH(E4))-(YEAR(D4)*12+MONTH(D4))+1)))</f>
        <v/>
      </c>
      <c r="AA4" s="319">
        <f>G4/F4</f>
        <v/>
      </c>
      <c r="AB4" s="704">
        <f>F4-G4</f>
        <v/>
      </c>
      <c r="AC4" s="321">
        <f>SUM(F4:F8)</f>
        <v/>
      </c>
      <c r="AD4" s="322">
        <f>AD9</f>
        <v/>
      </c>
      <c r="AE4" s="705">
        <f>AE9</f>
        <v/>
      </c>
      <c r="AF4" s="706" t="inlineStr"/>
      <c r="AG4" s="706" t="inlineStr"/>
      <c r="AH4" s="706" t="inlineStr">
        <is>
          <t>开始日期</t>
        </is>
      </c>
      <c r="AI4" s="706" t="inlineStr">
        <is>
          <t>结束日期</t>
        </is>
      </c>
      <c r="AJ4" s="706" t="inlineStr"/>
    </row>
    <row r="5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16016.316442</v>
      </c>
      <c r="H5" s="707" t="n">
        <v>573.28128</v>
      </c>
      <c r="I5" s="707" t="n">
        <v>0</v>
      </c>
      <c r="J5" s="707" t="n">
        <v>0</v>
      </c>
      <c r="K5" s="707">
        <f>SUM(H5:J5)</f>
        <v/>
      </c>
      <c r="L5" s="707" t="n">
        <v>249.800095</v>
      </c>
      <c r="M5" s="707" t="n">
        <v>5040.9216</v>
      </c>
      <c r="N5" s="707" t="n">
        <v>164.52884</v>
      </c>
      <c r="O5" s="707">
        <f>SUM(L5:N5)</f>
        <v/>
      </c>
      <c r="P5" s="707" t="n">
        <v>1613.445926</v>
      </c>
      <c r="Q5" s="707" t="n">
        <v>0</v>
      </c>
      <c r="R5" s="707" t="n">
        <v>488.407071</v>
      </c>
      <c r="S5" s="707">
        <f>SUM(P5:R5)</f>
        <v/>
      </c>
      <c r="T5" s="707" t="n">
        <v>454.800547</v>
      </c>
      <c r="U5" s="707" t="n">
        <v>0</v>
      </c>
      <c r="V5" s="707" t="n">
        <v>289.117436</v>
      </c>
      <c r="W5" s="707">
        <f>SUM(T5:V5)</f>
        <v/>
      </c>
      <c r="X5" s="707" t="n">
        <v>3311.566531</v>
      </c>
      <c r="Y5" s="271">
        <f>SUM(K5+O5+S5+W5+X5)</f>
        <v/>
      </c>
      <c r="Z5" s="326">
        <f>IF(F5=0,"",K5/(F5/((YEAR(E5)*12+MONTH(E5))-(YEAR(D5)*12+MONTH(D5))+1)))</f>
        <v/>
      </c>
      <c r="AA5" s="326">
        <f>G5/F5</f>
        <v/>
      </c>
      <c r="AB5" s="708">
        <f>F5-G5</f>
        <v/>
      </c>
      <c r="AC5" s="500" t="n"/>
      <c r="AD5" s="500" t="n"/>
      <c r="AE5" s="500" t="n"/>
      <c r="AF5" s="706" t="inlineStr"/>
      <c r="AG5" s="706" t="inlineStr"/>
      <c r="AH5" s="328" t="n">
        <v>46023</v>
      </c>
      <c r="AI5" s="328" t="n">
        <v>46203</v>
      </c>
      <c r="AJ5" s="706" t="inlineStr"/>
    </row>
    <row r="6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119438.66416</v>
      </c>
      <c r="H6" s="707" t="n">
        <v>6059.607274</v>
      </c>
      <c r="I6" s="707" t="n">
        <v>71693.622</v>
      </c>
      <c r="J6" s="707" t="n">
        <v>0</v>
      </c>
      <c r="K6" s="707">
        <f>SUM(H6:J6)</f>
        <v/>
      </c>
      <c r="L6" s="707" t="n">
        <v>3788.477067</v>
      </c>
      <c r="M6" s="707" t="n">
        <v>0</v>
      </c>
      <c r="N6" s="707" t="n">
        <v>862.927829</v>
      </c>
      <c r="O6" s="707">
        <f>SUM(L6:N6)</f>
        <v/>
      </c>
      <c r="P6" s="707" t="n">
        <v>1444.66245</v>
      </c>
      <c r="Q6" s="707" t="n">
        <v>0</v>
      </c>
      <c r="R6" s="707" t="n">
        <v>1063.763858</v>
      </c>
      <c r="S6" s="707">
        <f>SUM(P6:R6)</f>
        <v/>
      </c>
      <c r="T6" s="707" t="n">
        <v>9688.821542</v>
      </c>
      <c r="U6" s="707" t="n">
        <v>0</v>
      </c>
      <c r="V6" s="707" t="n">
        <v>606.6776630000001</v>
      </c>
      <c r="W6" s="707">
        <f>SUM(T6:V6)</f>
        <v/>
      </c>
      <c r="X6" s="707" t="n">
        <v>13116.995922</v>
      </c>
      <c r="Y6" s="271">
        <f>SUM(K6+O6+S6+W6+X6)</f>
        <v/>
      </c>
      <c r="Z6" s="326">
        <f>IF(F6=0,"",K6/(F6/((YEAR(E6)*12+MONTH(E6))-(YEAR(D6)*12+MONTH(D6))+1)))</f>
        <v/>
      </c>
      <c r="AA6" s="326">
        <f>G6/F6</f>
        <v/>
      </c>
      <c r="AB6" s="708">
        <f>F6-G6</f>
        <v/>
      </c>
      <c r="AC6" s="500" t="n"/>
      <c r="AD6" s="500" t="n"/>
      <c r="AE6" s="500" t="n"/>
      <c r="AF6" s="706" t="inlineStr"/>
      <c r="AG6" s="706" t="inlineStr"/>
      <c r="AH6" s="706" t="inlineStr">
        <is>
          <t>计算日期</t>
        </is>
      </c>
      <c r="AI6" s="706">
        <f>W5-V5</f>
        <v/>
      </c>
      <c r="AJ6" s="706" t="inlineStr">
        <is>
          <t>时间进度</t>
        </is>
      </c>
    </row>
    <row r="7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3457.691707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133.5516</v>
      </c>
      <c r="M7" s="707" t="n">
        <v>0</v>
      </c>
      <c r="N7" s="707" t="n">
        <v>22.107856</v>
      </c>
      <c r="O7" s="707">
        <f>SUM(L7:N7)</f>
        <v/>
      </c>
      <c r="P7" s="707" t="n">
        <v>500.150742</v>
      </c>
      <c r="Q7" s="707" t="n">
        <v>0</v>
      </c>
      <c r="R7" s="707" t="n">
        <v>157.397938</v>
      </c>
      <c r="S7" s="707">
        <f>SUM(P7:R7)</f>
        <v/>
      </c>
      <c r="T7" s="707" t="n">
        <v>267.1032</v>
      </c>
      <c r="U7" s="707" t="n">
        <v>0</v>
      </c>
      <c r="V7" s="707" t="n">
        <v>25.494675</v>
      </c>
      <c r="W7" s="707">
        <f>SUM(T7:V7)</f>
        <v/>
      </c>
      <c r="X7" s="707" t="n">
        <v>2351.885696</v>
      </c>
      <c r="Y7" s="271">
        <f>SUM(K7+O7+S7+W7+X7)</f>
        <v/>
      </c>
      <c r="Z7" s="326">
        <f>IF(F7=0,"",K7/(F7/((YEAR(E7)*12+MONTH(E7))-(YEAR(D7)*12+MONTH(D7))+1)))</f>
        <v/>
      </c>
      <c r="AA7" s="326">
        <f>G7/F7</f>
        <v/>
      </c>
      <c r="AB7" s="708">
        <f>F7-G7</f>
        <v/>
      </c>
      <c r="AC7" s="500" t="n"/>
      <c r="AD7" s="500" t="n"/>
      <c r="AE7" s="500" t="n"/>
      <c r="AF7" s="706" t="inlineStr"/>
      <c r="AG7" s="706" t="inlineStr"/>
      <c r="AH7" s="709" t="n">
        <v>46164</v>
      </c>
      <c r="AI7" s="330">
        <f>AI5-AH5+1</f>
        <v/>
      </c>
      <c r="AJ7" s="331">
        <f>(AH7-AH5+1)/AI7</f>
        <v/>
      </c>
    </row>
    <row r="8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23664.438388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0</v>
      </c>
      <c r="M8" s="707" t="n">
        <v>2724.3216</v>
      </c>
      <c r="N8" s="707" t="n">
        <v>12.779778</v>
      </c>
      <c r="O8" s="707">
        <f>SUM(L8:N8)</f>
        <v/>
      </c>
      <c r="P8" s="707" t="n">
        <v>0</v>
      </c>
      <c r="Q8" s="707" t="n">
        <v>22785.2352</v>
      </c>
      <c r="R8" s="707" t="n">
        <v>13.774172</v>
      </c>
      <c r="S8" s="707">
        <f>SUM(P8:R8)</f>
        <v/>
      </c>
      <c r="T8" s="707" t="n">
        <v>41.2776</v>
      </c>
      <c r="U8" s="707" t="n">
        <v>0</v>
      </c>
      <c r="V8" s="707" t="n">
        <v>18.646322</v>
      </c>
      <c r="W8" s="707">
        <f>SUM(T8:V8)</f>
        <v/>
      </c>
      <c r="X8" s="707" t="n">
        <v>683.02396</v>
      </c>
      <c r="Y8" s="271">
        <f>SUM(K8+O8+S8+W8+X8)</f>
        <v/>
      </c>
      <c r="Z8" s="326">
        <f>IF(F8=0,"",K8/(F8/((YEAR(E8)*12+MONTH(E8))-(YEAR(D8)*12+MONTH(D8))+1)))</f>
        <v/>
      </c>
      <c r="AA8" s="326">
        <f>G8/F8</f>
        <v/>
      </c>
      <c r="AB8" s="708">
        <f>F8-G8</f>
        <v/>
      </c>
      <c r="AC8" s="513" t="n"/>
      <c r="AD8" s="513" t="n"/>
      <c r="AE8" s="513" t="n"/>
      <c r="AF8" s="706" t="inlineStr"/>
      <c r="AG8" s="706" t="inlineStr"/>
      <c r="AH8" s="706" t="inlineStr"/>
      <c r="AI8" s="706" t="inlineStr"/>
      <c r="AJ8" s="706" t="inlineStr"/>
    </row>
    <row r="9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1">
        <f>SUM(K9+O9+S9+W9+X9)</f>
        <v/>
      </c>
      <c r="Z9" s="335">
        <f>IF(F9=0,"",K9/(F9/((YEAR(E4)*12+MONTH(E4))-(YEAR(D4)*12+MONTH(D4))+1)))</f>
        <v/>
      </c>
      <c r="AA9" s="336">
        <f>G9/F9</f>
        <v/>
      </c>
      <c r="AB9" s="711">
        <f>F9-G9</f>
        <v/>
      </c>
      <c r="AC9" s="337">
        <f>AC4</f>
        <v/>
      </c>
      <c r="AD9" s="335">
        <f>Y9/AC4</f>
        <v/>
      </c>
      <c r="AE9" s="712">
        <f>AC4-Y9</f>
        <v/>
      </c>
      <c r="AF9" s="713" t="inlineStr"/>
      <c r="AG9" s="713" t="inlineStr"/>
      <c r="AH9" s="340" t="n">
        <v>46136</v>
      </c>
      <c r="AI9" s="713" t="inlineStr"/>
      <c r="AJ9" s="341">
        <f>(AD10-DATE(YEAR(AD10),1,1)+1)/AE9</f>
        <v/>
      </c>
    </row>
    <row r="10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20187.194275</v>
      </c>
      <c r="H10" s="703" t="n">
        <v>3388.1211</v>
      </c>
      <c r="I10" s="703" t="n">
        <v>0</v>
      </c>
      <c r="J10" s="703" t="n">
        <v>0</v>
      </c>
      <c r="K10" s="703">
        <f>SUM(H10:J10)</f>
        <v/>
      </c>
      <c r="L10" s="703" t="n">
        <v>2418.943367</v>
      </c>
      <c r="M10" s="703" t="n">
        <v>2443.706261</v>
      </c>
      <c r="N10" s="703" t="n">
        <v>88.105912</v>
      </c>
      <c r="O10" s="703">
        <f>SUM(L10:N10)</f>
        <v/>
      </c>
      <c r="P10" s="703" t="n">
        <v>2574.496213</v>
      </c>
      <c r="Q10" s="703" t="n">
        <v>2927.70165</v>
      </c>
      <c r="R10" s="703" t="n">
        <v>154.748145</v>
      </c>
      <c r="S10" s="703">
        <f>SUM(P10:R10)</f>
        <v/>
      </c>
      <c r="T10" s="703" t="n">
        <v>745.691219</v>
      </c>
      <c r="U10" s="703" t="n">
        <v>2330.36622</v>
      </c>
      <c r="V10" s="703" t="n">
        <v>72.478376</v>
      </c>
      <c r="W10" s="703">
        <f>SUM(T10:V10)</f>
        <v/>
      </c>
      <c r="X10" s="703" t="n">
        <v>3042.835811</v>
      </c>
      <c r="Y10" s="318">
        <f>SUM(K10+O10+S10+W10+X10)</f>
        <v/>
      </c>
      <c r="Z10" s="319">
        <f>IF(F10=0,"",K10/(F10/((YEAR(E10)*12+MONTH(E10))-(YEAR(D10)*12+MONTH(D10))+1)))</f>
        <v/>
      </c>
      <c r="AA10" s="319">
        <f>G10/F10</f>
        <v/>
      </c>
      <c r="AB10" s="704">
        <f>F10-G10</f>
        <v/>
      </c>
      <c r="AC10" s="321">
        <f>SUM(F10:F14)</f>
        <v/>
      </c>
      <c r="AD10" s="322">
        <f>AD15</f>
        <v/>
      </c>
      <c r="AE10" s="705">
        <f>AE15</f>
        <v/>
      </c>
      <c r="AF10" s="706" t="inlineStr"/>
      <c r="AG10" s="706" t="inlineStr"/>
      <c r="AH10" s="706" t="inlineStr"/>
      <c r="AI10" s="706" t="inlineStr"/>
      <c r="AJ10" s="706" t="inlineStr"/>
    </row>
    <row r="1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139.11456</v>
      </c>
      <c r="I11" s="707" t="n">
        <v>0</v>
      </c>
      <c r="J11" s="707" t="n">
        <v>0</v>
      </c>
      <c r="K11" s="707">
        <f>SUM(H11:J11)</f>
        <v/>
      </c>
      <c r="L11" s="707" t="n">
        <v>280.185418</v>
      </c>
      <c r="M11" s="707" t="n">
        <v>773.505646</v>
      </c>
      <c r="N11" s="707" t="n">
        <v>3.573146</v>
      </c>
      <c r="O11" s="707">
        <f>SUM(L11:N11)</f>
        <v/>
      </c>
      <c r="P11" s="707" t="n">
        <v>43.4733</v>
      </c>
      <c r="Q11" s="707" t="n">
        <v>0</v>
      </c>
      <c r="R11" s="707" t="n">
        <v>10.334614</v>
      </c>
      <c r="S11" s="707">
        <f>SUM(P11:R11)</f>
        <v/>
      </c>
      <c r="T11" s="707" t="n">
        <v>0</v>
      </c>
      <c r="U11" s="707" t="n">
        <v>0</v>
      </c>
      <c r="V11" s="707" t="n">
        <v>0</v>
      </c>
      <c r="W11" s="707">
        <f>SUM(T11:V11)</f>
        <v/>
      </c>
      <c r="X11" s="707" t="n">
        <v>0</v>
      </c>
      <c r="Y11" s="271">
        <f>SUM(K11+O11+S11+W11+X11)</f>
        <v/>
      </c>
      <c r="Z11" s="326">
        <f>IF(F11=0,"",K11/(F11/((YEAR(E11)*12+MONTH(E11))-(YEAR(D11)*12+MONTH(D11))+1)))</f>
        <v/>
      </c>
      <c r="AA11" s="326">
        <f>G11/F11</f>
        <v/>
      </c>
      <c r="AB11" s="708">
        <f>F11-G11</f>
        <v/>
      </c>
      <c r="AC11" s="500" t="n"/>
      <c r="AD11" s="500" t="n"/>
      <c r="AE11" s="500" t="n"/>
      <c r="AF11" s="706" t="inlineStr"/>
      <c r="AG11" s="706" t="inlineStr"/>
      <c r="AH11" s="706" t="inlineStr"/>
      <c r="AI11" s="706" t="inlineStr"/>
      <c r="AJ11" s="706" t="inlineStr"/>
    </row>
    <row r="12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15920.823123</v>
      </c>
      <c r="H12" s="707" t="n">
        <v>0</v>
      </c>
      <c r="I12" s="707" t="n">
        <v>0</v>
      </c>
      <c r="J12" s="707" t="n">
        <v>0</v>
      </c>
      <c r="K12" s="707">
        <f>SUM(H12:J12)</f>
        <v/>
      </c>
      <c r="L12" s="707" t="n">
        <v>5719.894428</v>
      </c>
      <c r="M12" s="707" t="n">
        <v>0</v>
      </c>
      <c r="N12" s="707" t="n">
        <v>170.991639</v>
      </c>
      <c r="O12" s="707">
        <f>SUM(L12:N12)</f>
        <v/>
      </c>
      <c r="P12" s="707" t="n">
        <v>2659.960961</v>
      </c>
      <c r="Q12" s="707" t="n">
        <v>0</v>
      </c>
      <c r="R12" s="707" t="n">
        <v>743.622962</v>
      </c>
      <c r="S12" s="707">
        <f>SUM(P12:R12)</f>
        <v/>
      </c>
      <c r="T12" s="707" t="n">
        <v>0</v>
      </c>
      <c r="U12" s="707" t="n">
        <v>0</v>
      </c>
      <c r="V12" s="707" t="n">
        <v>144.157177</v>
      </c>
      <c r="W12" s="707">
        <f>SUM(T12:V12)</f>
        <v/>
      </c>
      <c r="X12" s="707" t="n">
        <v>6482.195956</v>
      </c>
      <c r="Y12" s="271">
        <f>SUM(K12+O12+S12+W12+X12)</f>
        <v/>
      </c>
      <c r="Z12" s="326">
        <f>IF(F12=0,"",K12/(F12/((YEAR(E12)*12+MONTH(E12))-(YEAR(D12)*12+MONTH(D12))+1)))</f>
        <v/>
      </c>
      <c r="AA12" s="326">
        <f>G12/F12</f>
        <v/>
      </c>
      <c r="AB12" s="708">
        <f>F12-G12</f>
        <v/>
      </c>
      <c r="AC12" s="500" t="n"/>
      <c r="AD12" s="500" t="n"/>
      <c r="AE12" s="500" t="n"/>
      <c r="AF12" s="706" t="inlineStr"/>
      <c r="AG12" s="706" t="inlineStr"/>
      <c r="AH12" s="706" t="inlineStr"/>
      <c r="AI12" s="706" t="inlineStr"/>
      <c r="AJ12" s="706" t="inlineStr"/>
    </row>
    <row r="13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1009.96038</v>
      </c>
      <c r="H13" s="707" t="n">
        <v>153.0243</v>
      </c>
      <c r="I13" s="707" t="n">
        <v>0</v>
      </c>
      <c r="J13" s="707" t="n">
        <v>0</v>
      </c>
      <c r="K13" s="707">
        <f>SUM(H13:J13)</f>
        <v/>
      </c>
      <c r="L13" s="707" t="n">
        <v>0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856.9360799999999</v>
      </c>
      <c r="R13" s="707" t="n">
        <v>0</v>
      </c>
      <c r="S13" s="707">
        <f>SUM(P13:R13)</f>
        <v/>
      </c>
      <c r="T13" s="707" t="n">
        <v>0</v>
      </c>
      <c r="U13" s="707" t="n">
        <v>0</v>
      </c>
      <c r="V13" s="707" t="n">
        <v>0</v>
      </c>
      <c r="W13" s="707">
        <f>SUM(T13:V13)</f>
        <v/>
      </c>
      <c r="X13" s="707" t="n">
        <v>0</v>
      </c>
      <c r="Y13" s="271">
        <f>SUM(K13+O13+S13+W13+X13)</f>
        <v/>
      </c>
      <c r="Z13" s="326">
        <f>IF(F13=0,"",K13/(F13/((YEAR(E13)*12+MONTH(E13))-(YEAR(D13)*12+MONTH(D13))+1)))</f>
        <v/>
      </c>
      <c r="AA13" s="326">
        <f>G13/F13</f>
        <v/>
      </c>
      <c r="AB13" s="708">
        <f>F13-G13</f>
        <v/>
      </c>
      <c r="AC13" s="500" t="n"/>
      <c r="AD13" s="500" t="n"/>
      <c r="AE13" s="500" t="n"/>
      <c r="AF13" s="706" t="inlineStr"/>
      <c r="AG13" s="706" t="inlineStr"/>
      <c r="AH13" s="706" t="inlineStr"/>
      <c r="AI13" s="706" t="inlineStr"/>
      <c r="AJ13" s="706" t="inlineStr"/>
    </row>
    <row r="14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9258.227088</v>
      </c>
      <c r="H14" s="707" t="n">
        <v>605.72304</v>
      </c>
      <c r="I14" s="707" t="n">
        <v>0</v>
      </c>
      <c r="J14" s="707" t="n">
        <v>0</v>
      </c>
      <c r="K14" s="707">
        <f>SUM(H14:J14)</f>
        <v/>
      </c>
      <c r="L14" s="707" t="n">
        <v>3291.566745</v>
      </c>
      <c r="M14" s="707" t="n">
        <v>0</v>
      </c>
      <c r="N14" s="707" t="n">
        <v>133.306062</v>
      </c>
      <c r="O14" s="707">
        <f>SUM(L14:N14)</f>
        <v/>
      </c>
      <c r="P14" s="707" t="n">
        <v>3556.620439</v>
      </c>
      <c r="Q14" s="707" t="n">
        <v>0</v>
      </c>
      <c r="R14" s="707" t="n">
        <v>446.103228</v>
      </c>
      <c r="S14" s="707">
        <f>SUM(P14:R14)</f>
        <v/>
      </c>
      <c r="T14" s="707" t="n">
        <v>1054.327266</v>
      </c>
      <c r="U14" s="707" t="n">
        <v>0</v>
      </c>
      <c r="V14" s="707" t="n">
        <v>170.580309</v>
      </c>
      <c r="W14" s="707">
        <f>SUM(T14:V14)</f>
        <v/>
      </c>
      <c r="X14" s="707" t="n">
        <v>692.512431</v>
      </c>
      <c r="Y14" s="271">
        <f>SUM(K14+O14+S14+W14+X14)</f>
        <v/>
      </c>
      <c r="Z14" s="326">
        <f>IF(F14=0,"",K14/(F14/((YEAR(E14)*12+MONTH(E14))-(YEAR(D14)*12+MONTH(D14))+1)))</f>
        <v/>
      </c>
      <c r="AA14" s="326">
        <f>G14/F14</f>
        <v/>
      </c>
      <c r="AB14" s="708">
        <f>F14-G14</f>
        <v/>
      </c>
      <c r="AC14" s="513" t="n"/>
      <c r="AD14" s="513" t="n"/>
      <c r="AE14" s="513" t="n"/>
      <c r="AF14" s="706" t="inlineStr"/>
      <c r="AG14" s="706" t="inlineStr"/>
      <c r="AH14" s="706" t="inlineStr"/>
      <c r="AI14" s="706" t="inlineStr"/>
      <c r="AJ14" s="706" t="inlineStr"/>
    </row>
    <row r="15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1">
        <f>SUM(K15+O15+S15+W15+X15)</f>
        <v/>
      </c>
      <c r="Z15" s="335">
        <f>IF(F15=0,"",K15/(F15/((YEAR(E10)*12+MONTH(E10))-(YEAR(D10)*12+MONTH(D10))+1)))</f>
        <v/>
      </c>
      <c r="AA15" s="336">
        <f>G15/F15</f>
        <v/>
      </c>
      <c r="AB15" s="711">
        <f>F15-G15</f>
        <v/>
      </c>
      <c r="AC15" s="337">
        <f>AC10</f>
        <v/>
      </c>
      <c r="AD15" s="335">
        <f>Y15/AC10</f>
        <v/>
      </c>
      <c r="AE15" s="712">
        <f>AC10-Y15</f>
        <v/>
      </c>
      <c r="AF15" s="713" t="inlineStr"/>
      <c r="AG15" s="713" t="inlineStr"/>
      <c r="AH15" s="713" t="inlineStr"/>
      <c r="AI15" s="713" t="inlineStr"/>
      <c r="AJ15" s="713" t="inlineStr"/>
    </row>
    <row r="16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8653.084111</v>
      </c>
      <c r="H16" s="703" t="n">
        <v>1315.275</v>
      </c>
      <c r="I16" s="703" t="n">
        <v>0</v>
      </c>
      <c r="J16" s="703" t="n">
        <v>0</v>
      </c>
      <c r="K16" s="703">
        <f>SUM(H16:J16)</f>
        <v/>
      </c>
      <c r="L16" s="703" t="n">
        <v>2171.402323</v>
      </c>
      <c r="M16" s="703" t="n">
        <v>0</v>
      </c>
      <c r="N16" s="703" t="n">
        <v>14.593625</v>
      </c>
      <c r="O16" s="703">
        <f>SUM(L16:N16)</f>
        <v/>
      </c>
      <c r="P16" s="703" t="n">
        <v>1305.1575</v>
      </c>
      <c r="Q16" s="703" t="n">
        <v>1178.4864</v>
      </c>
      <c r="R16" s="703" t="n">
        <v>22.441342</v>
      </c>
      <c r="S16" s="703">
        <f>SUM(P16:R16)</f>
        <v/>
      </c>
      <c r="T16" s="703" t="n">
        <v>0</v>
      </c>
      <c r="U16" s="703" t="n">
        <v>0</v>
      </c>
      <c r="V16" s="703" t="n">
        <v>15.177921</v>
      </c>
      <c r="W16" s="703">
        <f>SUM(T16:V16)</f>
        <v/>
      </c>
      <c r="X16" s="703" t="n">
        <v>2630.55</v>
      </c>
      <c r="Y16" s="318">
        <f>SUM(K16+O16+S16+W16+X16)</f>
        <v/>
      </c>
      <c r="Z16" s="319">
        <f>IF(F16=0,"",K16/(F16/((YEAR(E16)*12+MONTH(E16))-(YEAR(D16)*12+MONTH(D16))+1)))</f>
        <v/>
      </c>
      <c r="AA16" s="319">
        <f>G16/F16</f>
        <v/>
      </c>
      <c r="AB16" s="704">
        <f>F16-G16</f>
        <v/>
      </c>
      <c r="AC16" s="321">
        <f>SUM(F16:F18)</f>
        <v/>
      </c>
      <c r="AD16" s="322">
        <f>AD19</f>
        <v/>
      </c>
      <c r="AE16" s="705">
        <f>AE19</f>
        <v/>
      </c>
      <c r="AF16" s="706" t="inlineStr"/>
      <c r="AG16" s="706" t="inlineStr"/>
      <c r="AH16" s="706" t="inlineStr"/>
      <c r="AI16" s="706" t="inlineStr"/>
      <c r="AJ16" s="706" t="inlineStr"/>
    </row>
    <row r="17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2.058637</v>
      </c>
      <c r="O17" s="707">
        <f>SUM(L17:N17)</f>
        <v/>
      </c>
      <c r="P17" s="707" t="n">
        <v>0</v>
      </c>
      <c r="Q17" s="707" t="n">
        <v>0</v>
      </c>
      <c r="R17" s="707" t="n">
        <v>3.23046</v>
      </c>
      <c r="S17" s="707">
        <f>SUM(P17:R17)</f>
        <v/>
      </c>
      <c r="T17" s="707" t="n">
        <v>25.0224</v>
      </c>
      <c r="U17" s="707" t="n">
        <v>1050.9408</v>
      </c>
      <c r="V17" s="707" t="n">
        <v>3.667668</v>
      </c>
      <c r="W17" s="707">
        <f>SUM(T17:V17)</f>
        <v/>
      </c>
      <c r="X17" s="707" t="n">
        <v>125.112</v>
      </c>
      <c r="Y17" s="271">
        <f>SUM(K17+O17+S17+W17+X17)</f>
        <v/>
      </c>
      <c r="Z17" s="326">
        <f>IF(F17=0,"",K17/(F17/((YEAR(E17)*12+MONTH(E17))-(YEAR(D17)*12+MONTH(D17))+1)))</f>
        <v/>
      </c>
      <c r="AA17" s="326">
        <f>G17/F17</f>
        <v/>
      </c>
      <c r="AB17" s="708">
        <f>F17-G17</f>
        <v/>
      </c>
      <c r="AC17" s="500" t="n"/>
      <c r="AD17" s="500" t="n"/>
      <c r="AE17" s="500" t="n"/>
      <c r="AF17" s="706" t="inlineStr"/>
      <c r="AG17" s="706" t="inlineStr"/>
      <c r="AH17" s="706" t="inlineStr"/>
      <c r="AI17" s="706" t="inlineStr"/>
      <c r="AJ17" s="706" t="inlineStr"/>
    </row>
    <row r="18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26293.057599</v>
      </c>
      <c r="H18" s="707" t="n">
        <v>939.960974</v>
      </c>
      <c r="I18" s="707" t="n">
        <v>0</v>
      </c>
      <c r="J18" s="707" t="n">
        <v>0</v>
      </c>
      <c r="K18" s="707">
        <f>SUM(H18:J18)</f>
        <v/>
      </c>
      <c r="L18" s="707" t="n">
        <v>2425.111949</v>
      </c>
      <c r="M18" s="707" t="n">
        <v>0</v>
      </c>
      <c r="N18" s="707" t="n">
        <v>263.174864</v>
      </c>
      <c r="O18" s="707">
        <f>SUM(L18:N18)</f>
        <v/>
      </c>
      <c r="P18" s="707" t="n">
        <v>3406.959578</v>
      </c>
      <c r="Q18" s="707" t="n">
        <v>14793.1056</v>
      </c>
      <c r="R18" s="707" t="n">
        <v>606.358521</v>
      </c>
      <c r="S18" s="707">
        <f>SUM(P18:R18)</f>
        <v/>
      </c>
      <c r="T18" s="707" t="n">
        <v>3557.362586</v>
      </c>
      <c r="U18" s="707" t="n">
        <v>0</v>
      </c>
      <c r="V18" s="707" t="n">
        <v>301.023526</v>
      </c>
      <c r="W18" s="707">
        <f>SUM(T18:V18)</f>
        <v/>
      </c>
      <c r="X18" s="707" t="n">
        <v>8988.571889000001</v>
      </c>
      <c r="Y18" s="271">
        <f>SUM(K18+O18+S18+W18+X18)</f>
        <v/>
      </c>
      <c r="Z18" s="326">
        <f>IF(F18=0,"",K18/(F18/((YEAR(E18)*12+MONTH(E18))-(YEAR(D18)*12+MONTH(D18))+1)))</f>
        <v/>
      </c>
      <c r="AA18" s="326">
        <f>G18/F18</f>
        <v/>
      </c>
      <c r="AB18" s="708">
        <f>F18-G18</f>
        <v/>
      </c>
      <c r="AC18" s="513" t="n"/>
      <c r="AD18" s="513" t="n"/>
      <c r="AE18" s="513" t="n"/>
      <c r="AF18" s="706" t="inlineStr"/>
      <c r="AG18" s="706" t="inlineStr"/>
      <c r="AH18" s="706" t="inlineStr"/>
      <c r="AI18" s="706" t="inlineStr"/>
      <c r="AJ18" s="706" t="inlineStr"/>
    </row>
    <row r="19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SUM(F16:F18)</f>
        <v/>
      </c>
      <c r="G19" s="710">
        <f>SUM(G16:G18)</f>
        <v/>
      </c>
      <c r="H19" s="710">
        <f>SUM(H16:H18)</f>
        <v/>
      </c>
      <c r="I19" s="710">
        <f>SUM(I16:I18)</f>
        <v/>
      </c>
      <c r="J19" s="710">
        <f>SUM(J16:J18)</f>
        <v/>
      </c>
      <c r="K19" s="710">
        <f>SUM(K16:K18)</f>
        <v/>
      </c>
      <c r="L19" s="710">
        <f>SUM(L16:L18)</f>
        <v/>
      </c>
      <c r="M19" s="710">
        <f>SUM(M16:M18)</f>
        <v/>
      </c>
      <c r="N19" s="710">
        <f>SUM(N16:N18)</f>
        <v/>
      </c>
      <c r="O19" s="710">
        <f>SUM(O16:O18)</f>
        <v/>
      </c>
      <c r="P19" s="710">
        <f>SUM(P16:P18)</f>
        <v/>
      </c>
      <c r="Q19" s="710">
        <f>SUM(Q16:Q18)</f>
        <v/>
      </c>
      <c r="R19" s="710">
        <f>SUM(R16:R18)</f>
        <v/>
      </c>
      <c r="S19" s="710">
        <f>SUM(S16:S18)</f>
        <v/>
      </c>
      <c r="T19" s="710">
        <f>SUM(T16:T18)</f>
        <v/>
      </c>
      <c r="U19" s="710">
        <f>SUM(U16:U18)</f>
        <v/>
      </c>
      <c r="V19" s="710">
        <f>SUM(V16:V18)</f>
        <v/>
      </c>
      <c r="W19" s="710">
        <f>SUM(W16:W18)</f>
        <v/>
      </c>
      <c r="X19" s="710">
        <f>SUM(X16:X18)</f>
        <v/>
      </c>
      <c r="Y19" s="711">
        <f>SUM(K19+O19+S19+W19+X19)</f>
        <v/>
      </c>
      <c r="Z19" s="335">
        <f>IF(F19=0,"",K19/(F19/((YEAR(E16)*12+MONTH(E16))-(YEAR(D16)*12+MONTH(D16))+1)))</f>
        <v/>
      </c>
      <c r="AA19" s="336">
        <f>G19/F19</f>
        <v/>
      </c>
      <c r="AB19" s="711">
        <f>F19-G19</f>
        <v/>
      </c>
      <c r="AC19" s="337">
        <f>AC16</f>
        <v/>
      </c>
      <c r="AD19" s="335">
        <f>Y19/AC16</f>
        <v/>
      </c>
      <c r="AE19" s="712">
        <f>AC16-Y19</f>
        <v/>
      </c>
      <c r="AF19" s="713" t="inlineStr"/>
      <c r="AG19" s="713" t="inlineStr"/>
      <c r="AH19" s="713" t="inlineStr"/>
      <c r="AI19" s="713" t="inlineStr"/>
      <c r="AJ19" s="713" t="inlineStr"/>
    </row>
    <row r="20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305.526</v>
      </c>
      <c r="I20" s="703" t="n">
        <v>0</v>
      </c>
      <c r="J20" s="703" t="n">
        <v>0</v>
      </c>
      <c r="K20" s="703">
        <f>SUM(H20:J20)</f>
        <v/>
      </c>
      <c r="L20" s="703" t="n">
        <v>0</v>
      </c>
      <c r="M20" s="703" t="n">
        <v>0</v>
      </c>
      <c r="N20" s="703" t="n">
        <v>0</v>
      </c>
      <c r="O20" s="703">
        <f>SUM(L20:N20)</f>
        <v/>
      </c>
      <c r="P20" s="703" t="n">
        <v>0</v>
      </c>
      <c r="Q20" s="703" t="n">
        <v>0</v>
      </c>
      <c r="R20" s="703" t="n">
        <v>32.04495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318">
        <f>SUM(K20+O20+S20+W20+X20)</f>
        <v/>
      </c>
      <c r="Z20" s="319">
        <f>IF(F20=0,"",K20/(F20/((YEAR(E20)*12+MONTH(E20))-(YEAR(D20)*12+MONTH(D20))+1)))</f>
        <v/>
      </c>
      <c r="AA20" s="319">
        <f>G20/F20</f>
        <v/>
      </c>
      <c r="AB20" s="704">
        <f>F20-G20</f>
        <v/>
      </c>
      <c r="AC20" s="321">
        <f>SUM(F20:F22)</f>
        <v/>
      </c>
      <c r="AD20" s="322">
        <f>AD23</f>
        <v/>
      </c>
      <c r="AE20" s="705">
        <f>AE23</f>
        <v/>
      </c>
      <c r="AF20" s="706" t="inlineStr"/>
      <c r="AG20" s="706" t="inlineStr"/>
      <c r="AH20" s="706" t="inlineStr"/>
      <c r="AI20" s="706" t="inlineStr"/>
      <c r="AJ20" s="706" t="inlineStr"/>
    </row>
    <row r="2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5394.786666</v>
      </c>
      <c r="H21" s="707" t="n">
        <v>494.115336</v>
      </c>
      <c r="I21" s="707" t="n">
        <v>0</v>
      </c>
      <c r="J21" s="707" t="n">
        <v>0</v>
      </c>
      <c r="K21" s="707">
        <f>SUM(H21:J21)</f>
        <v/>
      </c>
      <c r="L21" s="707" t="n">
        <v>0</v>
      </c>
      <c r="M21" s="707" t="n">
        <v>0</v>
      </c>
      <c r="N21" s="707" t="n">
        <v>37.443523</v>
      </c>
      <c r="O21" s="707">
        <f>SUM(L21:N21)</f>
        <v/>
      </c>
      <c r="P21" s="707" t="n">
        <v>198.1746</v>
      </c>
      <c r="Q21" s="707" t="n">
        <v>0</v>
      </c>
      <c r="R21" s="707" t="n">
        <v>29.640215</v>
      </c>
      <c r="S21" s="707">
        <f>SUM(P21:R21)</f>
        <v/>
      </c>
      <c r="T21" s="707" t="n">
        <v>0.8469</v>
      </c>
      <c r="U21" s="707" t="n">
        <v>4558.0158</v>
      </c>
      <c r="V21" s="707" t="n">
        <v>19.389048</v>
      </c>
      <c r="W21" s="707">
        <f>SUM(T21:V21)</f>
        <v/>
      </c>
      <c r="X21" s="707" t="n">
        <v>21.644177</v>
      </c>
      <c r="Y21" s="271">
        <f>SUM(K21+O21+S21+W21+X21)</f>
        <v/>
      </c>
      <c r="Z21" s="326">
        <f>IF(F21=0,"",K21/(F21/((YEAR(E21)*12+MONTH(E21))-(YEAR(D21)*12+MONTH(D21))+1)))</f>
        <v/>
      </c>
      <c r="AA21" s="326">
        <f>G21/F21</f>
        <v/>
      </c>
      <c r="AB21" s="708">
        <f>F21-G21</f>
        <v/>
      </c>
      <c r="AC21" s="500" t="n"/>
      <c r="AD21" s="500" t="n"/>
      <c r="AE21" s="500" t="n"/>
      <c r="AF21" s="706" t="inlineStr"/>
      <c r="AG21" s="706" t="inlineStr"/>
      <c r="AH21" s="706" t="inlineStr"/>
      <c r="AI21" s="706" t="inlineStr"/>
      <c r="AJ21" s="706" t="inlineStr"/>
    </row>
    <row r="22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10799.421526</v>
      </c>
      <c r="H22" s="707" t="n">
        <v>2054.871</v>
      </c>
      <c r="I22" s="707" t="n">
        <v>0</v>
      </c>
      <c r="J22" s="707" t="n">
        <v>0</v>
      </c>
      <c r="K22" s="707">
        <f>SUM(H22:J22)</f>
        <v/>
      </c>
      <c r="L22" s="707" t="n">
        <v>1832.902273</v>
      </c>
      <c r="M22" s="707" t="n">
        <v>0</v>
      </c>
      <c r="N22" s="707" t="n">
        <v>110.962682</v>
      </c>
      <c r="O22" s="707">
        <f>SUM(L22:N22)</f>
        <v/>
      </c>
      <c r="P22" s="707" t="n">
        <v>220.16475</v>
      </c>
      <c r="Q22" s="707" t="n">
        <v>0</v>
      </c>
      <c r="R22" s="707" t="n">
        <v>154.524295</v>
      </c>
      <c r="S22" s="707">
        <f>SUM(P22:R22)</f>
        <v/>
      </c>
      <c r="T22" s="707" t="n">
        <v>3847.561596</v>
      </c>
      <c r="U22" s="707" t="n">
        <v>0</v>
      </c>
      <c r="V22" s="707" t="n">
        <v>38.370126</v>
      </c>
      <c r="W22" s="707">
        <f>SUM(T22:V22)</f>
        <v/>
      </c>
      <c r="X22" s="707" t="n">
        <v>2540.064804</v>
      </c>
      <c r="Y22" s="271">
        <f>SUM(K22+O22+S22+W22+X22)</f>
        <v/>
      </c>
      <c r="Z22" s="326">
        <f>IF(F22=0,"",K22/(F22/((YEAR(E22)*12+MONTH(E22))-(YEAR(D22)*12+MONTH(D22))+1)))</f>
        <v/>
      </c>
      <c r="AA22" s="326">
        <f>G22/F22</f>
        <v/>
      </c>
      <c r="AB22" s="708">
        <f>F22-G22</f>
        <v/>
      </c>
      <c r="AC22" s="513" t="n"/>
      <c r="AD22" s="513" t="n"/>
      <c r="AE22" s="513" t="n"/>
      <c r="AF22" s="706" t="inlineStr"/>
      <c r="AG22" s="706" t="inlineStr"/>
      <c r="AH22" s="706" t="inlineStr"/>
      <c r="AI22" s="706" t="inlineStr"/>
      <c r="AJ22" s="706" t="inlineStr"/>
    </row>
    <row r="23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333">
        <f>SUM(K23+O23+S23+W23+X23)</f>
        <v/>
      </c>
      <c r="Z23" s="335">
        <f>IF(F23=0,"",K23/(F23/((YEAR(E20)*12+MONTH(E20))-(YEAR(D20)*12+MONTH(D20))+1)))</f>
        <v/>
      </c>
      <c r="AA23" s="336">
        <f>G23/F23</f>
        <v/>
      </c>
      <c r="AB23" s="715">
        <f>F23-G23</f>
        <v/>
      </c>
      <c r="AC23" s="337">
        <f>AC20</f>
        <v/>
      </c>
      <c r="AD23" s="335">
        <f>Y23/AC20</f>
        <v/>
      </c>
      <c r="AE23" s="712">
        <f>AC20-Y23</f>
        <v/>
      </c>
      <c r="AF23" s="713" t="inlineStr"/>
      <c r="AG23" s="713" t="inlineStr"/>
      <c r="AH23" s="713" t="inlineStr"/>
      <c r="AI23" s="713" t="inlineStr"/>
      <c r="AJ23" s="713" t="inlineStr"/>
    </row>
    <row r="24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4259.828296</v>
      </c>
      <c r="H24" s="703" t="n">
        <v>0</v>
      </c>
      <c r="I24" s="703" t="n">
        <v>0</v>
      </c>
      <c r="J24" s="703" t="n">
        <v>0</v>
      </c>
      <c r="K24" s="703">
        <f>SUM(H24:J24)</f>
        <v/>
      </c>
      <c r="L24" s="703" t="n">
        <v>88.54274700000001</v>
      </c>
      <c r="M24" s="703" t="n">
        <v>0</v>
      </c>
      <c r="N24" s="703" t="n">
        <v>616.124389</v>
      </c>
      <c r="O24" s="703">
        <f>SUM(L24:N24)</f>
        <v/>
      </c>
      <c r="P24" s="703" t="n">
        <v>50.830377</v>
      </c>
      <c r="Q24" s="703" t="n">
        <v>0</v>
      </c>
      <c r="R24" s="703" t="n">
        <v>761.144365</v>
      </c>
      <c r="S24" s="703">
        <f>SUM(P24:R24)</f>
        <v/>
      </c>
      <c r="T24" s="703" t="n">
        <v>153.11976</v>
      </c>
      <c r="U24" s="703" t="n">
        <v>0</v>
      </c>
      <c r="V24" s="703" t="n">
        <v>560.548117</v>
      </c>
      <c r="W24" s="703">
        <f>SUM(T24:V24)</f>
        <v/>
      </c>
      <c r="X24" s="703" t="n">
        <v>2029.518541</v>
      </c>
      <c r="Y24" s="724">
        <f>SUM(K24+O24+S24+W24+X24)</f>
        <v/>
      </c>
      <c r="Z24" s="319">
        <f>IF(F24=0,"",K24/(F24/((YEAR(E24)*12+MONTH(E24))-(YEAR(D24)*12+MONTH(D24))+1)))</f>
        <v/>
      </c>
      <c r="AA24" s="319">
        <f>G24/F24</f>
        <v/>
      </c>
      <c r="AB24" s="724">
        <f>F24-G24</f>
        <v/>
      </c>
      <c r="AC24" s="321">
        <f>SUM(F24:F26)</f>
        <v/>
      </c>
      <c r="AD24" s="322">
        <f>AD27</f>
        <v/>
      </c>
      <c r="AE24" s="725">
        <f>AE27</f>
        <v/>
      </c>
      <c r="AF24" s="706" t="inlineStr"/>
      <c r="AG24" s="706" t="inlineStr"/>
      <c r="AH24" s="706" t="inlineStr"/>
      <c r="AI24" s="706" t="inlineStr"/>
      <c r="AJ24" s="706" t="inlineStr"/>
    </row>
    <row r="25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私人财富管理资深顾问PWA2-3</t>
        </is>
      </c>
      <c r="D25" s="676" t="n">
        <v>45943</v>
      </c>
      <c r="E25" s="676" t="n">
        <v>46124</v>
      </c>
      <c r="F25" s="707" t="n">
        <v>6847</v>
      </c>
      <c r="G25" s="707" t="n">
        <v>1138.55362</v>
      </c>
      <c r="H25" s="707" t="n">
        <v>0</v>
      </c>
      <c r="I25" s="707" t="n">
        <v>3685.0554</v>
      </c>
      <c r="J25" s="707" t="n">
        <v>0</v>
      </c>
      <c r="K25" s="707">
        <f>SUM(H25:J25)</f>
        <v/>
      </c>
      <c r="L25" s="707" t="n">
        <v>137.257846</v>
      </c>
      <c r="M25" s="707" t="n">
        <v>0</v>
      </c>
      <c r="N25" s="707" t="n">
        <v>14.759064</v>
      </c>
      <c r="O25" s="707">
        <f>SUM(L25:N25)</f>
        <v/>
      </c>
      <c r="P25" s="707" t="n">
        <v>0</v>
      </c>
      <c r="Q25" s="707" t="n">
        <v>0</v>
      </c>
      <c r="R25" s="707" t="n">
        <v>2.181886</v>
      </c>
      <c r="S25" s="707">
        <f>SUM(P25:R25)</f>
        <v/>
      </c>
      <c r="T25" s="707" t="n">
        <v>0</v>
      </c>
      <c r="U25" s="707" t="n">
        <v>0</v>
      </c>
      <c r="V25" s="707" t="n">
        <v>1.481485</v>
      </c>
      <c r="W25" s="707">
        <f>SUM(T25:V25)</f>
        <v/>
      </c>
      <c r="X25" s="707" t="n">
        <v>66.75825</v>
      </c>
      <c r="Y25" s="271">
        <f>SUM(K25+O25+S25+W25+X25)</f>
        <v/>
      </c>
      <c r="Z25" s="326">
        <f>IF(F25=0,"",K25/(F25/((YEAR(E25)*12+MONTH(E25))-(YEAR(D25)*12+MONTH(D25))+1)))</f>
        <v/>
      </c>
      <c r="AA25" s="326">
        <f>G25/F25</f>
        <v/>
      </c>
      <c r="AB25" s="708">
        <f>F25-G25</f>
        <v/>
      </c>
      <c r="AC25" s="500" t="n"/>
      <c r="AD25" s="500" t="n"/>
      <c r="AE25" s="500" t="n"/>
      <c r="AF25" s="706" t="inlineStr"/>
      <c r="AG25" s="706" t="inlineStr"/>
      <c r="AH25" s="706" t="inlineStr"/>
      <c r="AI25" s="706" t="inlineStr"/>
      <c r="AJ25" s="706" t="inlineStr"/>
    </row>
    <row r="26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25606.764749</v>
      </c>
      <c r="H26" s="707" t="n">
        <v>1686.06777</v>
      </c>
      <c r="I26" s="707" t="n">
        <v>0</v>
      </c>
      <c r="J26" s="707" t="n">
        <v>0</v>
      </c>
      <c r="K26" s="707">
        <f>SUM(H26:J26)</f>
        <v/>
      </c>
      <c r="L26" s="707" t="n">
        <v>-6272.243033</v>
      </c>
      <c r="M26" s="707" t="n">
        <v>0</v>
      </c>
      <c r="N26" s="707" t="n">
        <v>210.102519</v>
      </c>
      <c r="O26" s="707">
        <f>SUM(L26:N26)</f>
        <v/>
      </c>
      <c r="P26" s="707" t="n">
        <v>2164.476574</v>
      </c>
      <c r="Q26" s="707" t="n">
        <v>0</v>
      </c>
      <c r="R26" s="707" t="n">
        <v>365.27682</v>
      </c>
      <c r="S26" s="707">
        <f>SUM(P26:R26)</f>
        <v/>
      </c>
      <c r="T26" s="707" t="n">
        <v>2346.171162</v>
      </c>
      <c r="U26" s="707" t="n">
        <v>0</v>
      </c>
      <c r="V26" s="707" t="n">
        <v>187.41719</v>
      </c>
      <c r="W26" s="707">
        <f>SUM(T26:V26)</f>
        <v/>
      </c>
      <c r="X26" s="707" t="n">
        <v>24919.495747</v>
      </c>
      <c r="Y26" s="271">
        <f>SUM(K26+O26+S26+W26+X26)</f>
        <v/>
      </c>
      <c r="Z26" s="326">
        <f>IF(F26=0,"",K26/(F26/((YEAR(E26)*12+MONTH(E26))-(YEAR(D26)*12+MONTH(D26))+1)))</f>
        <v/>
      </c>
      <c r="AA26" s="326">
        <f>G26/F26</f>
        <v/>
      </c>
      <c r="AB26" s="708">
        <f>F26-G26</f>
        <v/>
      </c>
      <c r="AC26" s="513" t="n"/>
      <c r="AD26" s="513" t="n"/>
      <c r="AE26" s="513" t="n"/>
      <c r="AF26" s="706" t="inlineStr"/>
      <c r="AG26" s="706" t="inlineStr"/>
      <c r="AH26" s="706" t="inlineStr"/>
      <c r="AI26" s="706" t="inlineStr"/>
      <c r="AJ26" s="706" t="inlineStr"/>
    </row>
    <row r="27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333">
        <f>SUM(K27+O27+S27+W27+X27)</f>
        <v/>
      </c>
      <c r="Z27" s="335">
        <f>IF(F27=0,"",K27/(F27/((YEAR(E24)*12+MONTH(E24))-(YEAR(D24)*12+MONTH(D24))+1)))</f>
        <v/>
      </c>
      <c r="AA27" s="336">
        <f>G27/F27</f>
        <v/>
      </c>
      <c r="AB27" s="715">
        <f>F27-G27</f>
        <v/>
      </c>
      <c r="AC27" s="337">
        <f>AC24</f>
        <v/>
      </c>
      <c r="AD27" s="335">
        <f>Y27/AC24</f>
        <v/>
      </c>
      <c r="AE27" s="712">
        <f>AC24-Y27</f>
        <v/>
      </c>
      <c r="AF27" s="713" t="inlineStr"/>
      <c r="AG27" s="713" t="inlineStr"/>
      <c r="AH27" s="713" t="inlineStr"/>
      <c r="AI27" s="713" t="inlineStr"/>
      <c r="AJ27" s="713" t="inlineStr"/>
    </row>
    <row r="28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176.114154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0</v>
      </c>
      <c r="M28" s="703" t="n">
        <v>0</v>
      </c>
      <c r="N28" s="703" t="n">
        <v>25.715569</v>
      </c>
      <c r="O28" s="703">
        <f>SUM(L28:N28)</f>
        <v/>
      </c>
      <c r="P28" s="703" t="n">
        <v>103.23148</v>
      </c>
      <c r="Q28" s="703" t="n">
        <v>0</v>
      </c>
      <c r="R28" s="703" t="n">
        <v>47.167105</v>
      </c>
      <c r="S28" s="703">
        <f>SUM(P28:R28)</f>
        <v/>
      </c>
      <c r="T28" s="703" t="n">
        <v>51.706393</v>
      </c>
      <c r="U28" s="703" t="n">
        <v>90.204069</v>
      </c>
      <c r="V28" s="703" t="n">
        <v>16.925117</v>
      </c>
      <c r="W28" s="703">
        <f>SUM(T28:V28)</f>
        <v/>
      </c>
      <c r="X28" s="703" t="n">
        <v>193.330405</v>
      </c>
      <c r="Y28" s="724">
        <f>SUM(K28+O28+S28+W28+X28)</f>
        <v/>
      </c>
      <c r="Z28" s="319">
        <f>IF(F28=0,"",K28/(F28/((YEAR(E28)*12+MONTH(E28))-(YEAR(D28)*12+MONTH(D28))+1)))</f>
        <v/>
      </c>
      <c r="AA28" s="319">
        <f>G28/F28</f>
        <v/>
      </c>
      <c r="AB28" s="724">
        <f>F28-G28</f>
        <v/>
      </c>
      <c r="AC28" s="321">
        <f>SUM(F28:F30)</f>
        <v/>
      </c>
      <c r="AD28" s="322">
        <f>AD31</f>
        <v/>
      </c>
      <c r="AE28" s="725">
        <f>AE31</f>
        <v/>
      </c>
      <c r="AF28" s="706" t="inlineStr"/>
      <c r="AG28" s="706" t="inlineStr"/>
      <c r="AH28" s="706" t="inlineStr"/>
      <c r="AI28" s="706" t="inlineStr"/>
      <c r="AJ28" s="706" t="inlineStr"/>
    </row>
    <row r="29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32487.777924</v>
      </c>
      <c r="H29" s="707" t="n">
        <v>457.1112</v>
      </c>
      <c r="I29" s="707" t="n">
        <v>0</v>
      </c>
      <c r="J29" s="707" t="n">
        <v>0</v>
      </c>
      <c r="K29" s="707">
        <f>SUM(H29:J29)</f>
        <v/>
      </c>
      <c r="L29" s="707" t="n">
        <v>1108.359514</v>
      </c>
      <c r="M29" s="707" t="n">
        <v>20570.004</v>
      </c>
      <c r="N29" s="707" t="n">
        <v>273.088373</v>
      </c>
      <c r="O29" s="707">
        <f>SUM(L29:N29)</f>
        <v/>
      </c>
      <c r="P29" s="707" t="n">
        <v>3314.503374</v>
      </c>
      <c r="Q29" s="707" t="n">
        <v>0</v>
      </c>
      <c r="R29" s="707" t="n">
        <v>699.48968</v>
      </c>
      <c r="S29" s="707">
        <f>SUM(P29:R29)</f>
        <v/>
      </c>
      <c r="T29" s="707" t="n">
        <v>4769.379014</v>
      </c>
      <c r="U29" s="707" t="n">
        <v>0</v>
      </c>
      <c r="V29" s="707" t="n">
        <v>225.874626</v>
      </c>
      <c r="W29" s="707">
        <f>SUM(T29:V29)</f>
        <v/>
      </c>
      <c r="X29" s="707" t="n">
        <v>1069.968142</v>
      </c>
      <c r="Y29" s="271">
        <f>SUM(K29+O29+S29+W29+X29)</f>
        <v/>
      </c>
      <c r="Z29" s="326">
        <f>IF(F29=0,"",K29/(F29/((YEAR(E29)*12+MONTH(E29))-(YEAR(D29)*12+MONTH(D29))+1)))</f>
        <v/>
      </c>
      <c r="AA29" s="326">
        <f>G29/F29</f>
        <v/>
      </c>
      <c r="AB29" s="708">
        <f>F29-G29</f>
        <v/>
      </c>
      <c r="AC29" s="500" t="n"/>
      <c r="AD29" s="500" t="n"/>
      <c r="AE29" s="500" t="n"/>
      <c r="AF29" s="706" t="inlineStr"/>
      <c r="AG29" s="706" t="inlineStr"/>
      <c r="AH29" s="706" t="inlineStr"/>
      <c r="AI29" s="706" t="inlineStr"/>
      <c r="AJ29" s="706" t="inlineStr"/>
    </row>
    <row r="30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14196.166161</v>
      </c>
      <c r="H30" s="707" t="n">
        <v>820.74135</v>
      </c>
      <c r="I30" s="707" t="n">
        <v>0</v>
      </c>
      <c r="J30" s="707" t="n">
        <v>0</v>
      </c>
      <c r="K30" s="707">
        <f>SUM(H30:J30)</f>
        <v/>
      </c>
      <c r="L30" s="707" t="n">
        <v>949.2912</v>
      </c>
      <c r="M30" s="707" t="n">
        <v>0</v>
      </c>
      <c r="N30" s="707" t="n">
        <v>144.291309</v>
      </c>
      <c r="O30" s="707">
        <f>SUM(L30:N30)</f>
        <v/>
      </c>
      <c r="P30" s="707" t="n">
        <v>2158.292651</v>
      </c>
      <c r="Q30" s="707" t="n">
        <v>8187.6366</v>
      </c>
      <c r="R30" s="707" t="n">
        <v>194.447373</v>
      </c>
      <c r="S30" s="707">
        <f>SUM(P30:R30)</f>
        <v/>
      </c>
      <c r="T30" s="707" t="n">
        <v>474.6456</v>
      </c>
      <c r="U30" s="707" t="n">
        <v>0</v>
      </c>
      <c r="V30" s="707" t="n">
        <v>122.035472</v>
      </c>
      <c r="W30" s="707">
        <f>SUM(T30:V30)</f>
        <v/>
      </c>
      <c r="X30" s="707" t="n">
        <v>1144.784607</v>
      </c>
      <c r="Y30" s="271">
        <f>SUM(K30+O30+S30+W30+X30)</f>
        <v/>
      </c>
      <c r="Z30" s="326">
        <f>IF(F30=0,"",K30/(F30/((YEAR(E30)*12+MONTH(E30))-(YEAR(D30)*12+MONTH(D30))+1)))</f>
        <v/>
      </c>
      <c r="AA30" s="326">
        <f>G30/F30</f>
        <v/>
      </c>
      <c r="AB30" s="708">
        <f>F30-G30</f>
        <v/>
      </c>
      <c r="AC30" s="513" t="n"/>
      <c r="AD30" s="513" t="n"/>
      <c r="AE30" s="513" t="n"/>
      <c r="AF30" s="706" t="inlineStr"/>
      <c r="AG30" s="706" t="inlineStr"/>
      <c r="AH30" s="706" t="inlineStr"/>
      <c r="AI30" s="706" t="inlineStr"/>
      <c r="AJ30" s="706" t="inlineStr"/>
    </row>
    <row r="3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333">
        <f>SUM(K31+O31+S31+W31+X31)</f>
        <v/>
      </c>
      <c r="Z31" s="335">
        <f>IF(F31=0,"",K31/(F31/((YEAR(E28)*12+MONTH(E28))-(YEAR(D28)*12+MONTH(D28))+1)))</f>
        <v/>
      </c>
      <c r="AA31" s="336">
        <f>G31/F31</f>
        <v/>
      </c>
      <c r="AB31" s="715">
        <f>F31-G31</f>
        <v/>
      </c>
      <c r="AC31" s="337">
        <f>AC28</f>
        <v/>
      </c>
      <c r="AD31" s="335">
        <f>Y31/AC28</f>
        <v/>
      </c>
      <c r="AE31" s="712">
        <f>AC28-Y31</f>
        <v/>
      </c>
      <c r="AF31" s="713" t="inlineStr"/>
      <c r="AG31" s="713" t="inlineStr"/>
      <c r="AH31" s="713" t="inlineStr"/>
      <c r="AI31" s="713" t="inlineStr"/>
      <c r="AJ31" s="713" t="inlineStr"/>
    </row>
    <row r="32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5364.821533</v>
      </c>
      <c r="H32" s="703" t="n">
        <v>1365.565188</v>
      </c>
      <c r="I32" s="703" t="n">
        <v>110.192882</v>
      </c>
      <c r="J32" s="703" t="n">
        <v>0</v>
      </c>
      <c r="K32" s="703">
        <f>SUM(H32:J32)</f>
        <v/>
      </c>
      <c r="L32" s="703" t="n">
        <v>1008.99006</v>
      </c>
      <c r="M32" s="703" t="n">
        <v>0</v>
      </c>
      <c r="N32" s="703" t="n">
        <v>31.622924</v>
      </c>
      <c r="O32" s="703">
        <f>SUM(L32:N32)</f>
        <v/>
      </c>
      <c r="P32" s="703" t="n">
        <v>0</v>
      </c>
      <c r="Q32" s="703" t="n">
        <v>342.296351</v>
      </c>
      <c r="R32" s="703" t="n">
        <v>35.098479</v>
      </c>
      <c r="S32" s="703">
        <f>SUM(P32:R32)</f>
        <v/>
      </c>
      <c r="T32" s="703" t="n">
        <v>440.8209</v>
      </c>
      <c r="U32" s="703" t="n">
        <v>0</v>
      </c>
      <c r="V32" s="703" t="n">
        <v>21.381724</v>
      </c>
      <c r="W32" s="703">
        <f>SUM(T32:V32)</f>
        <v/>
      </c>
      <c r="X32" s="703" t="n">
        <v>1310.569686</v>
      </c>
      <c r="Y32" s="724">
        <f>SUM(K32+O32+S32+W32+X32)</f>
        <v/>
      </c>
      <c r="Z32" s="319">
        <f>IF(F32=0,"",K32/(F32/((YEAR(E32)*12+MONTH(E32))-(YEAR(D32)*12+MONTH(D32))+1)))</f>
        <v/>
      </c>
      <c r="AA32" s="319">
        <f>G32/F32</f>
        <v/>
      </c>
      <c r="AB32" s="724">
        <f>F32-G32</f>
        <v/>
      </c>
      <c r="AC32" s="321">
        <f>SUM(F32:F33)</f>
        <v/>
      </c>
      <c r="AD32" s="322">
        <f>AD34</f>
        <v/>
      </c>
      <c r="AE32" s="725">
        <f>AE34</f>
        <v/>
      </c>
      <c r="AF32" s="706" t="inlineStr"/>
      <c r="AG32" s="706" t="inlineStr"/>
      <c r="AH32" s="706" t="inlineStr"/>
      <c r="AI32" s="706" t="inlineStr"/>
      <c r="AJ32" s="706" t="inlineStr"/>
    </row>
    <row r="33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34751.717428</v>
      </c>
      <c r="H33" s="707" t="n">
        <v>2962.991602</v>
      </c>
      <c r="I33" s="707" t="n">
        <v>0</v>
      </c>
      <c r="J33" s="707" t="n">
        <v>0</v>
      </c>
      <c r="K33" s="707">
        <f>SUM(H33:J33)</f>
        <v/>
      </c>
      <c r="L33" s="707" t="n">
        <v>1259.210798</v>
      </c>
      <c r="M33" s="707" t="n">
        <v>3101.9274</v>
      </c>
      <c r="N33" s="707" t="n">
        <v>245.926116</v>
      </c>
      <c r="O33" s="707">
        <f>SUM(L33:N33)</f>
        <v/>
      </c>
      <c r="P33" s="707" t="n">
        <v>10803.329409</v>
      </c>
      <c r="Q33" s="707" t="n">
        <v>0</v>
      </c>
      <c r="R33" s="707" t="n">
        <v>396.373158</v>
      </c>
      <c r="S33" s="707">
        <f>SUM(P33:R33)</f>
        <v/>
      </c>
      <c r="T33" s="707" t="n">
        <v>6594.535422</v>
      </c>
      <c r="U33" s="707" t="n">
        <v>0</v>
      </c>
      <c r="V33" s="707" t="n">
        <v>271.914403</v>
      </c>
      <c r="W33" s="707">
        <f>SUM(T33:V33)</f>
        <v/>
      </c>
      <c r="X33" s="707" t="n">
        <v>9115.509121999999</v>
      </c>
      <c r="Y33" s="271">
        <f>SUM(K33+O33+S33+W33+X33)</f>
        <v/>
      </c>
      <c r="Z33" s="326">
        <f>IF(F33=0,"",K33/(F33/((YEAR(E33)*12+MONTH(E33))-(YEAR(D33)*12+MONTH(D33))+1)))</f>
        <v/>
      </c>
      <c r="AA33" s="326">
        <f>G33/F33</f>
        <v/>
      </c>
      <c r="AB33" s="708">
        <f>F33-G33</f>
        <v/>
      </c>
      <c r="AC33" s="513" t="n"/>
      <c r="AD33" s="513" t="n"/>
      <c r="AE33" s="513" t="n"/>
      <c r="AF33" s="706" t="inlineStr"/>
      <c r="AG33" s="706" t="inlineStr"/>
      <c r="AH33" s="706" t="inlineStr"/>
      <c r="AI33" s="706" t="inlineStr"/>
      <c r="AJ33" s="706" t="inlineStr"/>
    </row>
    <row r="34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333">
        <f>SUM(K34+O34+S34+W34+X34)</f>
        <v/>
      </c>
      <c r="Z34" s="335">
        <f>IF(F34=0,"",K34/(F34/((YEAR(E32)*12+MONTH(E32))-(YEAR(D32)*12+MONTH(D32))+1)))</f>
        <v/>
      </c>
      <c r="AA34" s="336">
        <f>G34/F34</f>
        <v/>
      </c>
      <c r="AB34" s="715">
        <f>F34-G34</f>
        <v/>
      </c>
      <c r="AC34" s="337">
        <f>AC32</f>
        <v/>
      </c>
      <c r="AD34" s="335">
        <f>Y34/AC32</f>
        <v/>
      </c>
      <c r="AE34" s="712">
        <f>AC32-Y34</f>
        <v/>
      </c>
      <c r="AF34" s="713" t="inlineStr"/>
      <c r="AG34" s="713" t="inlineStr"/>
      <c r="AH34" s="713" t="inlineStr"/>
      <c r="AI34" s="713" t="inlineStr"/>
      <c r="AJ34" s="713" t="inlineStr"/>
    </row>
    <row r="35" ht="14.25" customFormat="1" customHeight="1" s="483">
      <c r="A35" s="703" t="inlineStr">
        <is>
          <t>理财师005</t>
        </is>
      </c>
      <c r="B35" s="703" t="inlineStr">
        <is>
          <t>理财师026</t>
        </is>
      </c>
      <c r="C35" s="703" t="inlineStr">
        <is>
          <t>观察期PWA0-1</t>
        </is>
      </c>
      <c r="D35" s="693" t="n">
        <v>46113</v>
      </c>
      <c r="E35" s="693" t="n">
        <v>46203</v>
      </c>
      <c r="F35" s="703" t="n">
        <v>1943.13</v>
      </c>
      <c r="G35" s="703" t="n">
        <v>537.660254</v>
      </c>
      <c r="H35" s="703" t="n">
        <v>85.74199900000001</v>
      </c>
      <c r="I35" s="703" t="n">
        <v>0</v>
      </c>
      <c r="J35" s="703" t="n">
        <v>0</v>
      </c>
      <c r="K35" s="703">
        <f>SUM(H35:J35)</f>
        <v/>
      </c>
      <c r="L35" s="703" t="n">
        <v>437.370804</v>
      </c>
      <c r="M35" s="703" t="n">
        <v>0</v>
      </c>
      <c r="N35" s="703" t="n">
        <v>14.547451</v>
      </c>
      <c r="O35" s="703">
        <f>SUM(L35:N35)</f>
        <v/>
      </c>
      <c r="P35" s="703" t="n">
        <v>809.929895</v>
      </c>
      <c r="Q35" s="703" t="n">
        <v>0</v>
      </c>
      <c r="R35" s="703" t="n">
        <v>47.503424</v>
      </c>
      <c r="S35" s="703">
        <f>SUM(P35:R35)</f>
        <v/>
      </c>
      <c r="T35" s="703" t="n">
        <v>176.20858</v>
      </c>
      <c r="U35" s="703" t="n">
        <v>0</v>
      </c>
      <c r="V35" s="703" t="n">
        <v>11.404098</v>
      </c>
      <c r="W35" s="703">
        <f>SUM(T35:V35)</f>
        <v/>
      </c>
      <c r="X35" s="703" t="n">
        <v>12.282809</v>
      </c>
      <c r="Y35" s="724">
        <f>SUM(K35+O35+S35+W35+X35)</f>
        <v/>
      </c>
      <c r="Z35" s="319">
        <f>IF(F35=0,"",K35/(F35/((YEAR(E35)*12+MONTH(E35))-(YEAR(D35)*12+MONTH(D35))+1)))</f>
        <v/>
      </c>
      <c r="AA35" s="319">
        <f>G35/F35</f>
        <v/>
      </c>
      <c r="AB35" s="724">
        <f>F35-G35</f>
        <v/>
      </c>
      <c r="AC35" s="321">
        <f>SUM(F35:F36)</f>
        <v/>
      </c>
      <c r="AD35" s="322">
        <f>AD37</f>
        <v/>
      </c>
      <c r="AE35" s="725">
        <f>AE37</f>
        <v/>
      </c>
      <c r="AF35" s="706" t="inlineStr"/>
      <c r="AG35" s="706" t="inlineStr"/>
      <c r="AH35" s="706" t="inlineStr"/>
      <c r="AI35" s="706" t="inlineStr"/>
      <c r="AJ35" s="706" t="inlineStr"/>
    </row>
    <row r="36" ht="14.25" customFormat="1" customHeight="1" s="483">
      <c r="A36" s="513" t="n"/>
      <c r="B36" s="707" t="inlineStr">
        <is>
          <t>理财师005</t>
        </is>
      </c>
      <c r="C36" s="707" t="inlineStr">
        <is>
          <t>私人财富管理资深顾问PWA2-4</t>
        </is>
      </c>
      <c r="D36" s="676" t="n">
        <v>46054</v>
      </c>
      <c r="E36" s="676" t="n">
        <v>46203</v>
      </c>
      <c r="F36" s="707" t="n">
        <v>9610.6</v>
      </c>
      <c r="G36" s="707" t="n">
        <v>9953.395697</v>
      </c>
      <c r="H36" s="707" t="n">
        <v>430.38918</v>
      </c>
      <c r="I36" s="707" t="n">
        <v>0</v>
      </c>
      <c r="J36" s="707" t="n">
        <v>0</v>
      </c>
      <c r="K36" s="707">
        <f>SUM(H36:J36)</f>
        <v/>
      </c>
      <c r="L36" s="707" t="n">
        <v>1870.349984</v>
      </c>
      <c r="M36" s="707" t="n">
        <v>2312.474666</v>
      </c>
      <c r="N36" s="707" t="n">
        <v>277.051448</v>
      </c>
      <c r="O36" s="707">
        <f>SUM(L36:N36)</f>
        <v/>
      </c>
      <c r="P36" s="707" t="n">
        <v>731.292658</v>
      </c>
      <c r="Q36" s="707" t="n">
        <v>1925.150771</v>
      </c>
      <c r="R36" s="707" t="n">
        <v>383.775324</v>
      </c>
      <c r="S36" s="707">
        <f>SUM(P36:R36)</f>
        <v/>
      </c>
      <c r="T36" s="707" t="n">
        <v>1738.204897</v>
      </c>
      <c r="U36" s="707" t="n">
        <v>0</v>
      </c>
      <c r="V36" s="707" t="n">
        <v>284.706769</v>
      </c>
      <c r="W36" s="707">
        <f>SUM(T36:V36)</f>
        <v/>
      </c>
      <c r="X36" s="707" t="n">
        <v>1538.392041</v>
      </c>
      <c r="Y36" s="271">
        <f>SUM(K36+O36+S36+W36+X36)</f>
        <v/>
      </c>
      <c r="Z36" s="326">
        <f>IF(F36=0,"",K36/(F36/((YEAR(E36)*12+MONTH(E36))-(YEAR(D36)*12+MONTH(D36))+1)))</f>
        <v/>
      </c>
      <c r="AA36" s="326">
        <f>G36/F36</f>
        <v/>
      </c>
      <c r="AB36" s="708">
        <f>F36-G36</f>
        <v/>
      </c>
      <c r="AC36" s="513" t="n"/>
      <c r="AD36" s="513" t="n"/>
      <c r="AE36" s="513" t="n"/>
      <c r="AF36" s="706" t="inlineStr"/>
      <c r="AG36" s="706" t="inlineStr"/>
      <c r="AH36" s="706" t="inlineStr"/>
      <c r="AI36" s="706" t="inlineStr"/>
      <c r="AJ36" s="706" t="inlineStr"/>
    </row>
    <row r="37" ht="14.25" customFormat="1" customHeight="1" s="483">
      <c r="A37" s="710" t="inlineStr">
        <is>
          <t>合计</t>
        </is>
      </c>
      <c r="B37" s="518" t="n"/>
      <c r="C37" s="518" t="n"/>
      <c r="D37" s="518" t="n"/>
      <c r="E37" s="578" t="n"/>
      <c r="F37" s="333">
        <f>SUM(F35:F36)</f>
        <v/>
      </c>
      <c r="G37" s="710">
        <f>SUM(G35:G36)</f>
        <v/>
      </c>
      <c r="H37" s="710">
        <f>SUM(H35:H36)</f>
        <v/>
      </c>
      <c r="I37" s="710">
        <f>SUM(I35:I36)</f>
        <v/>
      </c>
      <c r="J37" s="710">
        <f>SUM(J35:J36)</f>
        <v/>
      </c>
      <c r="K37" s="710">
        <f>SUM(K35:K36)</f>
        <v/>
      </c>
      <c r="L37" s="710">
        <f>SUM(L35:L36)</f>
        <v/>
      </c>
      <c r="M37" s="710">
        <f>SUM(M35:M36)</f>
        <v/>
      </c>
      <c r="N37" s="710">
        <f>SUM(N35:N36)</f>
        <v/>
      </c>
      <c r="O37" s="710">
        <f>SUM(O35:O36)</f>
        <v/>
      </c>
      <c r="P37" s="710">
        <f>SUM(P35:P36)</f>
        <v/>
      </c>
      <c r="Q37" s="710">
        <f>SUM(Q35:Q36)</f>
        <v/>
      </c>
      <c r="R37" s="710">
        <f>SUM(R35:R36)</f>
        <v/>
      </c>
      <c r="S37" s="710">
        <f>SUM(S35:S36)</f>
        <v/>
      </c>
      <c r="T37" s="710">
        <f>SUM(T35:T36)</f>
        <v/>
      </c>
      <c r="U37" s="710">
        <f>SUM(U35:U36)</f>
        <v/>
      </c>
      <c r="V37" s="710">
        <f>SUM(V35:V36)</f>
        <v/>
      </c>
      <c r="W37" s="710">
        <f>SUM(W35:W36)</f>
        <v/>
      </c>
      <c r="X37" s="710">
        <f>SUM(X35:X36)</f>
        <v/>
      </c>
      <c r="Y37" s="333">
        <f>SUM(K37+O37+S37+W37+X37)</f>
        <v/>
      </c>
      <c r="Z37" s="335">
        <f>IF(F37=0,"",K37/(F37/((YEAR(E35)*12+MONTH(E35))-(YEAR(D35)*12+MONTH(D35))+1)))</f>
        <v/>
      </c>
      <c r="AA37" s="336">
        <f>G37/F37</f>
        <v/>
      </c>
      <c r="AB37" s="715">
        <f>F37-G37</f>
        <v/>
      </c>
      <c r="AC37" s="337">
        <f>AC35</f>
        <v/>
      </c>
      <c r="AD37" s="335">
        <f>Y37/AC35</f>
        <v/>
      </c>
      <c r="AE37" s="712">
        <f>AC35-Y37</f>
        <v/>
      </c>
      <c r="AF37" s="713" t="inlineStr"/>
      <c r="AG37" s="713" t="inlineStr"/>
      <c r="AH37" s="713" t="inlineStr"/>
      <c r="AI37" s="713" t="inlineStr"/>
      <c r="AJ37" s="713" t="inlineStr"/>
    </row>
    <row r="38" ht="14.25" customFormat="1" customHeight="1" s="483">
      <c r="A38" s="703" t="inlineStr">
        <is>
          <t>理财师008</t>
        </is>
      </c>
      <c r="B38" s="703" t="inlineStr">
        <is>
          <t>理财师011</t>
        </is>
      </c>
      <c r="C38" s="703" t="inlineStr">
        <is>
          <t>私人财富管理资深顾问PWA2-2</t>
        </is>
      </c>
      <c r="D38" s="693" t="n">
        <v>46023</v>
      </c>
      <c r="E38" s="693" t="n">
        <v>46203</v>
      </c>
      <c r="F38" s="703" t="n">
        <v>5045.88</v>
      </c>
      <c r="G38" s="703" t="n">
        <v>776.498841</v>
      </c>
      <c r="H38" s="703" t="n">
        <v>0</v>
      </c>
      <c r="I38" s="703" t="n">
        <v>0</v>
      </c>
      <c r="J38" s="703" t="n">
        <v>0</v>
      </c>
      <c r="K38" s="703">
        <f>SUM(H38:J38)</f>
        <v/>
      </c>
      <c r="L38" s="703" t="n">
        <v>178.04748</v>
      </c>
      <c r="M38" s="703" t="n">
        <v>0</v>
      </c>
      <c r="N38" s="703" t="n">
        <v>1.310068</v>
      </c>
      <c r="O38" s="703">
        <f>SUM(L38:N38)</f>
        <v/>
      </c>
      <c r="P38" s="703" t="n">
        <v>47.229437</v>
      </c>
      <c r="Q38" s="703" t="n">
        <v>0</v>
      </c>
      <c r="R38" s="703" t="n">
        <v>24.120644</v>
      </c>
      <c r="S38" s="703">
        <f>SUM(P38:R38)</f>
        <v/>
      </c>
      <c r="T38" s="703" t="n">
        <v>524.574731</v>
      </c>
      <c r="U38" s="703" t="n">
        <v>0</v>
      </c>
      <c r="V38" s="703" t="n">
        <v>1.216481</v>
      </c>
      <c r="W38" s="703">
        <f>SUM(T38:V38)</f>
        <v/>
      </c>
      <c r="X38" s="703" t="n">
        <v>0</v>
      </c>
      <c r="Y38" s="724">
        <f>SUM(K38+O38+S38+W38+X38)</f>
        <v/>
      </c>
      <c r="Z38" s="319">
        <f>IF(F38=0,"",K38/(F38/((YEAR(E38)*12+MONTH(E38))-(YEAR(D38)*12+MONTH(D38))+1)))</f>
        <v/>
      </c>
      <c r="AA38" s="319">
        <f>G38/F38</f>
        <v/>
      </c>
      <c r="AB38" s="724">
        <f>F38-G38</f>
        <v/>
      </c>
      <c r="AC38" s="321">
        <f>SUM(F38:F39)</f>
        <v/>
      </c>
      <c r="AD38" s="322">
        <f>AD40</f>
        <v/>
      </c>
      <c r="AE38" s="725">
        <f>AE40</f>
        <v/>
      </c>
      <c r="AF38" s="706" t="inlineStr"/>
      <c r="AG38" s="706" t="inlineStr"/>
      <c r="AH38" s="706" t="inlineStr"/>
      <c r="AI38" s="706" t="inlineStr"/>
      <c r="AJ38" s="706" t="inlineStr"/>
    </row>
    <row r="39" ht="14.25" customFormat="1" customHeight="1" s="483">
      <c r="A39" s="513" t="n"/>
      <c r="B39" s="707" t="inlineStr">
        <is>
          <t>理财师008</t>
        </is>
      </c>
      <c r="C39" s="707" t="inlineStr">
        <is>
          <t>私人财富管理专家PWA4-2</t>
        </is>
      </c>
      <c r="D39" s="676" t="n">
        <v>46023</v>
      </c>
      <c r="E39" s="676" t="n">
        <v>46203</v>
      </c>
      <c r="F39" s="707" t="n">
        <v>24202.22</v>
      </c>
      <c r="G39" s="707" t="n">
        <v>23687.648801</v>
      </c>
      <c r="H39" s="707" t="n">
        <v>4531.171152</v>
      </c>
      <c r="I39" s="707" t="n">
        <v>0</v>
      </c>
      <c r="J39" s="707" t="n">
        <v>0</v>
      </c>
      <c r="K39" s="707">
        <f>SUM(H39:J39)</f>
        <v/>
      </c>
      <c r="L39" s="707" t="n">
        <v>3533.62581</v>
      </c>
      <c r="M39" s="707" t="n">
        <v>1927.43226</v>
      </c>
      <c r="N39" s="707" t="n">
        <v>132.81261</v>
      </c>
      <c r="O39" s="707">
        <f>SUM(L39:N39)</f>
        <v/>
      </c>
      <c r="P39" s="707" t="n">
        <v>9546.464904</v>
      </c>
      <c r="Q39" s="707" t="n">
        <v>0</v>
      </c>
      <c r="R39" s="707" t="n">
        <v>401.214551</v>
      </c>
      <c r="S39" s="707">
        <f>SUM(P39:R39)</f>
        <v/>
      </c>
      <c r="T39" s="707" t="n">
        <v>1081.878995</v>
      </c>
      <c r="U39" s="707" t="n">
        <v>523.50012</v>
      </c>
      <c r="V39" s="707" t="n">
        <v>135.589522</v>
      </c>
      <c r="W39" s="707">
        <f>SUM(T39:V39)</f>
        <v/>
      </c>
      <c r="X39" s="707" t="n">
        <v>1873.958877</v>
      </c>
      <c r="Y39" s="271">
        <f>SUM(K39+O39+S39+W39+X39)</f>
        <v/>
      </c>
      <c r="Z39" s="326">
        <f>IF(F39=0,"",K39/(F39/((YEAR(E39)*12+MONTH(E39))-(YEAR(D39)*12+MONTH(D39))+1)))</f>
        <v/>
      </c>
      <c r="AA39" s="326">
        <f>G39/F39</f>
        <v/>
      </c>
      <c r="AB39" s="708">
        <f>F39-G39</f>
        <v/>
      </c>
      <c r="AC39" s="513" t="n"/>
      <c r="AD39" s="513" t="n"/>
      <c r="AE39" s="513" t="n"/>
      <c r="AF39" s="706" t="inlineStr"/>
      <c r="AG39" s="706" t="inlineStr"/>
      <c r="AH39" s="706" t="inlineStr"/>
      <c r="AI39" s="706" t="inlineStr"/>
      <c r="AJ39" s="706" t="inlineStr"/>
    </row>
    <row r="40" ht="14.25" customFormat="1" customHeight="1" s="483">
      <c r="A40" s="710" t="inlineStr">
        <is>
          <t>合计</t>
        </is>
      </c>
      <c r="B40" s="518" t="n"/>
      <c r="C40" s="518" t="n"/>
      <c r="D40" s="518" t="n"/>
      <c r="E40" s="578" t="n"/>
      <c r="F40" s="333">
        <f>SUM(F38:F39)</f>
        <v/>
      </c>
      <c r="G40" s="710">
        <f>SUM(G38:G39)</f>
        <v/>
      </c>
      <c r="H40" s="710">
        <f>SUM(H38:H39)</f>
        <v/>
      </c>
      <c r="I40" s="710">
        <f>SUM(I38:I39)</f>
        <v/>
      </c>
      <c r="J40" s="710">
        <f>SUM(J38:J39)</f>
        <v/>
      </c>
      <c r="K40" s="710">
        <f>SUM(K38:K39)</f>
        <v/>
      </c>
      <c r="L40" s="710">
        <f>SUM(L38:L39)</f>
        <v/>
      </c>
      <c r="M40" s="710">
        <f>SUM(M38:M39)</f>
        <v/>
      </c>
      <c r="N40" s="710">
        <f>SUM(N38:N39)</f>
        <v/>
      </c>
      <c r="O40" s="710">
        <f>SUM(O38:O39)</f>
        <v/>
      </c>
      <c r="P40" s="710">
        <f>SUM(P38:P39)</f>
        <v/>
      </c>
      <c r="Q40" s="710">
        <f>SUM(Q38:Q39)</f>
        <v/>
      </c>
      <c r="R40" s="710">
        <f>SUM(R38:R39)</f>
        <v/>
      </c>
      <c r="S40" s="710">
        <f>SUM(S38:S39)</f>
        <v/>
      </c>
      <c r="T40" s="710">
        <f>SUM(T38:T39)</f>
        <v/>
      </c>
      <c r="U40" s="710">
        <f>SUM(U38:U39)</f>
        <v/>
      </c>
      <c r="V40" s="710">
        <f>SUM(V38:V39)</f>
        <v/>
      </c>
      <c r="W40" s="710">
        <f>SUM(W38:W39)</f>
        <v/>
      </c>
      <c r="X40" s="710">
        <f>SUM(X38:X39)</f>
        <v/>
      </c>
      <c r="Y40" s="333">
        <f>SUM(K40+O40+S40+W40+X40)</f>
        <v/>
      </c>
      <c r="Z40" s="335">
        <f>IF(F40=0,"",K40/(F40/((YEAR(E38)*12+MONTH(E38))-(YEAR(D38)*12+MONTH(D38))+1)))</f>
        <v/>
      </c>
      <c r="AA40" s="336">
        <f>G40/F40</f>
        <v/>
      </c>
      <c r="AB40" s="715">
        <f>F40-G40</f>
        <v/>
      </c>
      <c r="AC40" s="337">
        <f>AC38</f>
        <v/>
      </c>
      <c r="AD40" s="335">
        <f>Y40/AC38</f>
        <v/>
      </c>
      <c r="AE40" s="712">
        <f>AC38-Y40</f>
        <v/>
      </c>
      <c r="AF40" s="713" t="inlineStr"/>
      <c r="AG40" s="713" t="inlineStr"/>
      <c r="AH40" s="713" t="inlineStr"/>
      <c r="AI40" s="713" t="inlineStr"/>
      <c r="AJ40" s="713" t="inlineStr"/>
    </row>
    <row r="41" ht="14.25" customFormat="1" customHeight="1" s="483">
      <c r="A41" s="703" t="inlineStr">
        <is>
          <t>理财师004</t>
        </is>
      </c>
      <c r="B41" s="703" t="inlineStr">
        <is>
          <t>理财师006</t>
        </is>
      </c>
      <c r="C41" s="703" t="inlineStr">
        <is>
          <t>私人财富管理专家PWA4-5</t>
        </is>
      </c>
      <c r="D41" s="693" t="n">
        <v>46023</v>
      </c>
      <c r="E41" s="693" t="n">
        <v>46203</v>
      </c>
      <c r="F41" s="703" t="n">
        <v>17235</v>
      </c>
      <c r="G41" s="703" t="n">
        <v>14394.532867</v>
      </c>
      <c r="H41" s="703" t="n">
        <v>1920.375405</v>
      </c>
      <c r="I41" s="703" t="n">
        <v>0</v>
      </c>
      <c r="J41" s="703" t="n">
        <v>0</v>
      </c>
      <c r="K41" s="703">
        <f>SUM(H41:J41)</f>
        <v/>
      </c>
      <c r="L41" s="703" t="n">
        <v>1488.863753</v>
      </c>
      <c r="M41" s="703" t="n">
        <v>0</v>
      </c>
      <c r="N41" s="703" t="n">
        <v>377.363887</v>
      </c>
      <c r="O41" s="703">
        <f>SUM(L41:N41)</f>
        <v/>
      </c>
      <c r="P41" s="703" t="n">
        <v>2747.788321</v>
      </c>
      <c r="Q41" s="703" t="n">
        <v>0</v>
      </c>
      <c r="R41" s="703" t="n">
        <v>610.841506</v>
      </c>
      <c r="S41" s="703">
        <f>SUM(P41:R41)</f>
        <v/>
      </c>
      <c r="T41" s="703" t="n">
        <v>1566.390968</v>
      </c>
      <c r="U41" s="703" t="n">
        <v>1037.679365</v>
      </c>
      <c r="V41" s="703" t="n">
        <v>311.654822</v>
      </c>
      <c r="W41" s="703">
        <f>SUM(T41:V41)</f>
        <v/>
      </c>
      <c r="X41" s="703" t="n">
        <v>4333.574839</v>
      </c>
      <c r="Y41" s="724">
        <f>SUM(K41+O41+S41+W41+X41)</f>
        <v/>
      </c>
      <c r="Z41" s="319">
        <f>IF(F41=0,"",K41/(F41/((YEAR(E41)*12+MONTH(E41))-(YEAR(D41)*12+MONTH(D41))+1)))</f>
        <v/>
      </c>
      <c r="AA41" s="319">
        <f>G41/F41</f>
        <v/>
      </c>
      <c r="AB41" s="724">
        <f>F41-G41</f>
        <v/>
      </c>
      <c r="AC41" s="321">
        <f>SUM(F41:F45)</f>
        <v/>
      </c>
      <c r="AD41" s="322">
        <f>AD46</f>
        <v/>
      </c>
      <c r="AE41" s="725">
        <f>AE46</f>
        <v/>
      </c>
      <c r="AF41" s="706" t="inlineStr"/>
      <c r="AG41" s="706" t="inlineStr"/>
      <c r="AH41" s="706" t="inlineStr"/>
      <c r="AI41" s="706" t="inlineStr"/>
      <c r="AJ41" s="706" t="inlineStr"/>
    </row>
    <row r="42" ht="14.25" customFormat="1" customHeight="1" s="483">
      <c r="A42" s="500" t="n"/>
      <c r="B42" s="707" t="inlineStr">
        <is>
          <t>理财师003</t>
        </is>
      </c>
      <c r="C42" s="707" t="inlineStr">
        <is>
          <t>私人财富管理总监PWA3-3</t>
        </is>
      </c>
      <c r="D42" s="676" t="n">
        <v>46054</v>
      </c>
      <c r="E42" s="676" t="n">
        <v>46203</v>
      </c>
      <c r="F42" s="707" t="n">
        <v>18856.5</v>
      </c>
      <c r="G42" s="707" t="n">
        <v>11181.585679</v>
      </c>
      <c r="H42" s="707" t="n">
        <v>2570.269551</v>
      </c>
      <c r="I42" s="707" t="n">
        <v>0</v>
      </c>
      <c r="J42" s="707" t="n">
        <v>0</v>
      </c>
      <c r="K42" s="707">
        <f>SUM(H42:J42)</f>
        <v/>
      </c>
      <c r="L42" s="707" t="n">
        <v>567.268131</v>
      </c>
      <c r="M42" s="707" t="n">
        <v>0</v>
      </c>
      <c r="N42" s="707" t="n">
        <v>1435.413398</v>
      </c>
      <c r="O42" s="707">
        <f>SUM(L42:N42)</f>
        <v/>
      </c>
      <c r="P42" s="707" t="n">
        <v>1550.383391</v>
      </c>
      <c r="Q42" s="707" t="n">
        <v>0</v>
      </c>
      <c r="R42" s="707" t="n">
        <v>2273.498356</v>
      </c>
      <c r="S42" s="707">
        <f>SUM(P42:R42)</f>
        <v/>
      </c>
      <c r="T42" s="707" t="n">
        <v>1396.194268</v>
      </c>
      <c r="U42" s="707" t="n">
        <v>0</v>
      </c>
      <c r="V42" s="707" t="n">
        <v>1388.558583</v>
      </c>
      <c r="W42" s="707">
        <f>SUM(T42:V42)</f>
        <v/>
      </c>
      <c r="X42" s="707" t="n">
        <v>7202.586607</v>
      </c>
      <c r="Y42" s="271">
        <f>SUM(K42+O42+S42+W42+X42)</f>
        <v/>
      </c>
      <c r="Z42" s="326">
        <f>IF(F42=0,"",K42/(F42/((YEAR(E42)*12+MONTH(E42))-(YEAR(D42)*12+MONTH(D42))+1)))</f>
        <v/>
      </c>
      <c r="AA42" s="326">
        <f>G42/F42</f>
        <v/>
      </c>
      <c r="AB42" s="708">
        <f>F42-G42</f>
        <v/>
      </c>
      <c r="AC42" s="500" t="n"/>
      <c r="AD42" s="500" t="n"/>
      <c r="AE42" s="500" t="n"/>
      <c r="AF42" s="706" t="inlineStr"/>
      <c r="AG42" s="706" t="inlineStr"/>
      <c r="AH42" s="706" t="inlineStr"/>
      <c r="AI42" s="706" t="inlineStr"/>
      <c r="AJ42" s="706" t="inlineStr"/>
    </row>
    <row r="43" ht="14.25" customFormat="1" customHeight="1" s="483">
      <c r="A43" s="500" t="n"/>
      <c r="B43" s="707" t="inlineStr">
        <is>
          <t>理财师029</t>
        </is>
      </c>
      <c r="C43" s="707" t="inlineStr">
        <is>
          <t>私人财富管理专家PWA4-3</t>
        </is>
      </c>
      <c r="D43" s="676" t="n">
        <v>46150</v>
      </c>
      <c r="E43" s="676" t="n">
        <v>46333</v>
      </c>
      <c r="F43" s="707" t="n">
        <v>16404.52</v>
      </c>
      <c r="G43" s="707" t="n">
        <v>421.44971</v>
      </c>
      <c r="H43" s="707" t="n">
        <v>0</v>
      </c>
      <c r="I43" s="707" t="n">
        <v>0</v>
      </c>
      <c r="J43" s="707" t="n">
        <v>0</v>
      </c>
      <c r="K43" s="707">
        <f>SUM(H43:J43)</f>
        <v/>
      </c>
      <c r="L43" s="707" t="n">
        <v>410.9235</v>
      </c>
      <c r="M43" s="707" t="n">
        <v>0</v>
      </c>
      <c r="N43" s="707" t="n">
        <v>4.340061</v>
      </c>
      <c r="O43" s="707">
        <f>SUM(L43:N43)</f>
        <v/>
      </c>
      <c r="P43" s="707" t="n">
        <v>0</v>
      </c>
      <c r="Q43" s="707" t="n">
        <v>0</v>
      </c>
      <c r="R43" s="707" t="n">
        <v>5.058234</v>
      </c>
      <c r="S43" s="707">
        <f>SUM(P43:R43)</f>
        <v/>
      </c>
      <c r="T43" s="707" t="n">
        <v>0</v>
      </c>
      <c r="U43" s="707" t="n">
        <v>0</v>
      </c>
      <c r="V43" s="707" t="n">
        <v>1.127915</v>
      </c>
      <c r="W43" s="707">
        <f>SUM(T43:V43)</f>
        <v/>
      </c>
      <c r="X43" s="707" t="n">
        <v>0</v>
      </c>
      <c r="Y43" s="271">
        <f>SUM(K43+O43+S43+W43+X43)</f>
        <v/>
      </c>
      <c r="Z43" s="326">
        <f>IF(F43=0,"",K43/(F43/((YEAR(E43)*12+MONTH(E43))-(YEAR(D43)*12+MONTH(D43))+1)))</f>
        <v/>
      </c>
      <c r="AA43" s="326">
        <f>G43/F43</f>
        <v/>
      </c>
      <c r="AB43" s="708">
        <f>F43-G43</f>
        <v/>
      </c>
      <c r="AC43" s="500" t="n"/>
      <c r="AD43" s="500" t="n"/>
      <c r="AE43" s="500" t="n"/>
      <c r="AF43" s="706" t="inlineStr"/>
      <c r="AG43" s="706" t="inlineStr"/>
      <c r="AH43" s="706" t="inlineStr"/>
      <c r="AI43" s="706" t="inlineStr"/>
      <c r="AJ43" s="706" t="inlineStr"/>
    </row>
    <row r="44" ht="14.25" customFormat="1" customHeight="1" s="483">
      <c r="A44" s="500" t="n"/>
      <c r="B44" s="707" t="inlineStr">
        <is>
          <t>理财师004</t>
        </is>
      </c>
      <c r="C44" s="707" t="inlineStr"/>
      <c r="D44" s="707" t="inlineStr"/>
      <c r="E44" s="707" t="inlineStr"/>
      <c r="F44" s="707" t="n">
        <v>0</v>
      </c>
      <c r="G44" s="707" t="n">
        <v>0</v>
      </c>
      <c r="H44" s="707" t="n">
        <v>1468.49976</v>
      </c>
      <c r="I44" s="707" t="n">
        <v>0</v>
      </c>
      <c r="J44" s="707" t="n">
        <v>0</v>
      </c>
      <c r="K44" s="707">
        <f>SUM(H44:J44)</f>
        <v/>
      </c>
      <c r="L44" s="707" t="n">
        <v>757.832636</v>
      </c>
      <c r="M44" s="707" t="n">
        <v>0</v>
      </c>
      <c r="N44" s="707" t="n">
        <v>581.619744</v>
      </c>
      <c r="O44" s="707">
        <f>SUM(L44:N44)</f>
        <v/>
      </c>
      <c r="P44" s="707" t="n">
        <v>1958.298381</v>
      </c>
      <c r="Q44" s="707" t="n">
        <v>0</v>
      </c>
      <c r="R44" s="707" t="n">
        <v>662.594343</v>
      </c>
      <c r="S44" s="707">
        <f>SUM(P44:R44)</f>
        <v/>
      </c>
      <c r="T44" s="707" t="n">
        <v>2837.047697</v>
      </c>
      <c r="U44" s="707" t="n">
        <v>0</v>
      </c>
      <c r="V44" s="707" t="n">
        <v>463.983498</v>
      </c>
      <c r="W44" s="707">
        <f>SUM(T44:V44)</f>
        <v/>
      </c>
      <c r="X44" s="707" t="n">
        <v>2545.018293</v>
      </c>
      <c r="Y44" s="271">
        <f>SUM(K44+O44+S44+W44+X44)</f>
        <v/>
      </c>
      <c r="Z44" s="326">
        <f>IF(F44=0,"",K44/(F44/((YEAR(E44)*12+MONTH(E44))-(YEAR(D44)*12+MONTH(D44))+1)))</f>
        <v/>
      </c>
      <c r="AA44" s="326">
        <f>G44/F44</f>
        <v/>
      </c>
      <c r="AB44" s="708">
        <f>F44-G44</f>
        <v/>
      </c>
      <c r="AC44" s="500" t="n"/>
      <c r="AD44" s="500" t="n"/>
      <c r="AE44" s="500" t="n"/>
      <c r="AF44" s="706" t="inlineStr"/>
      <c r="AG44" s="706" t="inlineStr"/>
      <c r="AH44" s="706" t="inlineStr"/>
      <c r="AI44" s="706" t="inlineStr"/>
      <c r="AJ44" s="706" t="inlineStr"/>
    </row>
    <row r="45" ht="14.25" customFormat="1" customHeight="1" s="483">
      <c r="A45" s="513" t="n"/>
      <c r="B45" s="707" t="inlineStr">
        <is>
          <t>理财师012</t>
        </is>
      </c>
      <c r="C45" s="707" t="inlineStr">
        <is>
          <t>首席私人财富管理专家PWA5-3</t>
        </is>
      </c>
      <c r="D45" s="676" t="n">
        <v>46023</v>
      </c>
      <c r="E45" s="676" t="n">
        <v>46203</v>
      </c>
      <c r="F45" s="707" t="n">
        <v>51394.5</v>
      </c>
      <c r="G45" s="707" t="n">
        <v>22721.509084</v>
      </c>
      <c r="H45" s="707" t="n">
        <v>4538.54345</v>
      </c>
      <c r="I45" s="707" t="n">
        <v>0</v>
      </c>
      <c r="J45" s="707" t="n">
        <v>0</v>
      </c>
      <c r="K45" s="707">
        <f>SUM(H45:J45)</f>
        <v/>
      </c>
      <c r="L45" s="707" t="n">
        <v>905.961956</v>
      </c>
      <c r="M45" s="707" t="n">
        <v>0</v>
      </c>
      <c r="N45" s="707" t="n">
        <v>822.517258</v>
      </c>
      <c r="O45" s="707">
        <f>SUM(L45:N45)</f>
        <v/>
      </c>
      <c r="P45" s="707" t="n">
        <v>3160.387028</v>
      </c>
      <c r="Q45" s="707" t="n">
        <v>0</v>
      </c>
      <c r="R45" s="707" t="n">
        <v>3880.484178</v>
      </c>
      <c r="S45" s="707">
        <f>SUM(P45:R45)</f>
        <v/>
      </c>
      <c r="T45" s="707" t="n">
        <v>3065.24731</v>
      </c>
      <c r="U45" s="707" t="n">
        <v>0</v>
      </c>
      <c r="V45" s="707" t="n">
        <v>1466.609142</v>
      </c>
      <c r="W45" s="707">
        <f>SUM(T45:V45)</f>
        <v/>
      </c>
      <c r="X45" s="707" t="n">
        <v>4881.758761</v>
      </c>
      <c r="Y45" s="271">
        <f>SUM(K45+O45+S45+W45+X45)</f>
        <v/>
      </c>
      <c r="Z45" s="326">
        <f>IF(F45=0,"",K45/(F45/((YEAR(E45)*12+MONTH(E45))-(YEAR(D45)*12+MONTH(D45))+1)))</f>
        <v/>
      </c>
      <c r="AA45" s="326">
        <f>G45/F45</f>
        <v/>
      </c>
      <c r="AB45" s="708">
        <f>F45-G45</f>
        <v/>
      </c>
      <c r="AC45" s="513" t="n"/>
      <c r="AD45" s="513" t="n"/>
      <c r="AE45" s="513" t="n"/>
      <c r="AF45" s="706" t="inlineStr"/>
      <c r="AG45" s="706" t="inlineStr"/>
      <c r="AH45" s="706" t="inlineStr"/>
      <c r="AI45" s="706" t="inlineStr"/>
      <c r="AJ45" s="706" t="inlineStr"/>
    </row>
    <row r="46" ht="14.25" customFormat="1" customHeight="1" s="483">
      <c r="A46" s="710" t="inlineStr">
        <is>
          <t>合计</t>
        </is>
      </c>
      <c r="B46" s="518" t="n"/>
      <c r="C46" s="518" t="n"/>
      <c r="D46" s="518" t="n"/>
      <c r="E46" s="578" t="n"/>
      <c r="F46" s="333">
        <f>SUM(F41:F45)</f>
        <v/>
      </c>
      <c r="G46" s="710">
        <f>SUM(G41:G45)</f>
        <v/>
      </c>
      <c r="H46" s="710">
        <f>SUM(H41:H45)</f>
        <v/>
      </c>
      <c r="I46" s="710">
        <f>SUM(I41:I45)</f>
        <v/>
      </c>
      <c r="J46" s="710">
        <f>SUM(J41:J45)</f>
        <v/>
      </c>
      <c r="K46" s="710">
        <f>SUM(K41:K45)</f>
        <v/>
      </c>
      <c r="L46" s="710">
        <f>SUM(L41:L45)</f>
        <v/>
      </c>
      <c r="M46" s="710">
        <f>SUM(M41:M45)</f>
        <v/>
      </c>
      <c r="N46" s="710">
        <f>SUM(N41:N45)</f>
        <v/>
      </c>
      <c r="O46" s="710">
        <f>SUM(O41:O45)</f>
        <v/>
      </c>
      <c r="P46" s="710">
        <f>SUM(P41:P45)</f>
        <v/>
      </c>
      <c r="Q46" s="710">
        <f>SUM(Q41:Q45)</f>
        <v/>
      </c>
      <c r="R46" s="710">
        <f>SUM(R41:R45)</f>
        <v/>
      </c>
      <c r="S46" s="710">
        <f>SUM(S41:S45)</f>
        <v/>
      </c>
      <c r="T46" s="710">
        <f>SUM(T41:T45)</f>
        <v/>
      </c>
      <c r="U46" s="710">
        <f>SUM(U41:U45)</f>
        <v/>
      </c>
      <c r="V46" s="710">
        <f>SUM(V41:V45)</f>
        <v/>
      </c>
      <c r="W46" s="710">
        <f>SUM(W41:W45)</f>
        <v/>
      </c>
      <c r="X46" s="710">
        <f>SUM(X41:X45)</f>
        <v/>
      </c>
      <c r="Y46" s="333">
        <f>SUM(K46+O46+S46+W46+X46)</f>
        <v/>
      </c>
      <c r="Z46" s="335">
        <f>IF(F46=0,"",K46/(F46/((YEAR(E41)*12+MONTH(E41))-(YEAR(D41)*12+MONTH(D41))+1)))</f>
        <v/>
      </c>
      <c r="AA46" s="336">
        <f>G46/F46</f>
        <v/>
      </c>
      <c r="AB46" s="715">
        <f>F46-G46</f>
        <v/>
      </c>
      <c r="AC46" s="337">
        <f>AC41</f>
        <v/>
      </c>
      <c r="AD46" s="335">
        <f>Y46/AC41</f>
        <v/>
      </c>
      <c r="AE46" s="712">
        <f>AC41-Y46</f>
        <v/>
      </c>
      <c r="AF46" s="713" t="inlineStr"/>
      <c r="AG46" s="713" t="inlineStr"/>
      <c r="AH46" s="713" t="inlineStr"/>
      <c r="AI46" s="713" t="inlineStr"/>
      <c r="AJ46" s="713" t="inlineStr"/>
    </row>
    <row r="47" ht="14.25" customFormat="1" customHeight="1" s="483">
      <c r="A47" s="719" t="inlineStr">
        <is>
          <t>合计</t>
        </is>
      </c>
      <c r="B47" s="518" t="n"/>
      <c r="C47" s="518" t="n"/>
      <c r="D47" s="518" t="n"/>
      <c r="E47" s="578" t="n"/>
      <c r="F47" s="720">
        <f>F9+F15+F19+F23+F27+F31+F34+F37+F40+F46</f>
        <v/>
      </c>
      <c r="G47" s="720">
        <f>G9+G15+G19+G23+G27+G31+G34+G37+G40+G46</f>
        <v/>
      </c>
      <c r="H47" s="720">
        <f>H9+H15+H19+H23+H27+H31+H34+H37+H40+H46</f>
        <v/>
      </c>
      <c r="I47" s="720">
        <f>I9+I15+I19+I23+I27+I31+I34+I37+I40+I46</f>
        <v/>
      </c>
      <c r="J47" s="720">
        <f>J9+J15+J19+J23+J27+J31+J34+J37+J40+J46</f>
        <v/>
      </c>
      <c r="K47" s="720">
        <f>K9+K15+K19+K23+K27+K31+K34+K37+K40+K46</f>
        <v/>
      </c>
      <c r="L47" s="720">
        <f>L9+L15+L19+L23+L27+L31+L34+L37+L40+L46</f>
        <v/>
      </c>
      <c r="M47" s="720">
        <f>M9+M15+M19+M23+M27+M31+M34+M37+M40+M46</f>
        <v/>
      </c>
      <c r="N47" s="720">
        <f>N9+N15+N19+N23+N27+N31+N34+N37+N40+N46</f>
        <v/>
      </c>
      <c r="O47" s="720">
        <f>O9+O15+O19+O23+O27+O31+O34+O37+O40+O46</f>
        <v/>
      </c>
      <c r="P47" s="720">
        <f>P9+P15+P19+P23+P27+P31+P34+P37+P40+P46</f>
        <v/>
      </c>
      <c r="Q47" s="720">
        <f>Q9+Q15+Q19+Q23+Q27+Q31+Q34+Q37+Q40+Q46</f>
        <v/>
      </c>
      <c r="R47" s="720">
        <f>R9+R15+R19+R23+R27+R31+R34+R37+R40+R46</f>
        <v/>
      </c>
      <c r="S47" s="720">
        <f>S9+S15+S19+S23+S27+S31+S34+S37+S40+S46</f>
        <v/>
      </c>
      <c r="T47" s="720">
        <f>T9+T15+T19+T23+T27+T31+T34+T37+T40+T46</f>
        <v/>
      </c>
      <c r="U47" s="720">
        <f>U9+U15+U19+U23+U27+U31+U34+U37+U40+U46</f>
        <v/>
      </c>
      <c r="V47" s="720">
        <f>V9+V15+V19+V23+V27+V31+V34+V37+V40+V46</f>
        <v/>
      </c>
      <c r="W47" s="720">
        <f>W9+W15+W19+W23+W27+W31+W34+W37+W40+W46</f>
        <v/>
      </c>
      <c r="X47" s="720">
        <f>X9+X15+X19+X23+X27+X31+X34+X37+X40+X46</f>
        <v/>
      </c>
      <c r="Y47" s="726">
        <f>Y9+Y15+Y19+Y23+Y27+Y31+Y34+Y37+Y40+Y46</f>
        <v/>
      </c>
      <c r="Z47" s="350">
        <f>K47/(F47/((YEAR(E4)*12+MONTH(E4))-(YEAR(D4)*12+MONTH(D4))+1))</f>
        <v/>
      </c>
      <c r="AA47" s="350">
        <f>G47/F47</f>
        <v/>
      </c>
      <c r="AB47" s="720">
        <f>F47-G47</f>
        <v/>
      </c>
      <c r="AC47" s="352">
        <f>AC9+AC15+AC19+AC23+AC27+AC31+AC34+AC37+AC40+AC46</f>
        <v/>
      </c>
      <c r="AD47" s="353">
        <f>Y47/AC47</f>
        <v/>
      </c>
      <c r="AE47" s="720">
        <f>AC47-Y47</f>
        <v/>
      </c>
      <c r="AF47" s="723" t="inlineStr"/>
      <c r="AG47" s="723" t="inlineStr"/>
      <c r="AH47" s="723" t="inlineStr"/>
      <c r="AI47" s="723" t="inlineStr"/>
      <c r="AJ47" s="723" t="inlineStr"/>
    </row>
    <row r="48" ht="14.25" customFormat="1" customHeight="1" s="483">
      <c r="AB48" s="633" t="inlineStr">
        <is>
          <t>公司目标</t>
        </is>
      </c>
      <c r="AC48" s="633" t="n">
        <v>930486.542524</v>
      </c>
      <c r="AD48" s="252">
        <f>IF(AC48&lt;&gt;0,Y47/AC48,"")</f>
        <v/>
      </c>
      <c r="AE48" s="663">
        <f>AC48-Y47</f>
        <v/>
      </c>
    </row>
    <row r="49" ht="14.25" customFormat="1" customHeight="1" s="483"/>
    <row r="50" ht="35.1" customFormat="1" customHeight="1" s="483"/>
    <row r="51" ht="24" customFormat="1" customHeight="1" s="483"/>
  </sheetData>
  <mergeCells count="83">
    <mergeCell ref="A20:A22"/>
    <mergeCell ref="A4:A8"/>
    <mergeCell ref="U2:U3"/>
    <mergeCell ref="AC38:AC39"/>
    <mergeCell ref="A37:E37"/>
    <mergeCell ref="A46:E46"/>
    <mergeCell ref="A2:A3"/>
    <mergeCell ref="A24:A26"/>
    <mergeCell ref="C2:C3"/>
    <mergeCell ref="AE38:AE39"/>
    <mergeCell ref="E2:E3"/>
    <mergeCell ref="W2:W3"/>
    <mergeCell ref="AD32:AD33"/>
    <mergeCell ref="AC16:AC18"/>
    <mergeCell ref="AE16:AE18"/>
    <mergeCell ref="AC41:AC45"/>
    <mergeCell ref="A23:E23"/>
    <mergeCell ref="AA2:AA3"/>
    <mergeCell ref="AE41:AE45"/>
    <mergeCell ref="AC2:AC3"/>
    <mergeCell ref="AC24:AC26"/>
    <mergeCell ref="A35:A36"/>
    <mergeCell ref="V2:V3"/>
    <mergeCell ref="X2:X3"/>
    <mergeCell ref="A34:E34"/>
    <mergeCell ref="AE28:AE30"/>
    <mergeCell ref="AD16:AD18"/>
    <mergeCell ref="N2:N3"/>
    <mergeCell ref="F2:F3"/>
    <mergeCell ref="P2:P3"/>
    <mergeCell ref="H2:H3"/>
    <mergeCell ref="AD35:AD36"/>
    <mergeCell ref="AD41:AD45"/>
    <mergeCell ref="K2:K3"/>
    <mergeCell ref="AE4:AE8"/>
    <mergeCell ref="AC1:AD1"/>
    <mergeCell ref="O2:O3"/>
    <mergeCell ref="AD20:AD22"/>
    <mergeCell ref="Q2:Q3"/>
    <mergeCell ref="A16:A18"/>
    <mergeCell ref="A41:A45"/>
    <mergeCell ref="AC32:AC33"/>
    <mergeCell ref="A31:E31"/>
    <mergeCell ref="A40:E40"/>
    <mergeCell ref="S2:S3"/>
    <mergeCell ref="AE35:AE36"/>
    <mergeCell ref="AD38:AD39"/>
    <mergeCell ref="B2:B3"/>
    <mergeCell ref="AC10:AC14"/>
    <mergeCell ref="D2:D3"/>
    <mergeCell ref="AE10:AE14"/>
    <mergeCell ref="A28:A30"/>
    <mergeCell ref="A10:A14"/>
    <mergeCell ref="Z2:Z3"/>
    <mergeCell ref="AE20:AE22"/>
    <mergeCell ref="AB2:AB3"/>
    <mergeCell ref="T2:T3"/>
    <mergeCell ref="AD24:AD26"/>
    <mergeCell ref="AD2:AD3"/>
    <mergeCell ref="AD4:AD8"/>
    <mergeCell ref="A47:E47"/>
    <mergeCell ref="AD28:AD30"/>
    <mergeCell ref="A38:A39"/>
    <mergeCell ref="AE32:AE33"/>
    <mergeCell ref="G2:G3"/>
    <mergeCell ref="I2:I3"/>
    <mergeCell ref="A15:E15"/>
    <mergeCell ref="M2:M3"/>
    <mergeCell ref="AE2:AE3"/>
    <mergeCell ref="AE24:AE26"/>
    <mergeCell ref="Y2:Y3"/>
    <mergeCell ref="A27:E27"/>
    <mergeCell ref="AC35:AC36"/>
    <mergeCell ref="A32:A33"/>
    <mergeCell ref="AC28:AC30"/>
    <mergeCell ref="R2:R3"/>
    <mergeCell ref="J2:J3"/>
    <mergeCell ref="L2:L3"/>
    <mergeCell ref="AD10:AD14"/>
    <mergeCell ref="A19:E19"/>
    <mergeCell ref="AC20:AC22"/>
    <mergeCell ref="AC4:AC8"/>
    <mergeCell ref="A9:E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48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width="9" customWidth="1" style="533" min="24" max="36"/>
  </cols>
  <sheetData>
    <row r="1" ht="20.25" customFormat="1" customHeight="1" s="483">
      <c r="A1" s="754" t="inlineStr">
        <is>
          <t>私人财富管理部折标销售进度表-截止20260529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552" t="inlineStr">
        <is>
          <t>上半年时间进度</t>
        </is>
      </c>
      <c r="AE1" s="70">
        <f>AJ7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传统202605</t>
        </is>
      </c>
      <c r="I2" s="541" t="inlineStr">
        <is>
          <t>保险202605</t>
        </is>
      </c>
      <c r="J2" s="541" t="inlineStr">
        <is>
          <t>管理费202605</t>
        </is>
      </c>
      <c r="K2" s="669" t="inlineStr">
        <is>
          <t>2026年
5月折标</t>
        </is>
      </c>
      <c r="L2" s="541" t="inlineStr">
        <is>
          <t>传统202604</t>
        </is>
      </c>
      <c r="M2" s="541" t="inlineStr">
        <is>
          <t>保险202604</t>
        </is>
      </c>
      <c r="N2" s="541" t="inlineStr">
        <is>
          <t>管理费202604</t>
        </is>
      </c>
      <c r="O2" s="669" t="inlineStr">
        <is>
          <t>2026年
4月折标</t>
        </is>
      </c>
      <c r="P2" s="541" t="inlineStr">
        <is>
          <t>传统202603</t>
        </is>
      </c>
      <c r="Q2" s="541" t="inlineStr">
        <is>
          <t>保险202603</t>
        </is>
      </c>
      <c r="R2" s="541" t="inlineStr">
        <is>
          <t>管理费202603</t>
        </is>
      </c>
      <c r="S2" s="669" t="inlineStr">
        <is>
          <t>2026年
3月折标</t>
        </is>
      </c>
      <c r="T2" s="541" t="inlineStr">
        <is>
          <t>传统202602</t>
        </is>
      </c>
      <c r="U2" s="541" t="inlineStr">
        <is>
          <t>保险202602</t>
        </is>
      </c>
      <c r="V2" s="541" t="inlineStr">
        <is>
          <t>管理费202602</t>
        </is>
      </c>
      <c r="W2" s="669" t="inlineStr">
        <is>
          <t>2026年
2月折标</t>
        </is>
      </c>
      <c r="X2" s="669" t="inlineStr">
        <is>
          <t>2026年
1月折标</t>
        </is>
      </c>
      <c r="Y2" s="670" t="inlineStr">
        <is>
          <t>2026年YTD折标</t>
        </is>
      </c>
      <c r="Z2" s="671" t="inlineStr">
        <is>
          <t>月度
完成率</t>
        </is>
      </c>
      <c r="AA2" s="666" t="inlineStr">
        <is>
          <t>考核期完成率（累计）</t>
        </is>
      </c>
      <c r="AB2" s="560" t="inlineStr">
        <is>
          <t>考核期差距</t>
        </is>
      </c>
      <c r="AC2" s="561" t="inlineStr">
        <is>
          <t>财富中心
上半年年任务</t>
        </is>
      </c>
      <c r="AD2" s="79" t="inlineStr">
        <is>
          <t>财富中心
上半年任务完成率</t>
        </is>
      </c>
      <c r="AE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</row>
    <row r="4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20273.420979</v>
      </c>
      <c r="H4" s="703" t="n">
        <v>1183.338361</v>
      </c>
      <c r="I4" s="703" t="n">
        <v>0</v>
      </c>
      <c r="J4" s="703" t="n">
        <v>0</v>
      </c>
      <c r="K4" s="703">
        <f>SUM(H4:J4)</f>
        <v/>
      </c>
      <c r="L4" s="703" t="n">
        <v>2573.204374</v>
      </c>
      <c r="M4" s="703" t="n">
        <v>0</v>
      </c>
      <c r="N4" s="703" t="n">
        <v>535.227607</v>
      </c>
      <c r="O4" s="703">
        <f>SUM(L4:N4)</f>
        <v/>
      </c>
      <c r="P4" s="703" t="n">
        <v>8704.796721000001</v>
      </c>
      <c r="Q4" s="703" t="n">
        <v>0</v>
      </c>
      <c r="R4" s="703" t="n">
        <v>1242.252932</v>
      </c>
      <c r="S4" s="703">
        <f>SUM(P4:R4)</f>
        <v/>
      </c>
      <c r="T4" s="703" t="n">
        <v>1402.304143</v>
      </c>
      <c r="U4" s="703" t="n">
        <v>742.65048</v>
      </c>
      <c r="V4" s="703" t="n">
        <v>430.381249</v>
      </c>
      <c r="W4" s="703">
        <f>SUM(T4:V4)</f>
        <v/>
      </c>
      <c r="X4" s="703" t="n">
        <v>3459.265113</v>
      </c>
      <c r="Y4" s="318">
        <f>SUM(K4+O4+S4+W4+X4)</f>
        <v/>
      </c>
      <c r="Z4" s="319">
        <f>IF(F4=0,"",K4/(F4/((YEAR(E4)*12+MONTH(E4))-(YEAR(D4)*12+MONTH(D4))+1)))</f>
        <v/>
      </c>
      <c r="AA4" s="319">
        <f>G4/F4</f>
        <v/>
      </c>
      <c r="AB4" s="704">
        <f>F4-G4</f>
        <v/>
      </c>
      <c r="AC4" s="321">
        <f>SUM(F4:F8)</f>
        <v/>
      </c>
      <c r="AD4" s="322">
        <f>AD9</f>
        <v/>
      </c>
      <c r="AE4" s="705">
        <f>AE9</f>
        <v/>
      </c>
      <c r="AF4" s="706" t="inlineStr"/>
      <c r="AG4" s="706" t="inlineStr"/>
      <c r="AH4" s="706" t="inlineStr">
        <is>
          <t>开始日期</t>
        </is>
      </c>
      <c r="AI4" s="706" t="inlineStr">
        <is>
          <t>结束日期</t>
        </is>
      </c>
      <c r="AJ4" s="706" t="inlineStr"/>
    </row>
    <row r="5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16016.316442</v>
      </c>
      <c r="H5" s="707" t="n">
        <v>573.28128</v>
      </c>
      <c r="I5" s="707" t="n">
        <v>0</v>
      </c>
      <c r="J5" s="707" t="n">
        <v>0</v>
      </c>
      <c r="K5" s="707">
        <f>SUM(H5:J5)</f>
        <v/>
      </c>
      <c r="L5" s="707" t="n">
        <v>249.800095</v>
      </c>
      <c r="M5" s="707" t="n">
        <v>5040.9216</v>
      </c>
      <c r="N5" s="707" t="n">
        <v>164.52884</v>
      </c>
      <c r="O5" s="707">
        <f>SUM(L5:N5)</f>
        <v/>
      </c>
      <c r="P5" s="707" t="n">
        <v>1613.445926</v>
      </c>
      <c r="Q5" s="707" t="n">
        <v>0</v>
      </c>
      <c r="R5" s="707" t="n">
        <v>488.407071</v>
      </c>
      <c r="S5" s="707">
        <f>SUM(P5:R5)</f>
        <v/>
      </c>
      <c r="T5" s="707" t="n">
        <v>454.800547</v>
      </c>
      <c r="U5" s="707" t="n">
        <v>0</v>
      </c>
      <c r="V5" s="707" t="n">
        <v>289.117436</v>
      </c>
      <c r="W5" s="707">
        <f>SUM(T5:V5)</f>
        <v/>
      </c>
      <c r="X5" s="707" t="n">
        <v>3311.566531</v>
      </c>
      <c r="Y5" s="271">
        <f>SUM(K5+O5+S5+W5+X5)</f>
        <v/>
      </c>
      <c r="Z5" s="326">
        <f>IF(F5=0,"",K5/(F5/((YEAR(E5)*12+MONTH(E5))-(YEAR(D5)*12+MONTH(D5))+1)))</f>
        <v/>
      </c>
      <c r="AA5" s="326">
        <f>G5/F5</f>
        <v/>
      </c>
      <c r="AB5" s="708">
        <f>F5-G5</f>
        <v/>
      </c>
      <c r="AC5" s="500" t="n"/>
      <c r="AD5" s="500" t="n"/>
      <c r="AE5" s="500" t="n"/>
      <c r="AF5" s="706" t="inlineStr"/>
      <c r="AG5" s="706" t="inlineStr"/>
      <c r="AH5" s="328" t="n">
        <v>46023</v>
      </c>
      <c r="AI5" s="328" t="n">
        <v>46203</v>
      </c>
      <c r="AJ5" s="706" t="inlineStr"/>
    </row>
    <row r="6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128387.628304</v>
      </c>
      <c r="H6" s="707" t="n">
        <v>15008.571418</v>
      </c>
      <c r="I6" s="707" t="n">
        <v>71693.622</v>
      </c>
      <c r="J6" s="707" t="n">
        <v>0</v>
      </c>
      <c r="K6" s="707">
        <f>SUM(H6:J6)</f>
        <v/>
      </c>
      <c r="L6" s="707" t="n">
        <v>3788.477067</v>
      </c>
      <c r="M6" s="707" t="n">
        <v>0</v>
      </c>
      <c r="N6" s="707" t="n">
        <v>862.927829</v>
      </c>
      <c r="O6" s="707">
        <f>SUM(L6:N6)</f>
        <v/>
      </c>
      <c r="P6" s="707" t="n">
        <v>1444.66245</v>
      </c>
      <c r="Q6" s="707" t="n">
        <v>0</v>
      </c>
      <c r="R6" s="707" t="n">
        <v>1063.763858</v>
      </c>
      <c r="S6" s="707">
        <f>SUM(P6:R6)</f>
        <v/>
      </c>
      <c r="T6" s="707" t="n">
        <v>9688.821542</v>
      </c>
      <c r="U6" s="707" t="n">
        <v>0</v>
      </c>
      <c r="V6" s="707" t="n">
        <v>606.6776630000001</v>
      </c>
      <c r="W6" s="707">
        <f>SUM(T6:V6)</f>
        <v/>
      </c>
      <c r="X6" s="707" t="n">
        <v>13116.995922</v>
      </c>
      <c r="Y6" s="271">
        <f>SUM(K6+O6+S6+W6+X6)</f>
        <v/>
      </c>
      <c r="Z6" s="326">
        <f>IF(F6=0,"",K6/(F6/((YEAR(E6)*12+MONTH(E6))-(YEAR(D6)*12+MONTH(D6))+1)))</f>
        <v/>
      </c>
      <c r="AA6" s="326">
        <f>G6/F6</f>
        <v/>
      </c>
      <c r="AB6" s="708">
        <f>F6-G6</f>
        <v/>
      </c>
      <c r="AC6" s="500" t="n"/>
      <c r="AD6" s="500" t="n"/>
      <c r="AE6" s="500" t="n"/>
      <c r="AF6" s="706" t="inlineStr"/>
      <c r="AG6" s="706" t="inlineStr"/>
      <c r="AH6" s="706" t="inlineStr">
        <is>
          <t>计算日期</t>
        </is>
      </c>
      <c r="AI6" s="706">
        <f>W5-V5</f>
        <v/>
      </c>
      <c r="AJ6" s="706" t="inlineStr">
        <is>
          <t>时间进度</t>
        </is>
      </c>
    </row>
    <row r="7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3524.467507</v>
      </c>
      <c r="H7" s="707" t="n">
        <v>66.7758</v>
      </c>
      <c r="I7" s="707" t="n">
        <v>0</v>
      </c>
      <c r="J7" s="707" t="n">
        <v>0</v>
      </c>
      <c r="K7" s="707">
        <f>SUM(H7:J7)</f>
        <v/>
      </c>
      <c r="L7" s="707" t="n">
        <v>133.5516</v>
      </c>
      <c r="M7" s="707" t="n">
        <v>0</v>
      </c>
      <c r="N7" s="707" t="n">
        <v>22.107856</v>
      </c>
      <c r="O7" s="707">
        <f>SUM(L7:N7)</f>
        <v/>
      </c>
      <c r="P7" s="707" t="n">
        <v>500.150742</v>
      </c>
      <c r="Q7" s="707" t="n">
        <v>0</v>
      </c>
      <c r="R7" s="707" t="n">
        <v>157.397938</v>
      </c>
      <c r="S7" s="707">
        <f>SUM(P7:R7)</f>
        <v/>
      </c>
      <c r="T7" s="707" t="n">
        <v>267.1032</v>
      </c>
      <c r="U7" s="707" t="n">
        <v>0</v>
      </c>
      <c r="V7" s="707" t="n">
        <v>25.494675</v>
      </c>
      <c r="W7" s="707">
        <f>SUM(T7:V7)</f>
        <v/>
      </c>
      <c r="X7" s="707" t="n">
        <v>2351.885696</v>
      </c>
      <c r="Y7" s="271">
        <f>SUM(K7+O7+S7+W7+X7)</f>
        <v/>
      </c>
      <c r="Z7" s="326">
        <f>IF(F7=0,"",K7/(F7/((YEAR(E7)*12+MONTH(E7))-(YEAR(D7)*12+MONTH(D7))+1)))</f>
        <v/>
      </c>
      <c r="AA7" s="326">
        <f>G7/F7</f>
        <v/>
      </c>
      <c r="AB7" s="708">
        <f>F7-G7</f>
        <v/>
      </c>
      <c r="AC7" s="500" t="n"/>
      <c r="AD7" s="500" t="n"/>
      <c r="AE7" s="500" t="n"/>
      <c r="AF7" s="706" t="inlineStr"/>
      <c r="AG7" s="706" t="inlineStr"/>
      <c r="AH7" s="709" t="n">
        <v>46171</v>
      </c>
      <c r="AI7" s="330">
        <f>AI5-AH5+1</f>
        <v/>
      </c>
      <c r="AJ7" s="331">
        <f>(AH7-AH5+1)/AI7</f>
        <v/>
      </c>
    </row>
    <row r="8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23664.438388</v>
      </c>
      <c r="H8" s="707" t="n">
        <v>130.02444</v>
      </c>
      <c r="I8" s="707" t="n">
        <v>0</v>
      </c>
      <c r="J8" s="707" t="n">
        <v>0</v>
      </c>
      <c r="K8" s="707">
        <f>SUM(H8:J8)</f>
        <v/>
      </c>
      <c r="L8" s="707" t="n">
        <v>0</v>
      </c>
      <c r="M8" s="707" t="n">
        <v>2724.3216</v>
      </c>
      <c r="N8" s="707" t="n">
        <v>12.779778</v>
      </c>
      <c r="O8" s="707">
        <f>SUM(L8:N8)</f>
        <v/>
      </c>
      <c r="P8" s="707" t="n">
        <v>0</v>
      </c>
      <c r="Q8" s="707" t="n">
        <v>22785.2352</v>
      </c>
      <c r="R8" s="707" t="n">
        <v>13.774172</v>
      </c>
      <c r="S8" s="707">
        <f>SUM(P8:R8)</f>
        <v/>
      </c>
      <c r="T8" s="707" t="n">
        <v>41.2776</v>
      </c>
      <c r="U8" s="707" t="n">
        <v>0</v>
      </c>
      <c r="V8" s="707" t="n">
        <v>18.646322</v>
      </c>
      <c r="W8" s="707">
        <f>SUM(T8:V8)</f>
        <v/>
      </c>
      <c r="X8" s="707" t="n">
        <v>683.02396</v>
      </c>
      <c r="Y8" s="271">
        <f>SUM(K8+O8+S8+W8+X8)</f>
        <v/>
      </c>
      <c r="Z8" s="326">
        <f>IF(F8=0,"",K8/(F8/((YEAR(E8)*12+MONTH(E8))-(YEAR(D8)*12+MONTH(D8))+1)))</f>
        <v/>
      </c>
      <c r="AA8" s="326">
        <f>G8/F8</f>
        <v/>
      </c>
      <c r="AB8" s="708">
        <f>F8-G8</f>
        <v/>
      </c>
      <c r="AC8" s="513" t="n"/>
      <c r="AD8" s="513" t="n"/>
      <c r="AE8" s="513" t="n"/>
      <c r="AF8" s="706" t="inlineStr"/>
      <c r="AG8" s="706" t="inlineStr"/>
      <c r="AH8" s="706" t="inlineStr"/>
      <c r="AI8" s="706" t="inlineStr"/>
      <c r="AJ8" s="706" t="inlineStr"/>
    </row>
    <row r="9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1">
        <f>SUM(K9+O9+S9+W9+X9)</f>
        <v/>
      </c>
      <c r="Z9" s="335">
        <f>IF(F9=0,"",K9/(F9/((YEAR(E4)*12+MONTH(E4))-(YEAR(D4)*12+MONTH(D4))+1)))</f>
        <v/>
      </c>
      <c r="AA9" s="336">
        <f>G9/F9</f>
        <v/>
      </c>
      <c r="AB9" s="711">
        <f>F9-G9</f>
        <v/>
      </c>
      <c r="AC9" s="337">
        <f>AC4</f>
        <v/>
      </c>
      <c r="AD9" s="335">
        <f>Y9/AC4</f>
        <v/>
      </c>
      <c r="AE9" s="712">
        <f>AC4-Y9</f>
        <v/>
      </c>
      <c r="AF9" s="713" t="inlineStr"/>
      <c r="AG9" s="713" t="inlineStr"/>
      <c r="AH9" s="340" t="n">
        <v>46136</v>
      </c>
      <c r="AI9" s="713" t="inlineStr"/>
      <c r="AJ9" s="341">
        <f>(AD10-DATE(YEAR(AD10),1,1)+1)/AE9</f>
        <v/>
      </c>
    </row>
    <row r="10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21032.453755</v>
      </c>
      <c r="H10" s="703" t="n">
        <v>4233.38058</v>
      </c>
      <c r="I10" s="703" t="n">
        <v>0</v>
      </c>
      <c r="J10" s="703" t="n">
        <v>0</v>
      </c>
      <c r="K10" s="703">
        <f>SUM(H10:J10)</f>
        <v/>
      </c>
      <c r="L10" s="703" t="n">
        <v>2418.943367</v>
      </c>
      <c r="M10" s="703" t="n">
        <v>2443.706261</v>
      </c>
      <c r="N10" s="703" t="n">
        <v>88.105912</v>
      </c>
      <c r="O10" s="703">
        <f>SUM(L10:N10)</f>
        <v/>
      </c>
      <c r="P10" s="703" t="n">
        <v>2574.496213</v>
      </c>
      <c r="Q10" s="703" t="n">
        <v>2927.70165</v>
      </c>
      <c r="R10" s="703" t="n">
        <v>154.748145</v>
      </c>
      <c r="S10" s="703">
        <f>SUM(P10:R10)</f>
        <v/>
      </c>
      <c r="T10" s="703" t="n">
        <v>745.691219</v>
      </c>
      <c r="U10" s="703" t="n">
        <v>2330.36622</v>
      </c>
      <c r="V10" s="703" t="n">
        <v>72.478376</v>
      </c>
      <c r="W10" s="703">
        <f>SUM(T10:V10)</f>
        <v/>
      </c>
      <c r="X10" s="703" t="n">
        <v>3042.835811</v>
      </c>
      <c r="Y10" s="318">
        <f>SUM(K10+O10+S10+W10+X10)</f>
        <v/>
      </c>
      <c r="Z10" s="319">
        <f>IF(F10=0,"",K10/(F10/((YEAR(E10)*12+MONTH(E10))-(YEAR(D10)*12+MONTH(D10))+1)))</f>
        <v/>
      </c>
      <c r="AA10" s="319">
        <f>G10/F10</f>
        <v/>
      </c>
      <c r="AB10" s="704">
        <f>F10-G10</f>
        <v/>
      </c>
      <c r="AC10" s="321">
        <f>SUM(F10:F14)</f>
        <v/>
      </c>
      <c r="AD10" s="322">
        <f>AD15</f>
        <v/>
      </c>
      <c r="AE10" s="705">
        <f>AE15</f>
        <v/>
      </c>
      <c r="AF10" s="706" t="inlineStr"/>
      <c r="AG10" s="706" t="inlineStr"/>
      <c r="AH10" s="706" t="inlineStr"/>
      <c r="AI10" s="706" t="inlineStr"/>
      <c r="AJ10" s="706" t="inlineStr"/>
    </row>
    <row r="1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139.11456</v>
      </c>
      <c r="I11" s="707" t="n">
        <v>0</v>
      </c>
      <c r="J11" s="707" t="n">
        <v>0</v>
      </c>
      <c r="K11" s="707">
        <f>SUM(H11:J11)</f>
        <v/>
      </c>
      <c r="L11" s="707" t="n">
        <v>280.185418</v>
      </c>
      <c r="M11" s="707" t="n">
        <v>773.505646</v>
      </c>
      <c r="N11" s="707" t="n">
        <v>3.573146</v>
      </c>
      <c r="O11" s="707">
        <f>SUM(L11:N11)</f>
        <v/>
      </c>
      <c r="P11" s="707" t="n">
        <v>43.4733</v>
      </c>
      <c r="Q11" s="707" t="n">
        <v>0</v>
      </c>
      <c r="R11" s="707" t="n">
        <v>10.334614</v>
      </c>
      <c r="S11" s="707">
        <f>SUM(P11:R11)</f>
        <v/>
      </c>
      <c r="T11" s="707" t="n">
        <v>0</v>
      </c>
      <c r="U11" s="707" t="n">
        <v>0</v>
      </c>
      <c r="V11" s="707" t="n">
        <v>0</v>
      </c>
      <c r="W11" s="707">
        <f>SUM(T11:V11)</f>
        <v/>
      </c>
      <c r="X11" s="707" t="n">
        <v>0</v>
      </c>
      <c r="Y11" s="271">
        <f>SUM(K11+O11+S11+W11+X11)</f>
        <v/>
      </c>
      <c r="Z11" s="326">
        <f>IF(F11=0,"",K11/(F11/((YEAR(E11)*12+MONTH(E11))-(YEAR(D11)*12+MONTH(D11))+1)))</f>
        <v/>
      </c>
      <c r="AA11" s="326">
        <f>G11/F11</f>
        <v/>
      </c>
      <c r="AB11" s="708">
        <f>F11-G11</f>
        <v/>
      </c>
      <c r="AC11" s="500" t="n"/>
      <c r="AD11" s="500" t="n"/>
      <c r="AE11" s="500" t="n"/>
      <c r="AF11" s="706" t="inlineStr"/>
      <c r="AG11" s="706" t="inlineStr"/>
      <c r="AH11" s="706" t="inlineStr"/>
      <c r="AI11" s="706" t="inlineStr"/>
      <c r="AJ11" s="706" t="inlineStr"/>
    </row>
    <row r="12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16448.683443</v>
      </c>
      <c r="H12" s="707" t="n">
        <v>527.86032</v>
      </c>
      <c r="I12" s="707" t="n">
        <v>0</v>
      </c>
      <c r="J12" s="707" t="n">
        <v>0</v>
      </c>
      <c r="K12" s="707">
        <f>SUM(H12:J12)</f>
        <v/>
      </c>
      <c r="L12" s="707" t="n">
        <v>5719.894428</v>
      </c>
      <c r="M12" s="707" t="n">
        <v>0</v>
      </c>
      <c r="N12" s="707" t="n">
        <v>170.991639</v>
      </c>
      <c r="O12" s="707">
        <f>SUM(L12:N12)</f>
        <v/>
      </c>
      <c r="P12" s="707" t="n">
        <v>2659.960961</v>
      </c>
      <c r="Q12" s="707" t="n">
        <v>0</v>
      </c>
      <c r="R12" s="707" t="n">
        <v>743.622962</v>
      </c>
      <c r="S12" s="707">
        <f>SUM(P12:R12)</f>
        <v/>
      </c>
      <c r="T12" s="707" t="n">
        <v>0</v>
      </c>
      <c r="U12" s="707" t="n">
        <v>0</v>
      </c>
      <c r="V12" s="707" t="n">
        <v>144.157177</v>
      </c>
      <c r="W12" s="707">
        <f>SUM(T12:V12)</f>
        <v/>
      </c>
      <c r="X12" s="707" t="n">
        <v>6482.195956</v>
      </c>
      <c r="Y12" s="271">
        <f>SUM(K12+O12+S12+W12+X12)</f>
        <v/>
      </c>
      <c r="Z12" s="326">
        <f>IF(F12=0,"",K12/(F12/((YEAR(E12)*12+MONTH(E12))-(YEAR(D12)*12+MONTH(D12))+1)))</f>
        <v/>
      </c>
      <c r="AA12" s="326">
        <f>G12/F12</f>
        <v/>
      </c>
      <c r="AB12" s="708">
        <f>F12-G12</f>
        <v/>
      </c>
      <c r="AC12" s="500" t="n"/>
      <c r="AD12" s="500" t="n"/>
      <c r="AE12" s="500" t="n"/>
      <c r="AF12" s="706" t="inlineStr"/>
      <c r="AG12" s="706" t="inlineStr"/>
      <c r="AH12" s="706" t="inlineStr"/>
      <c r="AI12" s="706" t="inlineStr"/>
      <c r="AJ12" s="706" t="inlineStr"/>
    </row>
    <row r="13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1009.96038</v>
      </c>
      <c r="H13" s="707" t="n">
        <v>153.0243</v>
      </c>
      <c r="I13" s="707" t="n">
        <v>0</v>
      </c>
      <c r="J13" s="707" t="n">
        <v>0</v>
      </c>
      <c r="K13" s="707">
        <f>SUM(H13:J13)</f>
        <v/>
      </c>
      <c r="L13" s="707" t="n">
        <v>0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856.9360799999999</v>
      </c>
      <c r="R13" s="707" t="n">
        <v>0</v>
      </c>
      <c r="S13" s="707">
        <f>SUM(P13:R13)</f>
        <v/>
      </c>
      <c r="T13" s="707" t="n">
        <v>0</v>
      </c>
      <c r="U13" s="707" t="n">
        <v>0</v>
      </c>
      <c r="V13" s="707" t="n">
        <v>0</v>
      </c>
      <c r="W13" s="707">
        <f>SUM(T13:V13)</f>
        <v/>
      </c>
      <c r="X13" s="707" t="n">
        <v>0</v>
      </c>
      <c r="Y13" s="271">
        <f>SUM(K13+O13+S13+W13+X13)</f>
        <v/>
      </c>
      <c r="Z13" s="326">
        <f>IF(F13=0,"",K13/(F13/((YEAR(E13)*12+MONTH(E13))-(YEAR(D13)*12+MONTH(D13))+1)))</f>
        <v/>
      </c>
      <c r="AA13" s="326">
        <f>G13/F13</f>
        <v/>
      </c>
      <c r="AB13" s="708">
        <f>F13-G13</f>
        <v/>
      </c>
      <c r="AC13" s="500" t="n"/>
      <c r="AD13" s="500" t="n"/>
      <c r="AE13" s="500" t="n"/>
      <c r="AF13" s="706" t="inlineStr"/>
      <c r="AG13" s="706" t="inlineStr"/>
      <c r="AH13" s="706" t="inlineStr"/>
      <c r="AI13" s="706" t="inlineStr"/>
      <c r="AJ13" s="706" t="inlineStr"/>
    </row>
    <row r="14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9640.789008</v>
      </c>
      <c r="H14" s="707" t="n">
        <v>988.28496</v>
      </c>
      <c r="I14" s="707" t="n">
        <v>0</v>
      </c>
      <c r="J14" s="707" t="n">
        <v>0</v>
      </c>
      <c r="K14" s="707">
        <f>SUM(H14:J14)</f>
        <v/>
      </c>
      <c r="L14" s="707" t="n">
        <v>3291.566745</v>
      </c>
      <c r="M14" s="707" t="n">
        <v>0</v>
      </c>
      <c r="N14" s="707" t="n">
        <v>133.306062</v>
      </c>
      <c r="O14" s="707">
        <f>SUM(L14:N14)</f>
        <v/>
      </c>
      <c r="P14" s="707" t="n">
        <v>3556.620439</v>
      </c>
      <c r="Q14" s="707" t="n">
        <v>0</v>
      </c>
      <c r="R14" s="707" t="n">
        <v>446.103228</v>
      </c>
      <c r="S14" s="707">
        <f>SUM(P14:R14)</f>
        <v/>
      </c>
      <c r="T14" s="707" t="n">
        <v>1054.327266</v>
      </c>
      <c r="U14" s="707" t="n">
        <v>0</v>
      </c>
      <c r="V14" s="707" t="n">
        <v>170.580309</v>
      </c>
      <c r="W14" s="707">
        <f>SUM(T14:V14)</f>
        <v/>
      </c>
      <c r="X14" s="707" t="n">
        <v>692.512431</v>
      </c>
      <c r="Y14" s="271">
        <f>SUM(K14+O14+S14+W14+X14)</f>
        <v/>
      </c>
      <c r="Z14" s="326">
        <f>IF(F14=0,"",K14/(F14/((YEAR(E14)*12+MONTH(E14))-(YEAR(D14)*12+MONTH(D14))+1)))</f>
        <v/>
      </c>
      <c r="AA14" s="326">
        <f>G14/F14</f>
        <v/>
      </c>
      <c r="AB14" s="708">
        <f>F14-G14</f>
        <v/>
      </c>
      <c r="AC14" s="513" t="n"/>
      <c r="AD14" s="513" t="n"/>
      <c r="AE14" s="513" t="n"/>
      <c r="AF14" s="706" t="inlineStr"/>
      <c r="AG14" s="706" t="inlineStr"/>
      <c r="AH14" s="706" t="inlineStr"/>
      <c r="AI14" s="706" t="inlineStr"/>
      <c r="AJ14" s="706" t="inlineStr"/>
    </row>
    <row r="15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1">
        <f>SUM(K15+O15+S15+W15+X15)</f>
        <v/>
      </c>
      <c r="Z15" s="335">
        <f>IF(F15=0,"",K15/(F15/((YEAR(E10)*12+MONTH(E10))-(YEAR(D10)*12+MONTH(D10))+1)))</f>
        <v/>
      </c>
      <c r="AA15" s="336">
        <f>G15/F15</f>
        <v/>
      </c>
      <c r="AB15" s="711">
        <f>F15-G15</f>
        <v/>
      </c>
      <c r="AC15" s="337">
        <f>AC10</f>
        <v/>
      </c>
      <c r="AD15" s="335">
        <f>Y15/AC10</f>
        <v/>
      </c>
      <c r="AE15" s="712">
        <f>AC10-Y15</f>
        <v/>
      </c>
      <c r="AF15" s="713" t="inlineStr"/>
      <c r="AG15" s="713" t="inlineStr"/>
      <c r="AH15" s="713" t="inlineStr"/>
      <c r="AI15" s="713" t="inlineStr"/>
      <c r="AJ15" s="713" t="inlineStr"/>
    </row>
    <row r="16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9113.430361000001</v>
      </c>
      <c r="H16" s="703" t="n">
        <v>1775.62125</v>
      </c>
      <c r="I16" s="703" t="n">
        <v>0</v>
      </c>
      <c r="J16" s="703" t="n">
        <v>0</v>
      </c>
      <c r="K16" s="703">
        <f>SUM(H16:J16)</f>
        <v/>
      </c>
      <c r="L16" s="703" t="n">
        <v>2171.402323</v>
      </c>
      <c r="M16" s="703" t="n">
        <v>0</v>
      </c>
      <c r="N16" s="703" t="n">
        <v>14.593625</v>
      </c>
      <c r="O16" s="703">
        <f>SUM(L16:N16)</f>
        <v/>
      </c>
      <c r="P16" s="703" t="n">
        <v>1305.1575</v>
      </c>
      <c r="Q16" s="703" t="n">
        <v>1178.4864</v>
      </c>
      <c r="R16" s="703" t="n">
        <v>22.441342</v>
      </c>
      <c r="S16" s="703">
        <f>SUM(P16:R16)</f>
        <v/>
      </c>
      <c r="T16" s="703" t="n">
        <v>0</v>
      </c>
      <c r="U16" s="703" t="n">
        <v>0</v>
      </c>
      <c r="V16" s="703" t="n">
        <v>15.177921</v>
      </c>
      <c r="W16" s="703">
        <f>SUM(T16:V16)</f>
        <v/>
      </c>
      <c r="X16" s="703" t="n">
        <v>2630.55</v>
      </c>
      <c r="Y16" s="318">
        <f>SUM(K16+O16+S16+W16+X16)</f>
        <v/>
      </c>
      <c r="Z16" s="319">
        <f>IF(F16=0,"",K16/(F16/((YEAR(E16)*12+MONTH(E16))-(YEAR(D16)*12+MONTH(D16))+1)))</f>
        <v/>
      </c>
      <c r="AA16" s="319">
        <f>G16/F16</f>
        <v/>
      </c>
      <c r="AB16" s="704">
        <f>F16-G16</f>
        <v/>
      </c>
      <c r="AC16" s="321">
        <f>SUM(F16:F18)</f>
        <v/>
      </c>
      <c r="AD16" s="322">
        <f>AD19</f>
        <v/>
      </c>
      <c r="AE16" s="705">
        <f>AE19</f>
        <v/>
      </c>
      <c r="AF16" s="706" t="inlineStr"/>
      <c r="AG16" s="706" t="inlineStr"/>
      <c r="AH16" s="706" t="inlineStr"/>
      <c r="AI16" s="706" t="inlineStr"/>
      <c r="AJ16" s="706" t="inlineStr"/>
    </row>
    <row r="17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2.058637</v>
      </c>
      <c r="O17" s="707">
        <f>SUM(L17:N17)</f>
        <v/>
      </c>
      <c r="P17" s="707" t="n">
        <v>0</v>
      </c>
      <c r="Q17" s="707" t="n">
        <v>0</v>
      </c>
      <c r="R17" s="707" t="n">
        <v>3.23046</v>
      </c>
      <c r="S17" s="707">
        <f>SUM(P17:R17)</f>
        <v/>
      </c>
      <c r="T17" s="707" t="n">
        <v>25.0224</v>
      </c>
      <c r="U17" s="707" t="n">
        <v>1050.9408</v>
      </c>
      <c r="V17" s="707" t="n">
        <v>3.667668</v>
      </c>
      <c r="W17" s="707">
        <f>SUM(T17:V17)</f>
        <v/>
      </c>
      <c r="X17" s="707" t="n">
        <v>125.112</v>
      </c>
      <c r="Y17" s="271">
        <f>SUM(K17+O17+S17+W17+X17)</f>
        <v/>
      </c>
      <c r="Z17" s="326">
        <f>IF(F17=0,"",K17/(F17/((YEAR(E17)*12+MONTH(E17))-(YEAR(D17)*12+MONTH(D17))+1)))</f>
        <v/>
      </c>
      <c r="AA17" s="326">
        <f>G17/F17</f>
        <v/>
      </c>
      <c r="AB17" s="708">
        <f>F17-G17</f>
        <v/>
      </c>
      <c r="AC17" s="500" t="n"/>
      <c r="AD17" s="500" t="n"/>
      <c r="AE17" s="500" t="n"/>
      <c r="AF17" s="706" t="inlineStr"/>
      <c r="AG17" s="706" t="inlineStr"/>
      <c r="AH17" s="706" t="inlineStr"/>
      <c r="AI17" s="706" t="inlineStr"/>
      <c r="AJ17" s="706" t="inlineStr"/>
    </row>
    <row r="18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28401.955689</v>
      </c>
      <c r="H18" s="707" t="n">
        <v>1226.137124</v>
      </c>
      <c r="I18" s="707" t="n">
        <v>1822.72194</v>
      </c>
      <c r="J18" s="707" t="n">
        <v>0</v>
      </c>
      <c r="K18" s="707">
        <f>SUM(H18:J18)</f>
        <v/>
      </c>
      <c r="L18" s="707" t="n">
        <v>2425.111949</v>
      </c>
      <c r="M18" s="707" t="n">
        <v>0</v>
      </c>
      <c r="N18" s="707" t="n">
        <v>263.174864</v>
      </c>
      <c r="O18" s="707">
        <f>SUM(L18:N18)</f>
        <v/>
      </c>
      <c r="P18" s="707" t="n">
        <v>3406.959578</v>
      </c>
      <c r="Q18" s="707" t="n">
        <v>14793.1056</v>
      </c>
      <c r="R18" s="707" t="n">
        <v>606.358521</v>
      </c>
      <c r="S18" s="707">
        <f>SUM(P18:R18)</f>
        <v/>
      </c>
      <c r="T18" s="707" t="n">
        <v>3557.362586</v>
      </c>
      <c r="U18" s="707" t="n">
        <v>0</v>
      </c>
      <c r="V18" s="707" t="n">
        <v>301.023526</v>
      </c>
      <c r="W18" s="707">
        <f>SUM(T18:V18)</f>
        <v/>
      </c>
      <c r="X18" s="707" t="n">
        <v>8988.571889000001</v>
      </c>
      <c r="Y18" s="271">
        <f>SUM(K18+O18+S18+W18+X18)</f>
        <v/>
      </c>
      <c r="Z18" s="326">
        <f>IF(F18=0,"",K18/(F18/((YEAR(E18)*12+MONTH(E18))-(YEAR(D18)*12+MONTH(D18))+1)))</f>
        <v/>
      </c>
      <c r="AA18" s="326">
        <f>G18/F18</f>
        <v/>
      </c>
      <c r="AB18" s="708">
        <f>F18-G18</f>
        <v/>
      </c>
      <c r="AC18" s="513" t="n"/>
      <c r="AD18" s="513" t="n"/>
      <c r="AE18" s="513" t="n"/>
      <c r="AF18" s="706" t="inlineStr"/>
      <c r="AG18" s="706" t="inlineStr"/>
      <c r="AH18" s="706" t="inlineStr"/>
      <c r="AI18" s="706" t="inlineStr"/>
      <c r="AJ18" s="706" t="inlineStr"/>
    </row>
    <row r="19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SUM(F16:F18)</f>
        <v/>
      </c>
      <c r="G19" s="710">
        <f>SUM(G16:G18)</f>
        <v/>
      </c>
      <c r="H19" s="710">
        <f>SUM(H16:H18)</f>
        <v/>
      </c>
      <c r="I19" s="710">
        <f>SUM(I16:I18)</f>
        <v/>
      </c>
      <c r="J19" s="710">
        <f>SUM(J16:J18)</f>
        <v/>
      </c>
      <c r="K19" s="710">
        <f>SUM(K16:K18)</f>
        <v/>
      </c>
      <c r="L19" s="710">
        <f>SUM(L16:L18)</f>
        <v/>
      </c>
      <c r="M19" s="710">
        <f>SUM(M16:M18)</f>
        <v/>
      </c>
      <c r="N19" s="710">
        <f>SUM(N16:N18)</f>
        <v/>
      </c>
      <c r="O19" s="710">
        <f>SUM(O16:O18)</f>
        <v/>
      </c>
      <c r="P19" s="710">
        <f>SUM(P16:P18)</f>
        <v/>
      </c>
      <c r="Q19" s="710">
        <f>SUM(Q16:Q18)</f>
        <v/>
      </c>
      <c r="R19" s="710">
        <f>SUM(R16:R18)</f>
        <v/>
      </c>
      <c r="S19" s="710">
        <f>SUM(S16:S18)</f>
        <v/>
      </c>
      <c r="T19" s="710">
        <f>SUM(T16:T18)</f>
        <v/>
      </c>
      <c r="U19" s="710">
        <f>SUM(U16:U18)</f>
        <v/>
      </c>
      <c r="V19" s="710">
        <f>SUM(V16:V18)</f>
        <v/>
      </c>
      <c r="W19" s="710">
        <f>SUM(W16:W18)</f>
        <v/>
      </c>
      <c r="X19" s="710">
        <f>SUM(X16:X18)</f>
        <v/>
      </c>
      <c r="Y19" s="711">
        <f>SUM(K19+O19+S19+W19+X19)</f>
        <v/>
      </c>
      <c r="Z19" s="335">
        <f>IF(F19=0,"",K19/(F19/((YEAR(E16)*12+MONTH(E16))-(YEAR(D16)*12+MONTH(D16))+1)))</f>
        <v/>
      </c>
      <c r="AA19" s="336">
        <f>G19/F19</f>
        <v/>
      </c>
      <c r="AB19" s="711">
        <f>F19-G19</f>
        <v/>
      </c>
      <c r="AC19" s="337">
        <f>AC16</f>
        <v/>
      </c>
      <c r="AD19" s="335">
        <f>Y19/AC16</f>
        <v/>
      </c>
      <c r="AE19" s="712">
        <f>AC16-Y19</f>
        <v/>
      </c>
      <c r="AF19" s="713" t="inlineStr"/>
      <c r="AG19" s="713" t="inlineStr"/>
      <c r="AH19" s="713" t="inlineStr"/>
      <c r="AI19" s="713" t="inlineStr"/>
      <c r="AJ19" s="713" t="inlineStr"/>
    </row>
    <row r="20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305.526</v>
      </c>
      <c r="I20" s="703" t="n">
        <v>0</v>
      </c>
      <c r="J20" s="703" t="n">
        <v>0</v>
      </c>
      <c r="K20" s="703">
        <f>SUM(H20:J20)</f>
        <v/>
      </c>
      <c r="L20" s="703" t="n">
        <v>0</v>
      </c>
      <c r="M20" s="703" t="n">
        <v>0</v>
      </c>
      <c r="N20" s="703" t="n">
        <v>0</v>
      </c>
      <c r="O20" s="703">
        <f>SUM(L20:N20)</f>
        <v/>
      </c>
      <c r="P20" s="703" t="n">
        <v>0</v>
      </c>
      <c r="Q20" s="703" t="n">
        <v>0</v>
      </c>
      <c r="R20" s="703" t="n">
        <v>32.04495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318">
        <f>SUM(K20+O20+S20+W20+X20)</f>
        <v/>
      </c>
      <c r="Z20" s="319">
        <f>IF(F20=0,"",K20/(F20/((YEAR(E20)*12+MONTH(E20))-(YEAR(D20)*12+MONTH(D20))+1)))</f>
        <v/>
      </c>
      <c r="AA20" s="319">
        <f>G20/F20</f>
        <v/>
      </c>
      <c r="AB20" s="704">
        <f>F20-G20</f>
        <v/>
      </c>
      <c r="AC20" s="321">
        <f>SUM(F20:F22)</f>
        <v/>
      </c>
      <c r="AD20" s="322">
        <f>AD23</f>
        <v/>
      </c>
      <c r="AE20" s="705">
        <f>AE23</f>
        <v/>
      </c>
      <c r="AF20" s="706" t="inlineStr"/>
      <c r="AG20" s="706" t="inlineStr"/>
      <c r="AH20" s="706" t="inlineStr"/>
      <c r="AI20" s="706" t="inlineStr"/>
      <c r="AJ20" s="706" t="inlineStr"/>
    </row>
    <row r="2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5394.786666</v>
      </c>
      <c r="H21" s="707" t="n">
        <v>494.115336</v>
      </c>
      <c r="I21" s="707" t="n">
        <v>0</v>
      </c>
      <c r="J21" s="707" t="n">
        <v>0</v>
      </c>
      <c r="K21" s="707">
        <f>SUM(H21:J21)</f>
        <v/>
      </c>
      <c r="L21" s="707" t="n">
        <v>0</v>
      </c>
      <c r="M21" s="707" t="n">
        <v>0</v>
      </c>
      <c r="N21" s="707" t="n">
        <v>37.443523</v>
      </c>
      <c r="O21" s="707">
        <f>SUM(L21:N21)</f>
        <v/>
      </c>
      <c r="P21" s="707" t="n">
        <v>198.1746</v>
      </c>
      <c r="Q21" s="707" t="n">
        <v>0</v>
      </c>
      <c r="R21" s="707" t="n">
        <v>29.640215</v>
      </c>
      <c r="S21" s="707">
        <f>SUM(P21:R21)</f>
        <v/>
      </c>
      <c r="T21" s="707" t="n">
        <v>0.8469</v>
      </c>
      <c r="U21" s="707" t="n">
        <v>4558.0158</v>
      </c>
      <c r="V21" s="707" t="n">
        <v>19.389048</v>
      </c>
      <c r="W21" s="707">
        <f>SUM(T21:V21)</f>
        <v/>
      </c>
      <c r="X21" s="707" t="n">
        <v>21.644177</v>
      </c>
      <c r="Y21" s="271">
        <f>SUM(K21+O21+S21+W21+X21)</f>
        <v/>
      </c>
      <c r="Z21" s="326">
        <f>IF(F21=0,"",K21/(F21/((YEAR(E21)*12+MONTH(E21))-(YEAR(D21)*12+MONTH(D21))+1)))</f>
        <v/>
      </c>
      <c r="AA21" s="326">
        <f>G21/F21</f>
        <v/>
      </c>
      <c r="AB21" s="708">
        <f>F21-G21</f>
        <v/>
      </c>
      <c r="AC21" s="500" t="n"/>
      <c r="AD21" s="500" t="n"/>
      <c r="AE21" s="500" t="n"/>
      <c r="AF21" s="706" t="inlineStr"/>
      <c r="AG21" s="706" t="inlineStr"/>
      <c r="AH21" s="706" t="inlineStr"/>
      <c r="AI21" s="706" t="inlineStr"/>
      <c r="AJ21" s="706" t="inlineStr"/>
    </row>
    <row r="22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10893.358486</v>
      </c>
      <c r="H22" s="707" t="n">
        <v>2148.80796</v>
      </c>
      <c r="I22" s="707" t="n">
        <v>0</v>
      </c>
      <c r="J22" s="707" t="n">
        <v>0</v>
      </c>
      <c r="K22" s="707">
        <f>SUM(H22:J22)</f>
        <v/>
      </c>
      <c r="L22" s="707" t="n">
        <v>1832.902273</v>
      </c>
      <c r="M22" s="707" t="n">
        <v>0</v>
      </c>
      <c r="N22" s="707" t="n">
        <v>110.962682</v>
      </c>
      <c r="O22" s="707">
        <f>SUM(L22:N22)</f>
        <v/>
      </c>
      <c r="P22" s="707" t="n">
        <v>220.16475</v>
      </c>
      <c r="Q22" s="707" t="n">
        <v>0</v>
      </c>
      <c r="R22" s="707" t="n">
        <v>154.524295</v>
      </c>
      <c r="S22" s="707">
        <f>SUM(P22:R22)</f>
        <v/>
      </c>
      <c r="T22" s="707" t="n">
        <v>3847.561596</v>
      </c>
      <c r="U22" s="707" t="n">
        <v>0</v>
      </c>
      <c r="V22" s="707" t="n">
        <v>38.370126</v>
      </c>
      <c r="W22" s="707">
        <f>SUM(T22:V22)</f>
        <v/>
      </c>
      <c r="X22" s="707" t="n">
        <v>2540.064804</v>
      </c>
      <c r="Y22" s="271">
        <f>SUM(K22+O22+S22+W22+X22)</f>
        <v/>
      </c>
      <c r="Z22" s="326">
        <f>IF(F22=0,"",K22/(F22/((YEAR(E22)*12+MONTH(E22))-(YEAR(D22)*12+MONTH(D22))+1)))</f>
        <v/>
      </c>
      <c r="AA22" s="326">
        <f>G22/F22</f>
        <v/>
      </c>
      <c r="AB22" s="708">
        <f>F22-G22</f>
        <v/>
      </c>
      <c r="AC22" s="513" t="n"/>
      <c r="AD22" s="513" t="n"/>
      <c r="AE22" s="513" t="n"/>
      <c r="AF22" s="706" t="inlineStr"/>
      <c r="AG22" s="706" t="inlineStr"/>
      <c r="AH22" s="706" t="inlineStr"/>
      <c r="AI22" s="706" t="inlineStr"/>
      <c r="AJ22" s="706" t="inlineStr"/>
    </row>
    <row r="23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333">
        <f>SUM(K23+O23+S23+W23+X23)</f>
        <v/>
      </c>
      <c r="Z23" s="335">
        <f>IF(F23=0,"",K23/(F23/((YEAR(E20)*12+MONTH(E20))-(YEAR(D20)*12+MONTH(D20))+1)))</f>
        <v/>
      </c>
      <c r="AA23" s="336">
        <f>G23/F23</f>
        <v/>
      </c>
      <c r="AB23" s="715">
        <f>F23-G23</f>
        <v/>
      </c>
      <c r="AC23" s="337">
        <f>AC20</f>
        <v/>
      </c>
      <c r="AD23" s="335">
        <f>Y23/AC20</f>
        <v/>
      </c>
      <c r="AE23" s="712">
        <f>AC20-Y23</f>
        <v/>
      </c>
      <c r="AF23" s="713" t="inlineStr"/>
      <c r="AG23" s="713" t="inlineStr"/>
      <c r="AH23" s="713" t="inlineStr"/>
      <c r="AI23" s="713" t="inlineStr"/>
      <c r="AJ23" s="713" t="inlineStr"/>
    </row>
    <row r="24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4290.002066</v>
      </c>
      <c r="H24" s="703" t="n">
        <v>0</v>
      </c>
      <c r="I24" s="703" t="n">
        <v>0</v>
      </c>
      <c r="J24" s="703" t="n">
        <v>0</v>
      </c>
      <c r="K24" s="703">
        <f>SUM(H24:J24)</f>
        <v/>
      </c>
      <c r="L24" s="703" t="n">
        <v>88.54274700000001</v>
      </c>
      <c r="M24" s="703" t="n">
        <v>0</v>
      </c>
      <c r="N24" s="703" t="n">
        <v>616.124389</v>
      </c>
      <c r="O24" s="703">
        <f>SUM(L24:N24)</f>
        <v/>
      </c>
      <c r="P24" s="703" t="n">
        <v>50.830377</v>
      </c>
      <c r="Q24" s="703" t="n">
        <v>0</v>
      </c>
      <c r="R24" s="703" t="n">
        <v>791.318135</v>
      </c>
      <c r="S24" s="703">
        <f>SUM(P24:R24)</f>
        <v/>
      </c>
      <c r="T24" s="703" t="n">
        <v>153.11976</v>
      </c>
      <c r="U24" s="703" t="n">
        <v>0</v>
      </c>
      <c r="V24" s="703" t="n">
        <v>560.548117</v>
      </c>
      <c r="W24" s="703">
        <f>SUM(T24:V24)</f>
        <v/>
      </c>
      <c r="X24" s="703" t="n">
        <v>2029.518541</v>
      </c>
      <c r="Y24" s="724">
        <f>SUM(K24+O24+S24+W24+X24)</f>
        <v/>
      </c>
      <c r="Z24" s="319">
        <f>IF(F24=0,"",K24/(F24/((YEAR(E24)*12+MONTH(E24))-(YEAR(D24)*12+MONTH(D24))+1)))</f>
        <v/>
      </c>
      <c r="AA24" s="319">
        <f>G24/F24</f>
        <v/>
      </c>
      <c r="AB24" s="724">
        <f>F24-G24</f>
        <v/>
      </c>
      <c r="AC24" s="321">
        <f>SUM(F24:F26)</f>
        <v/>
      </c>
      <c r="AD24" s="322">
        <f>AD27</f>
        <v/>
      </c>
      <c r="AE24" s="725">
        <f>AE27</f>
        <v/>
      </c>
      <c r="AF24" s="706" t="inlineStr"/>
      <c r="AG24" s="706" t="inlineStr"/>
      <c r="AH24" s="706" t="inlineStr"/>
      <c r="AI24" s="706" t="inlineStr"/>
      <c r="AJ24" s="706" t="inlineStr"/>
    </row>
    <row r="25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私人财富管理资深顾问PWA2-3</t>
        </is>
      </c>
      <c r="D25" s="676" t="n">
        <v>45943</v>
      </c>
      <c r="E25" s="676" t="n">
        <v>46124</v>
      </c>
      <c r="F25" s="707" t="n">
        <v>6847</v>
      </c>
      <c r="G25" s="707" t="n">
        <v>1138.55362</v>
      </c>
      <c r="H25" s="707" t="n">
        <v>0</v>
      </c>
      <c r="I25" s="707" t="n">
        <v>3685.0554</v>
      </c>
      <c r="J25" s="707" t="n">
        <v>0</v>
      </c>
      <c r="K25" s="707">
        <f>SUM(H25:J25)</f>
        <v/>
      </c>
      <c r="L25" s="707" t="n">
        <v>137.257846</v>
      </c>
      <c r="M25" s="707" t="n">
        <v>0</v>
      </c>
      <c r="N25" s="707" t="n">
        <v>14.759064</v>
      </c>
      <c r="O25" s="707">
        <f>SUM(L25:N25)</f>
        <v/>
      </c>
      <c r="P25" s="707" t="n">
        <v>0</v>
      </c>
      <c r="Q25" s="707" t="n">
        <v>0</v>
      </c>
      <c r="R25" s="707" t="n">
        <v>2.181886</v>
      </c>
      <c r="S25" s="707">
        <f>SUM(P25:R25)</f>
        <v/>
      </c>
      <c r="T25" s="707" t="n">
        <v>0</v>
      </c>
      <c r="U25" s="707" t="n">
        <v>0</v>
      </c>
      <c r="V25" s="707" t="n">
        <v>1.481485</v>
      </c>
      <c r="W25" s="707">
        <f>SUM(T25:V25)</f>
        <v/>
      </c>
      <c r="X25" s="707" t="n">
        <v>66.75825</v>
      </c>
      <c r="Y25" s="271">
        <f>SUM(K25+O25+S25+W25+X25)</f>
        <v/>
      </c>
      <c r="Z25" s="326">
        <f>IF(F25=0,"",K25/(F25/((YEAR(E25)*12+MONTH(E25))-(YEAR(D25)*12+MONTH(D25))+1)))</f>
        <v/>
      </c>
      <c r="AA25" s="326">
        <f>G25/F25</f>
        <v/>
      </c>
      <c r="AB25" s="708">
        <f>F25-G25</f>
        <v/>
      </c>
      <c r="AC25" s="500" t="n"/>
      <c r="AD25" s="500" t="n"/>
      <c r="AE25" s="500" t="n"/>
      <c r="AF25" s="706" t="inlineStr"/>
      <c r="AG25" s="706" t="inlineStr"/>
      <c r="AH25" s="706" t="inlineStr"/>
      <c r="AI25" s="706" t="inlineStr"/>
      <c r="AJ25" s="706" t="inlineStr"/>
    </row>
    <row r="26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25936.313249</v>
      </c>
      <c r="H26" s="707" t="n">
        <v>2015.61627</v>
      </c>
      <c r="I26" s="707" t="n">
        <v>0</v>
      </c>
      <c r="J26" s="707" t="n">
        <v>0</v>
      </c>
      <c r="K26" s="707">
        <f>SUM(H26:J26)</f>
        <v/>
      </c>
      <c r="L26" s="707" t="n">
        <v>-6272.243033</v>
      </c>
      <c r="M26" s="707" t="n">
        <v>0</v>
      </c>
      <c r="N26" s="707" t="n">
        <v>210.102519</v>
      </c>
      <c r="O26" s="707">
        <f>SUM(L26:N26)</f>
        <v/>
      </c>
      <c r="P26" s="707" t="n">
        <v>2164.476574</v>
      </c>
      <c r="Q26" s="707" t="n">
        <v>0</v>
      </c>
      <c r="R26" s="707" t="n">
        <v>365.27682</v>
      </c>
      <c r="S26" s="707">
        <f>SUM(P26:R26)</f>
        <v/>
      </c>
      <c r="T26" s="707" t="n">
        <v>2346.171162</v>
      </c>
      <c r="U26" s="707" t="n">
        <v>0</v>
      </c>
      <c r="V26" s="707" t="n">
        <v>187.41719</v>
      </c>
      <c r="W26" s="707">
        <f>SUM(T26:V26)</f>
        <v/>
      </c>
      <c r="X26" s="707" t="n">
        <v>24919.495747</v>
      </c>
      <c r="Y26" s="271">
        <f>SUM(K26+O26+S26+W26+X26)</f>
        <v/>
      </c>
      <c r="Z26" s="326">
        <f>IF(F26=0,"",K26/(F26/((YEAR(E26)*12+MONTH(E26))-(YEAR(D26)*12+MONTH(D26))+1)))</f>
        <v/>
      </c>
      <c r="AA26" s="326">
        <f>G26/F26</f>
        <v/>
      </c>
      <c r="AB26" s="708">
        <f>F26-G26</f>
        <v/>
      </c>
      <c r="AC26" s="513" t="n"/>
      <c r="AD26" s="513" t="n"/>
      <c r="AE26" s="513" t="n"/>
      <c r="AF26" s="706" t="inlineStr"/>
      <c r="AG26" s="706" t="inlineStr"/>
      <c r="AH26" s="706" t="inlineStr"/>
      <c r="AI26" s="706" t="inlineStr"/>
      <c r="AJ26" s="706" t="inlineStr"/>
    </row>
    <row r="27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333">
        <f>SUM(K27+O27+S27+W27+X27)</f>
        <v/>
      </c>
      <c r="Z27" s="335">
        <f>IF(F27=0,"",K27/(F27/((YEAR(E24)*12+MONTH(E24))-(YEAR(D24)*12+MONTH(D24))+1)))</f>
        <v/>
      </c>
      <c r="AA27" s="336">
        <f>G27/F27</f>
        <v/>
      </c>
      <c r="AB27" s="715">
        <f>F27-G27</f>
        <v/>
      </c>
      <c r="AC27" s="337">
        <f>AC24</f>
        <v/>
      </c>
      <c r="AD27" s="335">
        <f>Y27/AC24</f>
        <v/>
      </c>
      <c r="AE27" s="712">
        <f>AC24-Y27</f>
        <v/>
      </c>
      <c r="AF27" s="713" t="inlineStr"/>
      <c r="AG27" s="713" t="inlineStr"/>
      <c r="AH27" s="713" t="inlineStr"/>
      <c r="AI27" s="713" t="inlineStr"/>
      <c r="AJ27" s="713" t="inlineStr"/>
    </row>
    <row r="28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176.114154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0</v>
      </c>
      <c r="M28" s="703" t="n">
        <v>0</v>
      </c>
      <c r="N28" s="703" t="n">
        <v>25.715569</v>
      </c>
      <c r="O28" s="703">
        <f>SUM(L28:N28)</f>
        <v/>
      </c>
      <c r="P28" s="703" t="n">
        <v>103.23148</v>
      </c>
      <c r="Q28" s="703" t="n">
        <v>0</v>
      </c>
      <c r="R28" s="703" t="n">
        <v>47.167105</v>
      </c>
      <c r="S28" s="703">
        <f>SUM(P28:R28)</f>
        <v/>
      </c>
      <c r="T28" s="703" t="n">
        <v>51.706393</v>
      </c>
      <c r="U28" s="703" t="n">
        <v>90.204069</v>
      </c>
      <c r="V28" s="703" t="n">
        <v>16.925117</v>
      </c>
      <c r="W28" s="703">
        <f>SUM(T28:V28)</f>
        <v/>
      </c>
      <c r="X28" s="703" t="n">
        <v>193.330405</v>
      </c>
      <c r="Y28" s="724">
        <f>SUM(K28+O28+S28+W28+X28)</f>
        <v/>
      </c>
      <c r="Z28" s="319">
        <f>IF(F28=0,"",K28/(F28/((YEAR(E28)*12+MONTH(E28))-(YEAR(D28)*12+MONTH(D28))+1)))</f>
        <v/>
      </c>
      <c r="AA28" s="319">
        <f>G28/F28</f>
        <v/>
      </c>
      <c r="AB28" s="724">
        <f>F28-G28</f>
        <v/>
      </c>
      <c r="AC28" s="321">
        <f>SUM(F28:F30)</f>
        <v/>
      </c>
      <c r="AD28" s="322">
        <f>AD31</f>
        <v/>
      </c>
      <c r="AE28" s="725">
        <f>AE31</f>
        <v/>
      </c>
      <c r="AF28" s="706" t="inlineStr"/>
      <c r="AG28" s="706" t="inlineStr"/>
      <c r="AH28" s="706" t="inlineStr"/>
      <c r="AI28" s="706" t="inlineStr"/>
      <c r="AJ28" s="706" t="inlineStr"/>
    </row>
    <row r="29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32567.275524</v>
      </c>
      <c r="H29" s="707" t="n">
        <v>536.6088</v>
      </c>
      <c r="I29" s="707" t="n">
        <v>0</v>
      </c>
      <c r="J29" s="707" t="n">
        <v>0</v>
      </c>
      <c r="K29" s="707">
        <f>SUM(H29:J29)</f>
        <v/>
      </c>
      <c r="L29" s="707" t="n">
        <v>1108.359514</v>
      </c>
      <c r="M29" s="707" t="n">
        <v>20570.004</v>
      </c>
      <c r="N29" s="707" t="n">
        <v>273.088373</v>
      </c>
      <c r="O29" s="707">
        <f>SUM(L29:N29)</f>
        <v/>
      </c>
      <c r="P29" s="707" t="n">
        <v>3314.503374</v>
      </c>
      <c r="Q29" s="707" t="n">
        <v>0</v>
      </c>
      <c r="R29" s="707" t="n">
        <v>699.48968</v>
      </c>
      <c r="S29" s="707">
        <f>SUM(P29:R29)</f>
        <v/>
      </c>
      <c r="T29" s="707" t="n">
        <v>4769.379014</v>
      </c>
      <c r="U29" s="707" t="n">
        <v>0</v>
      </c>
      <c r="V29" s="707" t="n">
        <v>225.874626</v>
      </c>
      <c r="W29" s="707">
        <f>SUM(T29:V29)</f>
        <v/>
      </c>
      <c r="X29" s="707" t="n">
        <v>1069.968142</v>
      </c>
      <c r="Y29" s="271">
        <f>SUM(K29+O29+S29+W29+X29)</f>
        <v/>
      </c>
      <c r="Z29" s="326">
        <f>IF(F29=0,"",K29/(F29/((YEAR(E29)*12+MONTH(E29))-(YEAR(D29)*12+MONTH(D29))+1)))</f>
        <v/>
      </c>
      <c r="AA29" s="326">
        <f>G29/F29</f>
        <v/>
      </c>
      <c r="AB29" s="708">
        <f>F29-G29</f>
        <v/>
      </c>
      <c r="AC29" s="500" t="n"/>
      <c r="AD29" s="500" t="n"/>
      <c r="AE29" s="500" t="n"/>
      <c r="AF29" s="706" t="inlineStr"/>
      <c r="AG29" s="706" t="inlineStr"/>
      <c r="AH29" s="706" t="inlineStr"/>
      <c r="AI29" s="706" t="inlineStr"/>
      <c r="AJ29" s="706" t="inlineStr"/>
    </row>
    <row r="30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14370.202881</v>
      </c>
      <c r="H30" s="707" t="n">
        <v>994.77807</v>
      </c>
      <c r="I30" s="707" t="n">
        <v>0</v>
      </c>
      <c r="J30" s="707" t="n">
        <v>0</v>
      </c>
      <c r="K30" s="707">
        <f>SUM(H30:J30)</f>
        <v/>
      </c>
      <c r="L30" s="707" t="n">
        <v>949.2912</v>
      </c>
      <c r="M30" s="707" t="n">
        <v>0</v>
      </c>
      <c r="N30" s="707" t="n">
        <v>144.291309</v>
      </c>
      <c r="O30" s="707">
        <f>SUM(L30:N30)</f>
        <v/>
      </c>
      <c r="P30" s="707" t="n">
        <v>2158.292651</v>
      </c>
      <c r="Q30" s="707" t="n">
        <v>8187.6366</v>
      </c>
      <c r="R30" s="707" t="n">
        <v>194.447373</v>
      </c>
      <c r="S30" s="707">
        <f>SUM(P30:R30)</f>
        <v/>
      </c>
      <c r="T30" s="707" t="n">
        <v>474.6456</v>
      </c>
      <c r="U30" s="707" t="n">
        <v>0</v>
      </c>
      <c r="V30" s="707" t="n">
        <v>122.035472</v>
      </c>
      <c r="W30" s="707">
        <f>SUM(T30:V30)</f>
        <v/>
      </c>
      <c r="X30" s="707" t="n">
        <v>1144.784607</v>
      </c>
      <c r="Y30" s="271">
        <f>SUM(K30+O30+S30+W30+X30)</f>
        <v/>
      </c>
      <c r="Z30" s="326">
        <f>IF(F30=0,"",K30/(F30/((YEAR(E30)*12+MONTH(E30))-(YEAR(D30)*12+MONTH(D30))+1)))</f>
        <v/>
      </c>
      <c r="AA30" s="326">
        <f>G30/F30</f>
        <v/>
      </c>
      <c r="AB30" s="708">
        <f>F30-G30</f>
        <v/>
      </c>
      <c r="AC30" s="513" t="n"/>
      <c r="AD30" s="513" t="n"/>
      <c r="AE30" s="513" t="n"/>
      <c r="AF30" s="706" t="inlineStr"/>
      <c r="AG30" s="706" t="inlineStr"/>
      <c r="AH30" s="706" t="inlineStr"/>
      <c r="AI30" s="706" t="inlineStr"/>
      <c r="AJ30" s="706" t="inlineStr"/>
    </row>
    <row r="3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333">
        <f>SUM(K31+O31+S31+W31+X31)</f>
        <v/>
      </c>
      <c r="Z31" s="335">
        <f>IF(F31=0,"",K31/(F31/((YEAR(E28)*12+MONTH(E28))-(YEAR(D28)*12+MONTH(D28))+1)))</f>
        <v/>
      </c>
      <c r="AA31" s="336">
        <f>G31/F31</f>
        <v/>
      </c>
      <c r="AB31" s="715">
        <f>F31-G31</f>
        <v/>
      </c>
      <c r="AC31" s="337">
        <f>AC28</f>
        <v/>
      </c>
      <c r="AD31" s="335">
        <f>Y31/AC28</f>
        <v/>
      </c>
      <c r="AE31" s="712">
        <f>AC28-Y31</f>
        <v/>
      </c>
      <c r="AF31" s="713" t="inlineStr"/>
      <c r="AG31" s="713" t="inlineStr"/>
      <c r="AH31" s="713" t="inlineStr"/>
      <c r="AI31" s="713" t="inlineStr"/>
      <c r="AJ31" s="713" t="inlineStr"/>
    </row>
    <row r="32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5609.722033</v>
      </c>
      <c r="H32" s="703" t="n">
        <v>1610.465688</v>
      </c>
      <c r="I32" s="703" t="n">
        <v>110.192882</v>
      </c>
      <c r="J32" s="703" t="n">
        <v>0</v>
      </c>
      <c r="K32" s="703">
        <f>SUM(H32:J32)</f>
        <v/>
      </c>
      <c r="L32" s="703" t="n">
        <v>1008.99006</v>
      </c>
      <c r="M32" s="703" t="n">
        <v>0</v>
      </c>
      <c r="N32" s="703" t="n">
        <v>31.622924</v>
      </c>
      <c r="O32" s="703">
        <f>SUM(L32:N32)</f>
        <v/>
      </c>
      <c r="P32" s="703" t="n">
        <v>0</v>
      </c>
      <c r="Q32" s="703" t="n">
        <v>342.296351</v>
      </c>
      <c r="R32" s="703" t="n">
        <v>35.098479</v>
      </c>
      <c r="S32" s="703">
        <f>SUM(P32:R32)</f>
        <v/>
      </c>
      <c r="T32" s="703" t="n">
        <v>440.8209</v>
      </c>
      <c r="U32" s="703" t="n">
        <v>0</v>
      </c>
      <c r="V32" s="703" t="n">
        <v>21.381724</v>
      </c>
      <c r="W32" s="703">
        <f>SUM(T32:V32)</f>
        <v/>
      </c>
      <c r="X32" s="703" t="n">
        <v>1310.569686</v>
      </c>
      <c r="Y32" s="724">
        <f>SUM(K32+O32+S32+W32+X32)</f>
        <v/>
      </c>
      <c r="Z32" s="319">
        <f>IF(F32=0,"",K32/(F32/((YEAR(E32)*12+MONTH(E32))-(YEAR(D32)*12+MONTH(D32))+1)))</f>
        <v/>
      </c>
      <c r="AA32" s="319">
        <f>G32/F32</f>
        <v/>
      </c>
      <c r="AB32" s="724">
        <f>F32-G32</f>
        <v/>
      </c>
      <c r="AC32" s="321">
        <f>SUM(F32:F33)</f>
        <v/>
      </c>
      <c r="AD32" s="322">
        <f>AD34</f>
        <v/>
      </c>
      <c r="AE32" s="725">
        <f>AE34</f>
        <v/>
      </c>
      <c r="AF32" s="706" t="inlineStr"/>
      <c r="AG32" s="706" t="inlineStr"/>
      <c r="AH32" s="706" t="inlineStr"/>
      <c r="AI32" s="706" t="inlineStr"/>
      <c r="AJ32" s="706" t="inlineStr"/>
    </row>
    <row r="33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40109.592028</v>
      </c>
      <c r="H33" s="707" t="n">
        <v>8320.866201999999</v>
      </c>
      <c r="I33" s="707" t="n">
        <v>0</v>
      </c>
      <c r="J33" s="707" t="n">
        <v>0</v>
      </c>
      <c r="K33" s="707">
        <f>SUM(H33:J33)</f>
        <v/>
      </c>
      <c r="L33" s="707" t="n">
        <v>1259.210798</v>
      </c>
      <c r="M33" s="707" t="n">
        <v>3101.9274</v>
      </c>
      <c r="N33" s="707" t="n">
        <v>245.926116</v>
      </c>
      <c r="O33" s="707">
        <f>SUM(L33:N33)</f>
        <v/>
      </c>
      <c r="P33" s="707" t="n">
        <v>10803.329409</v>
      </c>
      <c r="Q33" s="707" t="n">
        <v>0</v>
      </c>
      <c r="R33" s="707" t="n">
        <v>396.373158</v>
      </c>
      <c r="S33" s="707">
        <f>SUM(P33:R33)</f>
        <v/>
      </c>
      <c r="T33" s="707" t="n">
        <v>6594.535422</v>
      </c>
      <c r="U33" s="707" t="n">
        <v>0</v>
      </c>
      <c r="V33" s="707" t="n">
        <v>271.914403</v>
      </c>
      <c r="W33" s="707">
        <f>SUM(T33:V33)</f>
        <v/>
      </c>
      <c r="X33" s="707" t="n">
        <v>9115.509121999999</v>
      </c>
      <c r="Y33" s="271">
        <f>SUM(K33+O33+S33+W33+X33)</f>
        <v/>
      </c>
      <c r="Z33" s="326">
        <f>IF(F33=0,"",K33/(F33/((YEAR(E33)*12+MONTH(E33))-(YEAR(D33)*12+MONTH(D33))+1)))</f>
        <v/>
      </c>
      <c r="AA33" s="326">
        <f>G33/F33</f>
        <v/>
      </c>
      <c r="AB33" s="708">
        <f>F33-G33</f>
        <v/>
      </c>
      <c r="AC33" s="513" t="n"/>
      <c r="AD33" s="513" t="n"/>
      <c r="AE33" s="513" t="n"/>
      <c r="AF33" s="706" t="inlineStr"/>
      <c r="AG33" s="706" t="inlineStr"/>
      <c r="AH33" s="706" t="inlineStr"/>
      <c r="AI33" s="706" t="inlineStr"/>
      <c r="AJ33" s="706" t="inlineStr"/>
    </row>
    <row r="34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333">
        <f>SUM(K34+O34+S34+W34+X34)</f>
        <v/>
      </c>
      <c r="Z34" s="335">
        <f>IF(F34=0,"",K34/(F34/((YEAR(E32)*12+MONTH(E32))-(YEAR(D32)*12+MONTH(D32))+1)))</f>
        <v/>
      </c>
      <c r="AA34" s="336">
        <f>G34/F34</f>
        <v/>
      </c>
      <c r="AB34" s="715">
        <f>F34-G34</f>
        <v/>
      </c>
      <c r="AC34" s="337">
        <f>AC32</f>
        <v/>
      </c>
      <c r="AD34" s="335">
        <f>Y34/AC32</f>
        <v/>
      </c>
      <c r="AE34" s="712">
        <f>AC32-Y34</f>
        <v/>
      </c>
      <c r="AF34" s="713" t="inlineStr"/>
      <c r="AG34" s="713" t="inlineStr"/>
      <c r="AH34" s="713" t="inlineStr"/>
      <c r="AI34" s="713" t="inlineStr"/>
      <c r="AJ34" s="713" t="inlineStr"/>
    </row>
    <row r="35" ht="14.25" customFormat="1" customHeight="1" s="483">
      <c r="A35" s="703" t="inlineStr">
        <is>
          <t>理财师005</t>
        </is>
      </c>
      <c r="B35" s="703" t="inlineStr">
        <is>
          <t>理财师026</t>
        </is>
      </c>
      <c r="C35" s="703" t="inlineStr">
        <is>
          <t>观察期PWA0-1</t>
        </is>
      </c>
      <c r="D35" s="693" t="n">
        <v>46113</v>
      </c>
      <c r="E35" s="693" t="n">
        <v>46203</v>
      </c>
      <c r="F35" s="703" t="n">
        <v>1943.13</v>
      </c>
      <c r="G35" s="703" t="n">
        <v>566.529614</v>
      </c>
      <c r="H35" s="703" t="n">
        <v>114.611359</v>
      </c>
      <c r="I35" s="703" t="n">
        <v>0</v>
      </c>
      <c r="J35" s="703" t="n">
        <v>0</v>
      </c>
      <c r="K35" s="703">
        <f>SUM(H35:J35)</f>
        <v/>
      </c>
      <c r="L35" s="703" t="n">
        <v>437.370804</v>
      </c>
      <c r="M35" s="703" t="n">
        <v>0</v>
      </c>
      <c r="N35" s="703" t="n">
        <v>14.547451</v>
      </c>
      <c r="O35" s="703">
        <f>SUM(L35:N35)</f>
        <v/>
      </c>
      <c r="P35" s="703" t="n">
        <v>809.929895</v>
      </c>
      <c r="Q35" s="703" t="n">
        <v>0</v>
      </c>
      <c r="R35" s="703" t="n">
        <v>47.503424</v>
      </c>
      <c r="S35" s="703">
        <f>SUM(P35:R35)</f>
        <v/>
      </c>
      <c r="T35" s="703" t="n">
        <v>176.20858</v>
      </c>
      <c r="U35" s="703" t="n">
        <v>0</v>
      </c>
      <c r="V35" s="703" t="n">
        <v>11.404098</v>
      </c>
      <c r="W35" s="703">
        <f>SUM(T35:V35)</f>
        <v/>
      </c>
      <c r="X35" s="703" t="n">
        <v>12.282809</v>
      </c>
      <c r="Y35" s="724">
        <f>SUM(K35+O35+S35+W35+X35)</f>
        <v/>
      </c>
      <c r="Z35" s="319">
        <f>IF(F35=0,"",K35/(F35/((YEAR(E35)*12+MONTH(E35))-(YEAR(D35)*12+MONTH(D35))+1)))</f>
        <v/>
      </c>
      <c r="AA35" s="319">
        <f>G35/F35</f>
        <v/>
      </c>
      <c r="AB35" s="724">
        <f>F35-G35</f>
        <v/>
      </c>
      <c r="AC35" s="321">
        <f>SUM(F35:F36)</f>
        <v/>
      </c>
      <c r="AD35" s="322">
        <f>AD37</f>
        <v/>
      </c>
      <c r="AE35" s="725">
        <f>AE37</f>
        <v/>
      </c>
      <c r="AF35" s="706" t="inlineStr"/>
      <c r="AG35" s="706" t="inlineStr"/>
      <c r="AH35" s="706" t="inlineStr"/>
      <c r="AI35" s="706" t="inlineStr"/>
      <c r="AJ35" s="706" t="inlineStr"/>
    </row>
    <row r="36" ht="14.25" customFormat="1" customHeight="1" s="483">
      <c r="A36" s="513" t="n"/>
      <c r="B36" s="707" t="inlineStr">
        <is>
          <t>理财师005</t>
        </is>
      </c>
      <c r="C36" s="707" t="inlineStr">
        <is>
          <t>私人财富管理资深顾问PWA2-4</t>
        </is>
      </c>
      <c r="D36" s="676" t="n">
        <v>46054</v>
      </c>
      <c r="E36" s="676" t="n">
        <v>46203</v>
      </c>
      <c r="F36" s="707" t="n">
        <v>9610.6</v>
      </c>
      <c r="G36" s="707" t="n">
        <v>10363.622501</v>
      </c>
      <c r="H36" s="707" t="n">
        <v>840.615984</v>
      </c>
      <c r="I36" s="707" t="n">
        <v>0</v>
      </c>
      <c r="J36" s="707" t="n">
        <v>0</v>
      </c>
      <c r="K36" s="707">
        <f>SUM(H36:J36)</f>
        <v/>
      </c>
      <c r="L36" s="707" t="n">
        <v>1870.349984</v>
      </c>
      <c r="M36" s="707" t="n">
        <v>2312.474666</v>
      </c>
      <c r="N36" s="707" t="n">
        <v>277.051448</v>
      </c>
      <c r="O36" s="707">
        <f>SUM(L36:N36)</f>
        <v/>
      </c>
      <c r="P36" s="707" t="n">
        <v>731.292658</v>
      </c>
      <c r="Q36" s="707" t="n">
        <v>1925.150771</v>
      </c>
      <c r="R36" s="707" t="n">
        <v>383.775324</v>
      </c>
      <c r="S36" s="707">
        <f>SUM(P36:R36)</f>
        <v/>
      </c>
      <c r="T36" s="707" t="n">
        <v>1738.204897</v>
      </c>
      <c r="U36" s="707" t="n">
        <v>0</v>
      </c>
      <c r="V36" s="707" t="n">
        <v>284.706769</v>
      </c>
      <c r="W36" s="707">
        <f>SUM(T36:V36)</f>
        <v/>
      </c>
      <c r="X36" s="707" t="n">
        <v>1538.392041</v>
      </c>
      <c r="Y36" s="271">
        <f>SUM(K36+O36+S36+W36+X36)</f>
        <v/>
      </c>
      <c r="Z36" s="326">
        <f>IF(F36=0,"",K36/(F36/((YEAR(E36)*12+MONTH(E36))-(YEAR(D36)*12+MONTH(D36))+1)))</f>
        <v/>
      </c>
      <c r="AA36" s="326">
        <f>G36/F36</f>
        <v/>
      </c>
      <c r="AB36" s="708">
        <f>F36-G36</f>
        <v/>
      </c>
      <c r="AC36" s="513" t="n"/>
      <c r="AD36" s="513" t="n"/>
      <c r="AE36" s="513" t="n"/>
      <c r="AF36" s="706" t="inlineStr"/>
      <c r="AG36" s="706" t="inlineStr"/>
      <c r="AH36" s="706" t="inlineStr"/>
      <c r="AI36" s="706" t="inlineStr"/>
      <c r="AJ36" s="706" t="inlineStr"/>
    </row>
    <row r="37" ht="14.25" customFormat="1" customHeight="1" s="483">
      <c r="A37" s="710" t="inlineStr">
        <is>
          <t>合计</t>
        </is>
      </c>
      <c r="B37" s="518" t="n"/>
      <c r="C37" s="518" t="n"/>
      <c r="D37" s="518" t="n"/>
      <c r="E37" s="578" t="n"/>
      <c r="F37" s="333">
        <f>SUM(F35:F36)</f>
        <v/>
      </c>
      <c r="G37" s="710">
        <f>SUM(G35:G36)</f>
        <v/>
      </c>
      <c r="H37" s="710">
        <f>SUM(H35:H36)</f>
        <v/>
      </c>
      <c r="I37" s="710">
        <f>SUM(I35:I36)</f>
        <v/>
      </c>
      <c r="J37" s="710">
        <f>SUM(J35:J36)</f>
        <v/>
      </c>
      <c r="K37" s="710">
        <f>SUM(K35:K36)</f>
        <v/>
      </c>
      <c r="L37" s="710">
        <f>SUM(L35:L36)</f>
        <v/>
      </c>
      <c r="M37" s="710">
        <f>SUM(M35:M36)</f>
        <v/>
      </c>
      <c r="N37" s="710">
        <f>SUM(N35:N36)</f>
        <v/>
      </c>
      <c r="O37" s="710">
        <f>SUM(O35:O36)</f>
        <v/>
      </c>
      <c r="P37" s="710">
        <f>SUM(P35:P36)</f>
        <v/>
      </c>
      <c r="Q37" s="710">
        <f>SUM(Q35:Q36)</f>
        <v/>
      </c>
      <c r="R37" s="710">
        <f>SUM(R35:R36)</f>
        <v/>
      </c>
      <c r="S37" s="710">
        <f>SUM(S35:S36)</f>
        <v/>
      </c>
      <c r="T37" s="710">
        <f>SUM(T35:T36)</f>
        <v/>
      </c>
      <c r="U37" s="710">
        <f>SUM(U35:U36)</f>
        <v/>
      </c>
      <c r="V37" s="710">
        <f>SUM(V35:V36)</f>
        <v/>
      </c>
      <c r="W37" s="710">
        <f>SUM(W35:W36)</f>
        <v/>
      </c>
      <c r="X37" s="710">
        <f>SUM(X35:X36)</f>
        <v/>
      </c>
      <c r="Y37" s="333">
        <f>SUM(K37+O37+S37+W37+X37)</f>
        <v/>
      </c>
      <c r="Z37" s="335">
        <f>IF(F37=0,"",K37/(F37/((YEAR(E35)*12+MONTH(E35))-(YEAR(D35)*12+MONTH(D35))+1)))</f>
        <v/>
      </c>
      <c r="AA37" s="336">
        <f>G37/F37</f>
        <v/>
      </c>
      <c r="AB37" s="715">
        <f>F37-G37</f>
        <v/>
      </c>
      <c r="AC37" s="337">
        <f>AC35</f>
        <v/>
      </c>
      <c r="AD37" s="335">
        <f>Y37/AC35</f>
        <v/>
      </c>
      <c r="AE37" s="712">
        <f>AC35-Y37</f>
        <v/>
      </c>
      <c r="AF37" s="713" t="inlineStr"/>
      <c r="AG37" s="713" t="inlineStr"/>
      <c r="AH37" s="713" t="inlineStr"/>
      <c r="AI37" s="713" t="inlineStr"/>
      <c r="AJ37" s="713" t="inlineStr"/>
    </row>
    <row r="38" ht="14.25" customFormat="1" customHeight="1" s="483">
      <c r="A38" s="703" t="inlineStr">
        <is>
          <t>理财师008</t>
        </is>
      </c>
      <c r="B38" s="703" t="inlineStr">
        <is>
          <t>理财师011</t>
        </is>
      </c>
      <c r="C38" s="703" t="inlineStr">
        <is>
          <t>私人财富管理资深顾问PWA2-2</t>
        </is>
      </c>
      <c r="D38" s="693" t="n">
        <v>46023</v>
      </c>
      <c r="E38" s="693" t="n">
        <v>46203</v>
      </c>
      <c r="F38" s="703" t="n">
        <v>5045.88</v>
      </c>
      <c r="G38" s="703" t="n">
        <v>3868.902441</v>
      </c>
      <c r="H38" s="703" t="n">
        <v>0</v>
      </c>
      <c r="I38" s="703" t="n">
        <v>3092.4036</v>
      </c>
      <c r="J38" s="703" t="n">
        <v>0</v>
      </c>
      <c r="K38" s="703">
        <f>SUM(H38:J38)</f>
        <v/>
      </c>
      <c r="L38" s="703" t="n">
        <v>178.04748</v>
      </c>
      <c r="M38" s="703" t="n">
        <v>0</v>
      </c>
      <c r="N38" s="703" t="n">
        <v>1.310068</v>
      </c>
      <c r="O38" s="703">
        <f>SUM(L38:N38)</f>
        <v/>
      </c>
      <c r="P38" s="703" t="n">
        <v>47.229437</v>
      </c>
      <c r="Q38" s="703" t="n">
        <v>0</v>
      </c>
      <c r="R38" s="703" t="n">
        <v>24.120644</v>
      </c>
      <c r="S38" s="703">
        <f>SUM(P38:R38)</f>
        <v/>
      </c>
      <c r="T38" s="703" t="n">
        <v>524.574731</v>
      </c>
      <c r="U38" s="703" t="n">
        <v>0</v>
      </c>
      <c r="V38" s="703" t="n">
        <v>1.216481</v>
      </c>
      <c r="W38" s="703">
        <f>SUM(T38:V38)</f>
        <v/>
      </c>
      <c r="X38" s="703" t="n">
        <v>0</v>
      </c>
      <c r="Y38" s="724">
        <f>SUM(K38+O38+S38+W38+X38)</f>
        <v/>
      </c>
      <c r="Z38" s="319">
        <f>IF(F38=0,"",K38/(F38/((YEAR(E38)*12+MONTH(E38))-(YEAR(D38)*12+MONTH(D38))+1)))</f>
        <v/>
      </c>
      <c r="AA38" s="319">
        <f>G38/F38</f>
        <v/>
      </c>
      <c r="AB38" s="724">
        <f>F38-G38</f>
        <v/>
      </c>
      <c r="AC38" s="321">
        <f>SUM(F38:F39)</f>
        <v/>
      </c>
      <c r="AD38" s="322">
        <f>AD40</f>
        <v/>
      </c>
      <c r="AE38" s="725">
        <f>AE40</f>
        <v/>
      </c>
      <c r="AF38" s="706" t="inlineStr"/>
      <c r="AG38" s="706" t="inlineStr"/>
      <c r="AH38" s="706" t="inlineStr"/>
      <c r="AI38" s="706" t="inlineStr"/>
      <c r="AJ38" s="706" t="inlineStr"/>
    </row>
    <row r="39" ht="14.25" customFormat="1" customHeight="1" s="483">
      <c r="A39" s="513" t="n"/>
      <c r="B39" s="707" t="inlineStr">
        <is>
          <t>理财师008</t>
        </is>
      </c>
      <c r="C39" s="707" t="inlineStr">
        <is>
          <t>私人财富管理专家PWA4-2</t>
        </is>
      </c>
      <c r="D39" s="676" t="n">
        <v>46023</v>
      </c>
      <c r="E39" s="676" t="n">
        <v>46203</v>
      </c>
      <c r="F39" s="707" t="n">
        <v>24202.22</v>
      </c>
      <c r="G39" s="707" t="n">
        <v>24928.086302</v>
      </c>
      <c r="H39" s="707" t="n">
        <v>5263.972173</v>
      </c>
      <c r="I39" s="707" t="n">
        <v>0</v>
      </c>
      <c r="J39" s="707" t="n">
        <v>0</v>
      </c>
      <c r="K39" s="707">
        <f>SUM(H39:J39)</f>
        <v/>
      </c>
      <c r="L39" s="707" t="n">
        <v>3533.62581</v>
      </c>
      <c r="M39" s="707" t="n">
        <v>2435.06874</v>
      </c>
      <c r="N39" s="707" t="n">
        <v>132.81261</v>
      </c>
      <c r="O39" s="707">
        <f>SUM(L39:N39)</f>
        <v/>
      </c>
      <c r="P39" s="707" t="n">
        <v>9546.464904</v>
      </c>
      <c r="Q39" s="707" t="n">
        <v>0</v>
      </c>
      <c r="R39" s="707" t="n">
        <v>401.214551</v>
      </c>
      <c r="S39" s="707">
        <f>SUM(P39:R39)</f>
        <v/>
      </c>
      <c r="T39" s="707" t="n">
        <v>1081.878995</v>
      </c>
      <c r="U39" s="707" t="n">
        <v>523.50012</v>
      </c>
      <c r="V39" s="707" t="n">
        <v>135.589522</v>
      </c>
      <c r="W39" s="707">
        <f>SUM(T39:V39)</f>
        <v/>
      </c>
      <c r="X39" s="707" t="n">
        <v>1873.958877</v>
      </c>
      <c r="Y39" s="271">
        <f>SUM(K39+O39+S39+W39+X39)</f>
        <v/>
      </c>
      <c r="Z39" s="326">
        <f>IF(F39=0,"",K39/(F39/((YEAR(E39)*12+MONTH(E39))-(YEAR(D39)*12+MONTH(D39))+1)))</f>
        <v/>
      </c>
      <c r="AA39" s="326">
        <f>G39/F39</f>
        <v/>
      </c>
      <c r="AB39" s="708">
        <f>F39-G39</f>
        <v/>
      </c>
      <c r="AC39" s="513" t="n"/>
      <c r="AD39" s="513" t="n"/>
      <c r="AE39" s="513" t="n"/>
      <c r="AF39" s="706" t="inlineStr"/>
      <c r="AG39" s="706" t="inlineStr"/>
      <c r="AH39" s="706" t="inlineStr"/>
      <c r="AI39" s="706" t="inlineStr"/>
      <c r="AJ39" s="706" t="inlineStr"/>
    </row>
    <row r="40" ht="14.25" customFormat="1" customHeight="1" s="483">
      <c r="A40" s="710" t="inlineStr">
        <is>
          <t>合计</t>
        </is>
      </c>
      <c r="B40" s="518" t="n"/>
      <c r="C40" s="518" t="n"/>
      <c r="D40" s="518" t="n"/>
      <c r="E40" s="578" t="n"/>
      <c r="F40" s="333">
        <f>SUM(F38:F39)</f>
        <v/>
      </c>
      <c r="G40" s="710">
        <f>SUM(G38:G39)</f>
        <v/>
      </c>
      <c r="H40" s="710">
        <f>SUM(H38:H39)</f>
        <v/>
      </c>
      <c r="I40" s="710">
        <f>SUM(I38:I39)</f>
        <v/>
      </c>
      <c r="J40" s="710">
        <f>SUM(J38:J39)</f>
        <v/>
      </c>
      <c r="K40" s="710">
        <f>SUM(K38:K39)</f>
        <v/>
      </c>
      <c r="L40" s="710">
        <f>SUM(L38:L39)</f>
        <v/>
      </c>
      <c r="M40" s="710">
        <f>SUM(M38:M39)</f>
        <v/>
      </c>
      <c r="N40" s="710">
        <f>SUM(N38:N39)</f>
        <v/>
      </c>
      <c r="O40" s="710">
        <f>SUM(O38:O39)</f>
        <v/>
      </c>
      <c r="P40" s="710">
        <f>SUM(P38:P39)</f>
        <v/>
      </c>
      <c r="Q40" s="710">
        <f>SUM(Q38:Q39)</f>
        <v/>
      </c>
      <c r="R40" s="710">
        <f>SUM(R38:R39)</f>
        <v/>
      </c>
      <c r="S40" s="710">
        <f>SUM(S38:S39)</f>
        <v/>
      </c>
      <c r="T40" s="710">
        <f>SUM(T38:T39)</f>
        <v/>
      </c>
      <c r="U40" s="710">
        <f>SUM(U38:U39)</f>
        <v/>
      </c>
      <c r="V40" s="710">
        <f>SUM(V38:V39)</f>
        <v/>
      </c>
      <c r="W40" s="710">
        <f>SUM(W38:W39)</f>
        <v/>
      </c>
      <c r="X40" s="710">
        <f>SUM(X38:X39)</f>
        <v/>
      </c>
      <c r="Y40" s="333">
        <f>SUM(K40+O40+S40+W40+X40)</f>
        <v/>
      </c>
      <c r="Z40" s="335">
        <f>IF(F40=0,"",K40/(F40/((YEAR(E38)*12+MONTH(E38))-(YEAR(D38)*12+MONTH(D38))+1)))</f>
        <v/>
      </c>
      <c r="AA40" s="336">
        <f>G40/F40</f>
        <v/>
      </c>
      <c r="AB40" s="715">
        <f>F40-G40</f>
        <v/>
      </c>
      <c r="AC40" s="337">
        <f>AC38</f>
        <v/>
      </c>
      <c r="AD40" s="335">
        <f>Y40/AC38</f>
        <v/>
      </c>
      <c r="AE40" s="712">
        <f>AC38-Y40</f>
        <v/>
      </c>
      <c r="AF40" s="713" t="inlineStr"/>
      <c r="AG40" s="713" t="inlineStr"/>
      <c r="AH40" s="713" t="inlineStr"/>
      <c r="AI40" s="713" t="inlineStr"/>
      <c r="AJ40" s="713" t="inlineStr"/>
    </row>
    <row r="41" ht="14.25" customFormat="1" customHeight="1" s="483">
      <c r="A41" s="703" t="inlineStr">
        <is>
          <t>理财师004</t>
        </is>
      </c>
      <c r="B41" s="703" t="inlineStr">
        <is>
          <t>理财师006</t>
        </is>
      </c>
      <c r="C41" s="703" t="inlineStr">
        <is>
          <t>私人财富管理专家PWA4-5</t>
        </is>
      </c>
      <c r="D41" s="693" t="n">
        <v>46023</v>
      </c>
      <c r="E41" s="693" t="n">
        <v>46203</v>
      </c>
      <c r="F41" s="703" t="n">
        <v>17235</v>
      </c>
      <c r="G41" s="703" t="n">
        <v>15950.69477</v>
      </c>
      <c r="H41" s="703" t="n">
        <v>3234.899368</v>
      </c>
      <c r="I41" s="703" t="n">
        <v>241.63794</v>
      </c>
      <c r="J41" s="703" t="n">
        <v>0</v>
      </c>
      <c r="K41" s="703">
        <f>SUM(H41:J41)</f>
        <v/>
      </c>
      <c r="L41" s="703" t="n">
        <v>1488.863753</v>
      </c>
      <c r="M41" s="703" t="n">
        <v>0</v>
      </c>
      <c r="N41" s="703" t="n">
        <v>377.363887</v>
      </c>
      <c r="O41" s="703">
        <f>SUM(L41:N41)</f>
        <v/>
      </c>
      <c r="P41" s="703" t="n">
        <v>2747.788321</v>
      </c>
      <c r="Q41" s="703" t="n">
        <v>0</v>
      </c>
      <c r="R41" s="703" t="n">
        <v>610.841506</v>
      </c>
      <c r="S41" s="703">
        <f>SUM(P41:R41)</f>
        <v/>
      </c>
      <c r="T41" s="703" t="n">
        <v>1566.390968</v>
      </c>
      <c r="U41" s="703" t="n">
        <v>1037.679365</v>
      </c>
      <c r="V41" s="703" t="n">
        <v>311.654822</v>
      </c>
      <c r="W41" s="703">
        <f>SUM(T41:V41)</f>
        <v/>
      </c>
      <c r="X41" s="703" t="n">
        <v>4333.574839</v>
      </c>
      <c r="Y41" s="724">
        <f>SUM(K41+O41+S41+W41+X41)</f>
        <v/>
      </c>
      <c r="Z41" s="319">
        <f>IF(F41=0,"",K41/(F41/((YEAR(E41)*12+MONTH(E41))-(YEAR(D41)*12+MONTH(D41))+1)))</f>
        <v/>
      </c>
      <c r="AA41" s="319">
        <f>G41/F41</f>
        <v/>
      </c>
      <c r="AB41" s="724">
        <f>F41-G41</f>
        <v/>
      </c>
      <c r="AC41" s="321">
        <f>SUM(F41:F45)</f>
        <v/>
      </c>
      <c r="AD41" s="322">
        <f>AD46</f>
        <v/>
      </c>
      <c r="AE41" s="725">
        <f>AE46</f>
        <v/>
      </c>
      <c r="AF41" s="706" t="inlineStr"/>
      <c r="AG41" s="706" t="inlineStr"/>
      <c r="AH41" s="706" t="inlineStr"/>
      <c r="AI41" s="706" t="inlineStr"/>
      <c r="AJ41" s="706" t="inlineStr"/>
    </row>
    <row r="42" ht="14.25" customFormat="1" customHeight="1" s="483">
      <c r="A42" s="500" t="n"/>
      <c r="B42" s="707" t="inlineStr">
        <is>
          <t>理财师003</t>
        </is>
      </c>
      <c r="C42" s="707" t="inlineStr">
        <is>
          <t>私人财富管理总监PWA3-3</t>
        </is>
      </c>
      <c r="D42" s="676" t="n">
        <v>46054</v>
      </c>
      <c r="E42" s="676" t="n">
        <v>46203</v>
      </c>
      <c r="F42" s="707" t="n">
        <v>18856.5</v>
      </c>
      <c r="G42" s="707" t="n">
        <v>11181.585679</v>
      </c>
      <c r="H42" s="707" t="n">
        <v>2570.269551</v>
      </c>
      <c r="I42" s="707" t="n">
        <v>0</v>
      </c>
      <c r="J42" s="707" t="n">
        <v>0</v>
      </c>
      <c r="K42" s="707">
        <f>SUM(H42:J42)</f>
        <v/>
      </c>
      <c r="L42" s="707" t="n">
        <v>567.268131</v>
      </c>
      <c r="M42" s="707" t="n">
        <v>0</v>
      </c>
      <c r="N42" s="707" t="n">
        <v>1435.413398</v>
      </c>
      <c r="O42" s="707">
        <f>SUM(L42:N42)</f>
        <v/>
      </c>
      <c r="P42" s="707" t="n">
        <v>1550.383391</v>
      </c>
      <c r="Q42" s="707" t="n">
        <v>0</v>
      </c>
      <c r="R42" s="707" t="n">
        <v>2273.498356</v>
      </c>
      <c r="S42" s="707">
        <f>SUM(P42:R42)</f>
        <v/>
      </c>
      <c r="T42" s="707" t="n">
        <v>1396.194268</v>
      </c>
      <c r="U42" s="707" t="n">
        <v>0</v>
      </c>
      <c r="V42" s="707" t="n">
        <v>1388.558583</v>
      </c>
      <c r="W42" s="707">
        <f>SUM(T42:V42)</f>
        <v/>
      </c>
      <c r="X42" s="707" t="n">
        <v>7202.586607</v>
      </c>
      <c r="Y42" s="271">
        <f>SUM(K42+O42+S42+W42+X42)</f>
        <v/>
      </c>
      <c r="Z42" s="326">
        <f>IF(F42=0,"",K42/(F42/((YEAR(E42)*12+MONTH(E42))-(YEAR(D42)*12+MONTH(D42))+1)))</f>
        <v/>
      </c>
      <c r="AA42" s="326">
        <f>G42/F42</f>
        <v/>
      </c>
      <c r="AB42" s="708">
        <f>F42-G42</f>
        <v/>
      </c>
      <c r="AC42" s="500" t="n"/>
      <c r="AD42" s="500" t="n"/>
      <c r="AE42" s="500" t="n"/>
      <c r="AF42" s="706" t="inlineStr"/>
      <c r="AG42" s="706" t="inlineStr"/>
      <c r="AH42" s="706" t="inlineStr"/>
      <c r="AI42" s="706" t="inlineStr"/>
      <c r="AJ42" s="706" t="inlineStr"/>
    </row>
    <row r="43" ht="14.25" customFormat="1" customHeight="1" s="483">
      <c r="A43" s="500" t="n"/>
      <c r="B43" s="707" t="inlineStr">
        <is>
          <t>理财师029</t>
        </is>
      </c>
      <c r="C43" s="707" t="inlineStr">
        <is>
          <t>私人财富管理专家PWA4-3</t>
        </is>
      </c>
      <c r="D43" s="676" t="n">
        <v>46150</v>
      </c>
      <c r="E43" s="676" t="n">
        <v>46333</v>
      </c>
      <c r="F43" s="707" t="n">
        <v>16404.52</v>
      </c>
      <c r="G43" s="707" t="n">
        <v>421.44971</v>
      </c>
      <c r="H43" s="707" t="n">
        <v>0</v>
      </c>
      <c r="I43" s="707" t="n">
        <v>0</v>
      </c>
      <c r="J43" s="707" t="n">
        <v>0</v>
      </c>
      <c r="K43" s="707">
        <f>SUM(H43:J43)</f>
        <v/>
      </c>
      <c r="L43" s="707" t="n">
        <v>410.9235</v>
      </c>
      <c r="M43" s="707" t="n">
        <v>0</v>
      </c>
      <c r="N43" s="707" t="n">
        <v>4.340061</v>
      </c>
      <c r="O43" s="707">
        <f>SUM(L43:N43)</f>
        <v/>
      </c>
      <c r="P43" s="707" t="n">
        <v>0</v>
      </c>
      <c r="Q43" s="707" t="n">
        <v>0</v>
      </c>
      <c r="R43" s="707" t="n">
        <v>5.058234</v>
      </c>
      <c r="S43" s="707">
        <f>SUM(P43:R43)</f>
        <v/>
      </c>
      <c r="T43" s="707" t="n">
        <v>0</v>
      </c>
      <c r="U43" s="707" t="n">
        <v>0</v>
      </c>
      <c r="V43" s="707" t="n">
        <v>1.127915</v>
      </c>
      <c r="W43" s="707">
        <f>SUM(T43:V43)</f>
        <v/>
      </c>
      <c r="X43" s="707" t="n">
        <v>0</v>
      </c>
      <c r="Y43" s="271">
        <f>SUM(K43+O43+S43+W43+X43)</f>
        <v/>
      </c>
      <c r="Z43" s="326">
        <f>IF(F43=0,"",K43/(F43/((YEAR(E43)*12+MONTH(E43))-(YEAR(D43)*12+MONTH(D43))+1)))</f>
        <v/>
      </c>
      <c r="AA43" s="326">
        <f>G43/F43</f>
        <v/>
      </c>
      <c r="AB43" s="708">
        <f>F43-G43</f>
        <v/>
      </c>
      <c r="AC43" s="500" t="n"/>
      <c r="AD43" s="500" t="n"/>
      <c r="AE43" s="500" t="n"/>
      <c r="AF43" s="706" t="inlineStr"/>
      <c r="AG43" s="706" t="inlineStr"/>
      <c r="AH43" s="706" t="inlineStr"/>
      <c r="AI43" s="706" t="inlineStr"/>
      <c r="AJ43" s="706" t="inlineStr"/>
    </row>
    <row r="44" ht="14.25" customFormat="1" customHeight="1" s="483">
      <c r="A44" s="500" t="n"/>
      <c r="B44" s="707" t="inlineStr">
        <is>
          <t>理财师004</t>
        </is>
      </c>
      <c r="C44" s="707" t="inlineStr"/>
      <c r="D44" s="707" t="inlineStr"/>
      <c r="E44" s="707" t="inlineStr"/>
      <c r="F44" s="707" t="n">
        <v>0</v>
      </c>
      <c r="G44" s="707" t="n">
        <v>0</v>
      </c>
      <c r="H44" s="707" t="n">
        <v>2309.14632</v>
      </c>
      <c r="I44" s="707" t="n">
        <v>0</v>
      </c>
      <c r="J44" s="707" t="n">
        <v>0</v>
      </c>
      <c r="K44" s="707">
        <f>SUM(H44:J44)</f>
        <v/>
      </c>
      <c r="L44" s="707" t="n">
        <v>757.832636</v>
      </c>
      <c r="M44" s="707" t="n">
        <v>0</v>
      </c>
      <c r="N44" s="707" t="n">
        <v>581.619744</v>
      </c>
      <c r="O44" s="707">
        <f>SUM(L44:N44)</f>
        <v/>
      </c>
      <c r="P44" s="707" t="n">
        <v>1958.298381</v>
      </c>
      <c r="Q44" s="707" t="n">
        <v>0</v>
      </c>
      <c r="R44" s="707" t="n">
        <v>662.594343</v>
      </c>
      <c r="S44" s="707">
        <f>SUM(P44:R44)</f>
        <v/>
      </c>
      <c r="T44" s="707" t="n">
        <v>2837.047697</v>
      </c>
      <c r="U44" s="707" t="n">
        <v>0</v>
      </c>
      <c r="V44" s="707" t="n">
        <v>463.983498</v>
      </c>
      <c r="W44" s="707">
        <f>SUM(T44:V44)</f>
        <v/>
      </c>
      <c r="X44" s="707" t="n">
        <v>2545.018293</v>
      </c>
      <c r="Y44" s="271">
        <f>SUM(K44+O44+S44+W44+X44)</f>
        <v/>
      </c>
      <c r="Z44" s="326">
        <f>IF(F44=0,"",K44/(F44/((YEAR(E44)*12+MONTH(E44))-(YEAR(D44)*12+MONTH(D44))+1)))</f>
        <v/>
      </c>
      <c r="AA44" s="326">
        <f>G44/F44</f>
        <v/>
      </c>
      <c r="AB44" s="708">
        <f>F44-G44</f>
        <v/>
      </c>
      <c r="AC44" s="500" t="n"/>
      <c r="AD44" s="500" t="n"/>
      <c r="AE44" s="500" t="n"/>
      <c r="AF44" s="706" t="inlineStr"/>
      <c r="AG44" s="706" t="inlineStr"/>
      <c r="AH44" s="706" t="inlineStr"/>
      <c r="AI44" s="706" t="inlineStr"/>
      <c r="AJ44" s="706" t="inlineStr"/>
    </row>
    <row r="45" ht="14.25" customFormat="1" customHeight="1" s="483">
      <c r="A45" s="513" t="n"/>
      <c r="B45" s="707" t="inlineStr">
        <is>
          <t>理财师012</t>
        </is>
      </c>
      <c r="C45" s="707" t="inlineStr">
        <is>
          <t>首席私人财富管理专家PWA5-3</t>
        </is>
      </c>
      <c r="D45" s="676" t="n">
        <v>46023</v>
      </c>
      <c r="E45" s="676" t="n">
        <v>46203</v>
      </c>
      <c r="F45" s="707" t="n">
        <v>51394.5</v>
      </c>
      <c r="G45" s="707" t="n">
        <v>23280.955348</v>
      </c>
      <c r="H45" s="707" t="n">
        <v>5097.989714</v>
      </c>
      <c r="I45" s="707" t="n">
        <v>0</v>
      </c>
      <c r="J45" s="707" t="n">
        <v>0</v>
      </c>
      <c r="K45" s="707">
        <f>SUM(H45:J45)</f>
        <v/>
      </c>
      <c r="L45" s="707" t="n">
        <v>905.961956</v>
      </c>
      <c r="M45" s="707" t="n">
        <v>0</v>
      </c>
      <c r="N45" s="707" t="n">
        <v>822.517258</v>
      </c>
      <c r="O45" s="707">
        <f>SUM(L45:N45)</f>
        <v/>
      </c>
      <c r="P45" s="707" t="n">
        <v>3160.387028</v>
      </c>
      <c r="Q45" s="707" t="n">
        <v>0</v>
      </c>
      <c r="R45" s="707" t="n">
        <v>3880.484178</v>
      </c>
      <c r="S45" s="707">
        <f>SUM(P45:R45)</f>
        <v/>
      </c>
      <c r="T45" s="707" t="n">
        <v>3065.24731</v>
      </c>
      <c r="U45" s="707" t="n">
        <v>0</v>
      </c>
      <c r="V45" s="707" t="n">
        <v>1466.609142</v>
      </c>
      <c r="W45" s="707">
        <f>SUM(T45:V45)</f>
        <v/>
      </c>
      <c r="X45" s="707" t="n">
        <v>4881.758761</v>
      </c>
      <c r="Y45" s="271">
        <f>SUM(K45+O45+S45+W45+X45)</f>
        <v/>
      </c>
      <c r="Z45" s="326">
        <f>IF(F45=0,"",K45/(F45/((YEAR(E45)*12+MONTH(E45))-(YEAR(D45)*12+MONTH(D45))+1)))</f>
        <v/>
      </c>
      <c r="AA45" s="326">
        <f>G45/F45</f>
        <v/>
      </c>
      <c r="AB45" s="708">
        <f>F45-G45</f>
        <v/>
      </c>
      <c r="AC45" s="513" t="n"/>
      <c r="AD45" s="513" t="n"/>
      <c r="AE45" s="513" t="n"/>
      <c r="AF45" s="706" t="inlineStr"/>
      <c r="AG45" s="706" t="inlineStr"/>
      <c r="AH45" s="706" t="inlineStr"/>
      <c r="AI45" s="706" t="inlineStr"/>
      <c r="AJ45" s="706" t="inlineStr"/>
    </row>
    <row r="46" ht="14.25" customFormat="1" customHeight="1" s="483">
      <c r="A46" s="710" t="inlineStr">
        <is>
          <t>合计</t>
        </is>
      </c>
      <c r="B46" s="518" t="n"/>
      <c r="C46" s="518" t="n"/>
      <c r="D46" s="518" t="n"/>
      <c r="E46" s="578" t="n"/>
      <c r="F46" s="333">
        <f>SUM(F41:F45)</f>
        <v/>
      </c>
      <c r="G46" s="710">
        <f>SUM(G41:G45)</f>
        <v/>
      </c>
      <c r="H46" s="710">
        <f>SUM(H41:H45)</f>
        <v/>
      </c>
      <c r="I46" s="710">
        <f>SUM(I41:I45)</f>
        <v/>
      </c>
      <c r="J46" s="710">
        <f>SUM(J41:J45)</f>
        <v/>
      </c>
      <c r="K46" s="710">
        <f>SUM(K41:K45)</f>
        <v/>
      </c>
      <c r="L46" s="710">
        <f>SUM(L41:L45)</f>
        <v/>
      </c>
      <c r="M46" s="710">
        <f>SUM(M41:M45)</f>
        <v/>
      </c>
      <c r="N46" s="710">
        <f>SUM(N41:N45)</f>
        <v/>
      </c>
      <c r="O46" s="710">
        <f>SUM(O41:O45)</f>
        <v/>
      </c>
      <c r="P46" s="710">
        <f>SUM(P41:P45)</f>
        <v/>
      </c>
      <c r="Q46" s="710">
        <f>SUM(Q41:Q45)</f>
        <v/>
      </c>
      <c r="R46" s="710">
        <f>SUM(R41:R45)</f>
        <v/>
      </c>
      <c r="S46" s="710">
        <f>SUM(S41:S45)</f>
        <v/>
      </c>
      <c r="T46" s="710">
        <f>SUM(T41:T45)</f>
        <v/>
      </c>
      <c r="U46" s="710">
        <f>SUM(U41:U45)</f>
        <v/>
      </c>
      <c r="V46" s="710">
        <f>SUM(V41:V45)</f>
        <v/>
      </c>
      <c r="W46" s="710">
        <f>SUM(W41:W45)</f>
        <v/>
      </c>
      <c r="X46" s="710">
        <f>SUM(X41:X45)</f>
        <v/>
      </c>
      <c r="Y46" s="333">
        <f>SUM(K46+O46+S46+W46+X46)</f>
        <v/>
      </c>
      <c r="Z46" s="335">
        <f>IF(F46=0,"",K46/(F46/((YEAR(E41)*12+MONTH(E41))-(YEAR(D41)*12+MONTH(D41))+1)))</f>
        <v/>
      </c>
      <c r="AA46" s="336">
        <f>G46/F46</f>
        <v/>
      </c>
      <c r="AB46" s="715">
        <f>F46-G46</f>
        <v/>
      </c>
      <c r="AC46" s="337">
        <f>AC41</f>
        <v/>
      </c>
      <c r="AD46" s="335">
        <f>Y46/AC41</f>
        <v/>
      </c>
      <c r="AE46" s="712">
        <f>AC41-Y46</f>
        <v/>
      </c>
      <c r="AF46" s="713" t="inlineStr"/>
      <c r="AG46" s="713" t="inlineStr"/>
      <c r="AH46" s="713" t="inlineStr"/>
      <c r="AI46" s="713" t="inlineStr"/>
      <c r="AJ46" s="713" t="inlineStr"/>
    </row>
    <row r="47" ht="14.25" customFormat="1" customHeight="1" s="483">
      <c r="A47" s="719" t="inlineStr">
        <is>
          <t>合计</t>
        </is>
      </c>
      <c r="B47" s="518" t="n"/>
      <c r="C47" s="518" t="n"/>
      <c r="D47" s="518" t="n"/>
      <c r="E47" s="578" t="n"/>
      <c r="F47" s="720">
        <f>F9+F15+F19+F23+F27+F31+F34+F37+F40+F46</f>
        <v/>
      </c>
      <c r="G47" s="720">
        <f>G9+G15+G19+G23+G27+G31+G34+G37+G40+G46</f>
        <v/>
      </c>
      <c r="H47" s="720">
        <f>H9+H15+H19+H23+H27+H31+H34+H37+H40+H46</f>
        <v/>
      </c>
      <c r="I47" s="720">
        <f>I9+I15+I19+I23+I27+I31+I34+I37+I40+I46</f>
        <v/>
      </c>
      <c r="J47" s="720">
        <f>J9+J15+J19+J23+J27+J31+J34+J37+J40+J46</f>
        <v/>
      </c>
      <c r="K47" s="720">
        <f>K9+K15+K19+K23+K27+K31+K34+K37+K40+K46</f>
        <v/>
      </c>
      <c r="L47" s="720">
        <f>L9+L15+L19+L23+L27+L31+L34+L37+L40+L46</f>
        <v/>
      </c>
      <c r="M47" s="720">
        <f>M9+M15+M19+M23+M27+M31+M34+M37+M40+M46</f>
        <v/>
      </c>
      <c r="N47" s="720">
        <f>N9+N15+N19+N23+N27+N31+N34+N37+N40+N46</f>
        <v/>
      </c>
      <c r="O47" s="720">
        <f>O9+O15+O19+O23+O27+O31+O34+O37+O40+O46</f>
        <v/>
      </c>
      <c r="P47" s="720">
        <f>P9+P15+P19+P23+P27+P31+P34+P37+P40+P46</f>
        <v/>
      </c>
      <c r="Q47" s="720">
        <f>Q9+Q15+Q19+Q23+Q27+Q31+Q34+Q37+Q40+Q46</f>
        <v/>
      </c>
      <c r="R47" s="720">
        <f>R9+R15+R19+R23+R27+R31+R34+R37+R40+R46</f>
        <v/>
      </c>
      <c r="S47" s="720">
        <f>S9+S15+S19+S23+S27+S31+S34+S37+S40+S46</f>
        <v/>
      </c>
      <c r="T47" s="720">
        <f>T9+T15+T19+T23+T27+T31+T34+T37+T40+T46</f>
        <v/>
      </c>
      <c r="U47" s="720">
        <f>U9+U15+U19+U23+U27+U31+U34+U37+U40+U46</f>
        <v/>
      </c>
      <c r="V47" s="720">
        <f>V9+V15+V19+V23+V27+V31+V34+V37+V40+V46</f>
        <v/>
      </c>
      <c r="W47" s="720">
        <f>W9+W15+W19+W23+W27+W31+W34+W37+W40+W46</f>
        <v/>
      </c>
      <c r="X47" s="720">
        <f>X9+X15+X19+X23+X27+X31+X34+X37+X40+X46</f>
        <v/>
      </c>
      <c r="Y47" s="726">
        <f>Y9+Y15+Y19+Y23+Y27+Y31+Y34+Y37+Y40+Y46</f>
        <v/>
      </c>
      <c r="Z47" s="350">
        <f>K47/(F47/((YEAR(E4)*12+MONTH(E4))-(YEAR(D4)*12+MONTH(D4))+1))</f>
        <v/>
      </c>
      <c r="AA47" s="350">
        <f>G47/F47</f>
        <v/>
      </c>
      <c r="AB47" s="720">
        <f>F47-G47</f>
        <v/>
      </c>
      <c r="AC47" s="352">
        <f>AC9+AC15+AC19+AC23+AC27+AC31+AC34+AC37+AC40+AC46</f>
        <v/>
      </c>
      <c r="AD47" s="353">
        <f>Y47/AC47</f>
        <v/>
      </c>
      <c r="AE47" s="720">
        <f>AC47-Y47</f>
        <v/>
      </c>
      <c r="AF47" s="723" t="inlineStr"/>
      <c r="AG47" s="723" t="inlineStr"/>
      <c r="AH47" s="723" t="inlineStr"/>
      <c r="AI47" s="723" t="inlineStr"/>
      <c r="AJ47" s="723" t="inlineStr"/>
    </row>
    <row r="48" ht="14.25" customFormat="1" customHeight="1" s="483">
      <c r="AB48" s="633" t="inlineStr">
        <is>
          <t>公司目标</t>
        </is>
      </c>
      <c r="AC48" s="633" t="n">
        <v>930486.542524</v>
      </c>
      <c r="AD48" s="252">
        <f>IF(AC48&lt;&gt;0,Y47/AC48,"")</f>
        <v/>
      </c>
      <c r="AE48" s="663">
        <f>AC48-Y47</f>
        <v/>
      </c>
    </row>
    <row r="49" ht="14.25" customFormat="1" customHeight="1" s="483"/>
    <row r="50" ht="35.1" customFormat="1" customHeight="1" s="483"/>
    <row r="51" ht="24" customFormat="1" customHeight="1" s="483"/>
  </sheetData>
  <mergeCells count="83">
    <mergeCell ref="A20:A22"/>
    <mergeCell ref="A4:A8"/>
    <mergeCell ref="U2:U3"/>
    <mergeCell ref="AC38:AC39"/>
    <mergeCell ref="A37:E37"/>
    <mergeCell ref="A46:E46"/>
    <mergeCell ref="A2:A3"/>
    <mergeCell ref="A24:A26"/>
    <mergeCell ref="C2:C3"/>
    <mergeCell ref="AE38:AE39"/>
    <mergeCell ref="E2:E3"/>
    <mergeCell ref="W2:W3"/>
    <mergeCell ref="AD32:AD33"/>
    <mergeCell ref="AC16:AC18"/>
    <mergeCell ref="AE16:AE18"/>
    <mergeCell ref="AC41:AC45"/>
    <mergeCell ref="A23:E23"/>
    <mergeCell ref="AA2:AA3"/>
    <mergeCell ref="AE41:AE45"/>
    <mergeCell ref="AC2:AC3"/>
    <mergeCell ref="AC24:AC26"/>
    <mergeCell ref="A35:A36"/>
    <mergeCell ref="V2:V3"/>
    <mergeCell ref="X2:X3"/>
    <mergeCell ref="A34:E34"/>
    <mergeCell ref="AE28:AE30"/>
    <mergeCell ref="AD16:AD18"/>
    <mergeCell ref="N2:N3"/>
    <mergeCell ref="F2:F3"/>
    <mergeCell ref="P2:P3"/>
    <mergeCell ref="H2:H3"/>
    <mergeCell ref="AD35:AD36"/>
    <mergeCell ref="AD41:AD45"/>
    <mergeCell ref="K2:K3"/>
    <mergeCell ref="AE4:AE8"/>
    <mergeCell ref="AC1:AD1"/>
    <mergeCell ref="O2:O3"/>
    <mergeCell ref="AD20:AD22"/>
    <mergeCell ref="Q2:Q3"/>
    <mergeCell ref="A16:A18"/>
    <mergeCell ref="A41:A45"/>
    <mergeCell ref="AC32:AC33"/>
    <mergeCell ref="A31:E31"/>
    <mergeCell ref="A40:E40"/>
    <mergeCell ref="S2:S3"/>
    <mergeCell ref="AE35:AE36"/>
    <mergeCell ref="AD38:AD39"/>
    <mergeCell ref="B2:B3"/>
    <mergeCell ref="AC10:AC14"/>
    <mergeCell ref="D2:D3"/>
    <mergeCell ref="AE10:AE14"/>
    <mergeCell ref="A28:A30"/>
    <mergeCell ref="A10:A14"/>
    <mergeCell ref="Z2:Z3"/>
    <mergeCell ref="AE20:AE22"/>
    <mergeCell ref="AB2:AB3"/>
    <mergeCell ref="T2:T3"/>
    <mergeCell ref="AD24:AD26"/>
    <mergeCell ref="AD2:AD3"/>
    <mergeCell ref="AD4:AD8"/>
    <mergeCell ref="A47:E47"/>
    <mergeCell ref="AD28:AD30"/>
    <mergeCell ref="A38:A39"/>
    <mergeCell ref="AE32:AE33"/>
    <mergeCell ref="G2:G3"/>
    <mergeCell ref="I2:I3"/>
    <mergeCell ref="A15:E15"/>
    <mergeCell ref="M2:M3"/>
    <mergeCell ref="AE2:AE3"/>
    <mergeCell ref="AE24:AE26"/>
    <mergeCell ref="Y2:Y3"/>
    <mergeCell ref="A27:E27"/>
    <mergeCell ref="AC35:AC36"/>
    <mergeCell ref="A32:A33"/>
    <mergeCell ref="AC28:AC30"/>
    <mergeCell ref="R2:R3"/>
    <mergeCell ref="J2:J3"/>
    <mergeCell ref="L2:L3"/>
    <mergeCell ref="AD10:AD14"/>
    <mergeCell ref="A19:E19"/>
    <mergeCell ref="AC20:AC22"/>
    <mergeCell ref="AC4:AC8"/>
    <mergeCell ref="A9:E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53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hidden="1" width="9" customWidth="1" style="533" min="27" max="61"/>
  </cols>
  <sheetData>
    <row r="1" ht="20.25" customFormat="1" customHeight="1" s="483">
      <c r="A1" s="754" t="inlineStr">
        <is>
          <t>私人财富管理部折标销售进度表-截止20260605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552" t="inlineStr">
        <is>
          <t>上半年时间进度</t>
        </is>
      </c>
      <c r="AI1" s="70">
        <f>AJ7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传统202606</t>
        </is>
      </c>
      <c r="I2" s="541" t="inlineStr">
        <is>
          <t>保险202606</t>
        </is>
      </c>
      <c r="J2" s="541" t="inlineStr">
        <is>
          <t>管理费202606</t>
        </is>
      </c>
      <c r="K2" s="669" t="inlineStr">
        <is>
          <t>2026年
6月折标</t>
        </is>
      </c>
      <c r="L2" s="541" t="inlineStr">
        <is>
          <t>传统202605</t>
        </is>
      </c>
      <c r="M2" s="541" t="inlineStr">
        <is>
          <t>保险202605</t>
        </is>
      </c>
      <c r="N2" s="541" t="inlineStr">
        <is>
          <t>管理费202605</t>
        </is>
      </c>
      <c r="O2" s="669" t="inlineStr">
        <is>
          <t>2026年
5月折标</t>
        </is>
      </c>
      <c r="P2" s="541" t="inlineStr">
        <is>
          <t>传统202604</t>
        </is>
      </c>
      <c r="Q2" s="541" t="inlineStr">
        <is>
          <t>保险202604</t>
        </is>
      </c>
      <c r="R2" s="541" t="inlineStr">
        <is>
          <t>管理费202604</t>
        </is>
      </c>
      <c r="S2" s="669" t="inlineStr">
        <is>
          <t>2026年
4月折标</t>
        </is>
      </c>
      <c r="T2" s="541" t="inlineStr">
        <is>
          <t>传统202603</t>
        </is>
      </c>
      <c r="U2" s="541" t="inlineStr">
        <is>
          <t>保险202603</t>
        </is>
      </c>
      <c r="V2" s="541" t="inlineStr">
        <is>
          <t>管理费202603</t>
        </is>
      </c>
      <c r="W2" s="669" t="inlineStr">
        <is>
          <t>2026年
3月折标</t>
        </is>
      </c>
      <c r="X2" s="541" t="inlineStr">
        <is>
          <t>传统202602</t>
        </is>
      </c>
      <c r="Y2" s="541" t="inlineStr">
        <is>
          <t>保险202602</t>
        </is>
      </c>
      <c r="Z2" s="541" t="inlineStr">
        <is>
          <t>管理费202602</t>
        </is>
      </c>
      <c r="AA2" s="669" t="inlineStr">
        <is>
          <t>2026年
2月折标</t>
        </is>
      </c>
      <c r="AB2" s="669" t="inlineStr">
        <is>
          <t>2026年
1月折标</t>
        </is>
      </c>
      <c r="AC2" s="670" t="inlineStr">
        <is>
          <t>2026年YTD折标</t>
        </is>
      </c>
      <c r="AD2" s="671" t="inlineStr">
        <is>
          <t>月度
完成率</t>
        </is>
      </c>
      <c r="AE2" s="666" t="inlineStr">
        <is>
          <t>考核期完成率（累计）</t>
        </is>
      </c>
      <c r="AF2" s="560" t="inlineStr">
        <is>
          <t>考核期差距</t>
        </is>
      </c>
      <c r="AG2" s="561" t="inlineStr">
        <is>
          <t>财富中心
上半年年任务</t>
        </is>
      </c>
      <c r="AH2" s="79" t="inlineStr">
        <is>
          <t>财富中心
上半年任务完成率</t>
        </is>
      </c>
      <c r="AI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21685.498829</v>
      </c>
      <c r="H4" s="703" t="n">
        <v>193.539216</v>
      </c>
      <c r="I4" s="703" t="n">
        <v>0</v>
      </c>
      <c r="J4" s="703" t="n">
        <v>0</v>
      </c>
      <c r="K4" s="703">
        <f>SUM(H4:J4)</f>
        <v/>
      </c>
      <c r="L4" s="703" t="n">
        <v>1183.338361</v>
      </c>
      <c r="M4" s="703" t="n">
        <v>0</v>
      </c>
      <c r="N4" s="703" t="n">
        <v>627.793934</v>
      </c>
      <c r="O4" s="703">
        <f>SUM(L4:N4)</f>
        <v/>
      </c>
      <c r="P4" s="703" t="n">
        <v>3163.949074</v>
      </c>
      <c r="Q4" s="703" t="n">
        <v>0</v>
      </c>
      <c r="R4" s="703" t="n">
        <v>535.227607</v>
      </c>
      <c r="S4" s="703">
        <f>SUM(P4:R4)</f>
        <v/>
      </c>
      <c r="T4" s="703" t="n">
        <v>8704.796721000001</v>
      </c>
      <c r="U4" s="703" t="n">
        <v>0</v>
      </c>
      <c r="V4" s="703" t="n">
        <v>1242.252932</v>
      </c>
      <c r="W4" s="703">
        <f>SUM(T4:V4)</f>
        <v/>
      </c>
      <c r="X4" s="703" t="n">
        <v>1402.304143</v>
      </c>
      <c r="Y4" s="703" t="n">
        <v>742.65048</v>
      </c>
      <c r="Z4" s="703" t="n">
        <v>430.381249</v>
      </c>
      <c r="AA4" s="703">
        <f>SUM(X4:Z4)</f>
        <v/>
      </c>
      <c r="AB4" s="703" t="n">
        <v>3459.265113</v>
      </c>
      <c r="AC4" s="318">
        <f>SUM(K4+O4+S4+W4+AA4+AB4)</f>
        <v/>
      </c>
      <c r="AD4" s="319">
        <f>IF(F4=0,"",K4/(F4/((YEAR(E4)*12+MONTH(E4))-(YEAR(D4)*12+MONTH(D4))+1)))</f>
        <v/>
      </c>
      <c r="AE4" s="319">
        <f>G4/F4</f>
        <v/>
      </c>
      <c r="AF4" s="704">
        <f>F4-G4</f>
        <v/>
      </c>
      <c r="AG4" s="321">
        <f>SUM(F4:F8)</f>
        <v/>
      </c>
      <c r="AH4" s="322">
        <f>AH9</f>
        <v/>
      </c>
      <c r="AI4" s="705">
        <f>AI9</f>
        <v/>
      </c>
      <c r="AJ4" s="706" t="inlineStr"/>
      <c r="AK4" s="706" t="inlineStr"/>
      <c r="AL4" s="706" t="inlineStr">
        <is>
          <t>开始日期</t>
        </is>
      </c>
      <c r="AM4" s="706" t="inlineStr">
        <is>
          <t>结束日期</t>
        </is>
      </c>
      <c r="AN4" s="706" t="inlineStr"/>
      <c r="AO4" s="706" t="inlineStr"/>
      <c r="AP4" s="706" t="inlineStr"/>
      <c r="AQ4" s="706" t="inlineStr"/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16386.078859</v>
      </c>
      <c r="H5" s="707" t="n">
        <v>0</v>
      </c>
      <c r="I5" s="707" t="n">
        <v>0</v>
      </c>
      <c r="J5" s="707" t="n">
        <v>0</v>
      </c>
      <c r="K5" s="707">
        <f>SUM(H5:J5)</f>
        <v/>
      </c>
      <c r="L5" s="707" t="n">
        <v>573.28128</v>
      </c>
      <c r="M5" s="707" t="n">
        <v>0</v>
      </c>
      <c r="N5" s="707" t="n">
        <v>191.489795</v>
      </c>
      <c r="O5" s="707">
        <f>SUM(L5:N5)</f>
        <v/>
      </c>
      <c r="P5" s="707" t="n">
        <v>249.800095</v>
      </c>
      <c r="Q5" s="707" t="n">
        <v>5040.9216</v>
      </c>
      <c r="R5" s="707" t="n">
        <v>342.801462</v>
      </c>
      <c r="S5" s="707">
        <f>SUM(P5:R5)</f>
        <v/>
      </c>
      <c r="T5" s="707" t="n">
        <v>1613.445926</v>
      </c>
      <c r="U5" s="707" t="n">
        <v>0</v>
      </c>
      <c r="V5" s="707" t="n">
        <v>488.407071</v>
      </c>
      <c r="W5" s="707">
        <f>SUM(T5:V5)</f>
        <v/>
      </c>
      <c r="X5" s="707" t="n">
        <v>454.800547</v>
      </c>
      <c r="Y5" s="707" t="n">
        <v>0</v>
      </c>
      <c r="Z5" s="707" t="n">
        <v>289.117436</v>
      </c>
      <c r="AA5" s="707">
        <f>SUM(X5:Z5)</f>
        <v/>
      </c>
      <c r="AB5" s="707" t="n">
        <v>3311.566531</v>
      </c>
      <c r="AC5" s="271">
        <f>SUM(K5+O5+S5+W5+AA5+AB5)</f>
        <v/>
      </c>
      <c r="AD5" s="326">
        <f>IF(F5=0,"",K5/(F5/((YEAR(E5)*12+MONTH(E5))-(YEAR(D5)*12+MONTH(D5))+1)))</f>
        <v/>
      </c>
      <c r="AE5" s="326">
        <f>G5/F5</f>
        <v/>
      </c>
      <c r="AF5" s="708">
        <f>F5-G5</f>
        <v/>
      </c>
      <c r="AG5" s="500" t="n"/>
      <c r="AH5" s="500" t="n"/>
      <c r="AI5" s="500" t="n"/>
      <c r="AJ5" s="706" t="inlineStr"/>
      <c r="AK5" s="706" t="inlineStr"/>
      <c r="AL5" s="328" t="n">
        <v>46023</v>
      </c>
      <c r="AM5" s="328" t="n">
        <v>46203</v>
      </c>
      <c r="AN5" s="706" t="inlineStr"/>
      <c r="AO5" s="706" t="inlineStr"/>
      <c r="AP5" s="706" t="inlineStr"/>
      <c r="AQ5" s="706" t="inlineStr"/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129768.875643</v>
      </c>
      <c r="H6" s="707" t="n">
        <v>0</v>
      </c>
      <c r="I6" s="707" t="n">
        <v>0</v>
      </c>
      <c r="J6" s="707" t="n">
        <v>0</v>
      </c>
      <c r="K6" s="707">
        <f>SUM(H6:J6)</f>
        <v/>
      </c>
      <c r="L6" s="707" t="n">
        <v>15008.571418</v>
      </c>
      <c r="M6" s="707" t="n">
        <v>71693.622</v>
      </c>
      <c r="N6" s="707" t="n">
        <v>1121.931402</v>
      </c>
      <c r="O6" s="707">
        <f>SUM(L6:N6)</f>
        <v/>
      </c>
      <c r="P6" s="707" t="n">
        <v>3788.477067</v>
      </c>
      <c r="Q6" s="707" t="n">
        <v>0</v>
      </c>
      <c r="R6" s="707" t="n">
        <v>1122.243766</v>
      </c>
      <c r="S6" s="707">
        <f>SUM(P6:R6)</f>
        <v/>
      </c>
      <c r="T6" s="707" t="n">
        <v>1444.66245</v>
      </c>
      <c r="U6" s="707" t="n">
        <v>0</v>
      </c>
      <c r="V6" s="707" t="n">
        <v>1063.763858</v>
      </c>
      <c r="W6" s="707">
        <f>SUM(T6:V6)</f>
        <v/>
      </c>
      <c r="X6" s="707" t="n">
        <v>9688.821542</v>
      </c>
      <c r="Y6" s="707" t="n">
        <v>0</v>
      </c>
      <c r="Z6" s="707" t="n">
        <v>606.6776630000001</v>
      </c>
      <c r="AA6" s="707">
        <f>SUM(X6:Z6)</f>
        <v/>
      </c>
      <c r="AB6" s="707" t="n">
        <v>13116.995922</v>
      </c>
      <c r="AC6" s="271">
        <f>SUM(K6+O6+S6+W6+AA6+AB6)</f>
        <v/>
      </c>
      <c r="AD6" s="326">
        <f>IF(F6=0,"",K6/(F6/((YEAR(E6)*12+MONTH(E6))-(YEAR(D6)*12+MONTH(D6))+1)))</f>
        <v/>
      </c>
      <c r="AE6" s="326">
        <f>G6/F6</f>
        <v/>
      </c>
      <c r="AF6" s="708">
        <f>F6-G6</f>
        <v/>
      </c>
      <c r="AG6" s="500" t="n"/>
      <c r="AH6" s="500" t="n"/>
      <c r="AI6" s="500" t="n"/>
      <c r="AJ6" s="706" t="inlineStr"/>
      <c r="AK6" s="706" t="inlineStr"/>
      <c r="AL6" s="706" t="inlineStr">
        <is>
          <t>计算日期</t>
        </is>
      </c>
      <c r="AM6" s="706">
        <f>W5-V5</f>
        <v/>
      </c>
      <c r="AN6" s="706" t="inlineStr">
        <is>
          <t>时间进度</t>
        </is>
      </c>
      <c r="AO6" s="706" t="inlineStr"/>
      <c r="AP6" s="706" t="inlineStr"/>
      <c r="AQ6" s="706" t="inlineStr"/>
      <c r="AR6" s="706" t="inlineStr"/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3546.790518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66.7758</v>
      </c>
      <c r="M7" s="707" t="n">
        <v>0</v>
      </c>
      <c r="N7" s="707" t="n">
        <v>22.323011</v>
      </c>
      <c r="O7" s="707">
        <f>SUM(L7:N7)</f>
        <v/>
      </c>
      <c r="P7" s="707" t="n">
        <v>133.5516</v>
      </c>
      <c r="Q7" s="707" t="n">
        <v>0</v>
      </c>
      <c r="R7" s="707" t="n">
        <v>22.107856</v>
      </c>
      <c r="S7" s="707">
        <f>SUM(P7:R7)</f>
        <v/>
      </c>
      <c r="T7" s="707" t="n">
        <v>500.150742</v>
      </c>
      <c r="U7" s="707" t="n">
        <v>0</v>
      </c>
      <c r="V7" s="707" t="n">
        <v>157.397938</v>
      </c>
      <c r="W7" s="707">
        <f>SUM(T7:V7)</f>
        <v/>
      </c>
      <c r="X7" s="707" t="n">
        <v>267.1032</v>
      </c>
      <c r="Y7" s="707" t="n">
        <v>0</v>
      </c>
      <c r="Z7" s="707" t="n">
        <v>25.494675</v>
      </c>
      <c r="AA7" s="707">
        <f>SUM(X7:Z7)</f>
        <v/>
      </c>
      <c r="AB7" s="707" t="n">
        <v>2351.885696</v>
      </c>
      <c r="AC7" s="271">
        <f>SUM(K7+O7+S7+W7+AA7+AB7)</f>
        <v/>
      </c>
      <c r="AD7" s="326">
        <f>IF(F7=0,"",K7/(F7/((YEAR(E7)*12+MONTH(E7))-(YEAR(D7)*12+MONTH(D7))+1)))</f>
        <v/>
      </c>
      <c r="AE7" s="326">
        <f>G7/F7</f>
        <v/>
      </c>
      <c r="AF7" s="708">
        <f>F7-G7</f>
        <v/>
      </c>
      <c r="AG7" s="500" t="n"/>
      <c r="AH7" s="500" t="n"/>
      <c r="AI7" s="500" t="n"/>
      <c r="AJ7" s="706" t="inlineStr"/>
      <c r="AK7" s="706" t="inlineStr"/>
      <c r="AL7" s="709" t="n">
        <v>46178</v>
      </c>
      <c r="AM7" s="330">
        <f>AM5-AL5+1</f>
        <v/>
      </c>
      <c r="AN7" s="331">
        <f>(AL7-AL5+1)/AM7</f>
        <v/>
      </c>
      <c r="AO7" s="706" t="inlineStr"/>
      <c r="AP7" s="706" t="inlineStr"/>
      <c r="AQ7" s="706" t="inlineStr"/>
      <c r="AR7" s="706" t="inlineStr"/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23664.438388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130.02444</v>
      </c>
      <c r="M8" s="707" t="n">
        <v>0</v>
      </c>
      <c r="N8" s="707" t="n">
        <v>16.066547</v>
      </c>
      <c r="O8" s="707">
        <f>SUM(L8:N8)</f>
        <v/>
      </c>
      <c r="P8" s="707" t="n">
        <v>0</v>
      </c>
      <c r="Q8" s="707" t="n">
        <v>2724.3216</v>
      </c>
      <c r="R8" s="707" t="n">
        <v>12.779778</v>
      </c>
      <c r="S8" s="707">
        <f>SUM(P8:R8)</f>
        <v/>
      </c>
      <c r="T8" s="707" t="n">
        <v>0</v>
      </c>
      <c r="U8" s="707" t="n">
        <v>22785.2352</v>
      </c>
      <c r="V8" s="707" t="n">
        <v>13.774172</v>
      </c>
      <c r="W8" s="707">
        <f>SUM(T8:V8)</f>
        <v/>
      </c>
      <c r="X8" s="707" t="n">
        <v>41.2776</v>
      </c>
      <c r="Y8" s="707" t="n">
        <v>0</v>
      </c>
      <c r="Z8" s="707" t="n">
        <v>18.646322</v>
      </c>
      <c r="AA8" s="707">
        <f>SUM(X8:Z8)</f>
        <v/>
      </c>
      <c r="AB8" s="707" t="n">
        <v>683.02396</v>
      </c>
      <c r="AC8" s="271">
        <f>SUM(K8+O8+S8+W8+AA8+AB8)</f>
        <v/>
      </c>
      <c r="AD8" s="326">
        <f>IF(F8=0,"",K8/(F8/((YEAR(E8)*12+MONTH(E8))-(YEAR(D8)*12+MONTH(D8))+1)))</f>
        <v/>
      </c>
      <c r="AE8" s="326">
        <f>G8/F8</f>
        <v/>
      </c>
      <c r="AF8" s="708">
        <f>F8-G8</f>
        <v/>
      </c>
      <c r="AG8" s="513" t="n"/>
      <c r="AH8" s="513" t="n"/>
      <c r="AI8" s="513" t="n"/>
      <c r="AJ8" s="706" t="inlineStr"/>
      <c r="AK8" s="706" t="inlineStr"/>
      <c r="AL8" s="706" t="inlineStr"/>
      <c r="AM8" s="706" t="inlineStr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1">
        <f>SUM(K9+O9+S9+W9+AA9+AB9)</f>
        <v/>
      </c>
      <c r="AD9" s="335">
        <f>IF(F9=0,"",K9/(F9/((YEAR(E4)*12+MONTH(E4))-(YEAR(D4)*12+MONTH(D4))+1)))</f>
        <v/>
      </c>
      <c r="AE9" s="336">
        <f>G9/F9</f>
        <v/>
      </c>
      <c r="AF9" s="711">
        <f>F9-G9</f>
        <v/>
      </c>
      <c r="AG9" s="337">
        <f>AG4</f>
        <v/>
      </c>
      <c r="AH9" s="335">
        <f>AC9/AG4</f>
        <v/>
      </c>
      <c r="AI9" s="712">
        <f>AG4-AC9</f>
        <v/>
      </c>
      <c r="AJ9" s="713" t="inlineStr"/>
      <c r="AK9" s="713" t="inlineStr"/>
      <c r="AL9" s="340" t="n">
        <v>46136</v>
      </c>
      <c r="AM9" s="713" t="inlineStr"/>
      <c r="AN9" s="341">
        <f>(AD10-DATE(YEAR(AD10),1,1)+1)/AE9</f>
        <v/>
      </c>
      <c r="AO9" s="713" t="inlineStr"/>
      <c r="AP9" s="713" t="inlineStr"/>
      <c r="AQ9" s="713" t="inlineStr"/>
      <c r="AR9" s="713" t="inlineStr"/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22511.869705</v>
      </c>
      <c r="H10" s="703" t="n">
        <v>1376.027403</v>
      </c>
      <c r="I10" s="703" t="n">
        <v>0</v>
      </c>
      <c r="J10" s="703" t="n">
        <v>0</v>
      </c>
      <c r="K10" s="703">
        <f>SUM(H10:J10)</f>
        <v/>
      </c>
      <c r="L10" s="703" t="n">
        <v>4233.38058</v>
      </c>
      <c r="M10" s="703" t="n">
        <v>0</v>
      </c>
      <c r="N10" s="703" t="n">
        <v>103.388547</v>
      </c>
      <c r="O10" s="703">
        <f>SUM(L10:N10)</f>
        <v/>
      </c>
      <c r="P10" s="703" t="n">
        <v>2418.943367</v>
      </c>
      <c r="Q10" s="703" t="n">
        <v>2443.706261</v>
      </c>
      <c r="R10" s="703" t="n">
        <v>88.105912</v>
      </c>
      <c r="S10" s="703">
        <f>SUM(P10:R10)</f>
        <v/>
      </c>
      <c r="T10" s="703" t="n">
        <v>2574.496213</v>
      </c>
      <c r="U10" s="703" t="n">
        <v>2927.70165</v>
      </c>
      <c r="V10" s="703" t="n">
        <v>154.748145</v>
      </c>
      <c r="W10" s="703">
        <f>SUM(T10:V10)</f>
        <v/>
      </c>
      <c r="X10" s="703" t="n">
        <v>745.691219</v>
      </c>
      <c r="Y10" s="703" t="n">
        <v>2330.36622</v>
      </c>
      <c r="Z10" s="703" t="n">
        <v>72.478376</v>
      </c>
      <c r="AA10" s="703">
        <f>SUM(X10:Z10)</f>
        <v/>
      </c>
      <c r="AB10" s="703" t="n">
        <v>3042.835811</v>
      </c>
      <c r="AC10" s="318">
        <f>SUM(K10+O10+S10+W10+AA10+AB10)</f>
        <v/>
      </c>
      <c r="AD10" s="319">
        <f>IF(F10=0,"",K10/(F10/((YEAR(E10)*12+MONTH(E10))-(YEAR(D10)*12+MONTH(D10))+1)))</f>
        <v/>
      </c>
      <c r="AE10" s="319">
        <f>G10/F10</f>
        <v/>
      </c>
      <c r="AF10" s="704">
        <f>F10-G10</f>
        <v/>
      </c>
      <c r="AG10" s="321">
        <f>SUM(F10:F14)</f>
        <v/>
      </c>
      <c r="AH10" s="322">
        <f>AH15</f>
        <v/>
      </c>
      <c r="AI10" s="705">
        <f>AI15</f>
        <v/>
      </c>
      <c r="AJ10" s="706" t="inlineStr"/>
      <c r="AK10" s="706" t="inlineStr"/>
      <c r="AL10" s="706" t="inlineStr"/>
      <c r="AM10" s="706" t="inlineStr"/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139.11456</v>
      </c>
      <c r="M11" s="707" t="n">
        <v>2956.1844</v>
      </c>
      <c r="N11" s="707" t="n">
        <v>14.716853</v>
      </c>
      <c r="O11" s="707">
        <f>SUM(L11:N11)</f>
        <v/>
      </c>
      <c r="P11" s="707" t="n">
        <v>280.185418</v>
      </c>
      <c r="Q11" s="707" t="n">
        <v>773.505646</v>
      </c>
      <c r="R11" s="707" t="n">
        <v>3.573146</v>
      </c>
      <c r="S11" s="707">
        <f>SUM(P11:R11)</f>
        <v/>
      </c>
      <c r="T11" s="707" t="n">
        <v>43.4733</v>
      </c>
      <c r="U11" s="707" t="n">
        <v>0</v>
      </c>
      <c r="V11" s="707" t="n">
        <v>10.334614</v>
      </c>
      <c r="W11" s="707">
        <f>SUM(T11:V11)</f>
        <v/>
      </c>
      <c r="X11" s="707" t="n">
        <v>0</v>
      </c>
      <c r="Y11" s="707" t="n">
        <v>0</v>
      </c>
      <c r="Z11" s="707" t="n">
        <v>0</v>
      </c>
      <c r="AA11" s="707">
        <f>SUM(X11:Z11)</f>
        <v/>
      </c>
      <c r="AB11" s="707" t="n">
        <v>0</v>
      </c>
      <c r="AC11" s="271">
        <f>SUM(K11+O11+S11+W11+AA11+AB11)</f>
        <v/>
      </c>
      <c r="AD11" s="326">
        <f>IF(F11=0,"",K11/(F11/((YEAR(E11)*12+MONTH(E11))-(YEAR(D11)*12+MONTH(D11))+1)))</f>
        <v/>
      </c>
      <c r="AE11" s="326">
        <f>G11/F11</f>
        <v/>
      </c>
      <c r="AF11" s="708">
        <f>F11-G11</f>
        <v/>
      </c>
      <c r="AG11" s="500" t="n"/>
      <c r="AH11" s="500" t="n"/>
      <c r="AI11" s="500" t="n"/>
      <c r="AJ11" s="706" t="inlineStr"/>
      <c r="AK11" s="706" t="inlineStr"/>
      <c r="AL11" s="706" t="inlineStr"/>
      <c r="AM11" s="706" t="inlineStr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21764.340451</v>
      </c>
      <c r="H12" s="707" t="n">
        <v>5138.663789</v>
      </c>
      <c r="I12" s="707" t="n">
        <v>0</v>
      </c>
      <c r="J12" s="707" t="n">
        <v>0</v>
      </c>
      <c r="K12" s="707">
        <f>SUM(H12:J12)</f>
        <v/>
      </c>
      <c r="L12" s="707" t="n">
        <v>527.86032</v>
      </c>
      <c r="M12" s="707" t="n">
        <v>0</v>
      </c>
      <c r="N12" s="707" t="n">
        <v>176.99322</v>
      </c>
      <c r="O12" s="707">
        <f>SUM(L12:N12)</f>
        <v/>
      </c>
      <c r="P12" s="707" t="n">
        <v>5719.894428</v>
      </c>
      <c r="Q12" s="707" t="n">
        <v>0</v>
      </c>
      <c r="R12" s="707" t="n">
        <v>170.991639</v>
      </c>
      <c r="S12" s="707">
        <f>SUM(P12:R12)</f>
        <v/>
      </c>
      <c r="T12" s="707" t="n">
        <v>2659.960961</v>
      </c>
      <c r="U12" s="707" t="n">
        <v>0</v>
      </c>
      <c r="V12" s="707" t="n">
        <v>743.622962</v>
      </c>
      <c r="W12" s="707">
        <f>SUM(T12:V12)</f>
        <v/>
      </c>
      <c r="X12" s="707" t="n">
        <v>0</v>
      </c>
      <c r="Y12" s="707" t="n">
        <v>0</v>
      </c>
      <c r="Z12" s="707" t="n">
        <v>144.157177</v>
      </c>
      <c r="AA12" s="707">
        <f>SUM(X12:Z12)</f>
        <v/>
      </c>
      <c r="AB12" s="707" t="n">
        <v>6482.195956</v>
      </c>
      <c r="AC12" s="271">
        <f>SUM(K12+O12+S12+W12+AA12+AB12)</f>
        <v/>
      </c>
      <c r="AD12" s="326">
        <f>IF(F12=0,"",K12/(F12/((YEAR(E12)*12+MONTH(E12))-(YEAR(D12)*12+MONTH(D12))+1)))</f>
        <v/>
      </c>
      <c r="AE12" s="326">
        <f>G12/F12</f>
        <v/>
      </c>
      <c r="AF12" s="708">
        <f>F12-G12</f>
        <v/>
      </c>
      <c r="AG12" s="500" t="n"/>
      <c r="AH12" s="500" t="n"/>
      <c r="AI12" s="500" t="n"/>
      <c r="AJ12" s="706" t="inlineStr"/>
      <c r="AK12" s="706" t="inlineStr"/>
      <c r="AL12" s="706" t="inlineStr"/>
      <c r="AM12" s="706" t="inlineStr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</row>
    <row r="13" outlineLevel="1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1009.96038</v>
      </c>
      <c r="H13" s="707" t="n">
        <v>0</v>
      </c>
      <c r="I13" s="707" t="n">
        <v>0</v>
      </c>
      <c r="J13" s="707" t="n">
        <v>0</v>
      </c>
      <c r="K13" s="707">
        <f>SUM(H13:J13)</f>
        <v/>
      </c>
      <c r="L13" s="707" t="n">
        <v>153.0243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0</v>
      </c>
      <c r="R13" s="707" t="n">
        <v>0</v>
      </c>
      <c r="S13" s="707">
        <f>SUM(P13:R13)</f>
        <v/>
      </c>
      <c r="T13" s="707" t="n">
        <v>0</v>
      </c>
      <c r="U13" s="707" t="n">
        <v>856.9360799999999</v>
      </c>
      <c r="V13" s="707" t="n">
        <v>0</v>
      </c>
      <c r="W13" s="707">
        <f>SUM(T13:V13)</f>
        <v/>
      </c>
      <c r="X13" s="707" t="n">
        <v>0</v>
      </c>
      <c r="Y13" s="707" t="n">
        <v>0</v>
      </c>
      <c r="Z13" s="707" t="n">
        <v>0</v>
      </c>
      <c r="AA13" s="707">
        <f>SUM(X13:Z13)</f>
        <v/>
      </c>
      <c r="AB13" s="707" t="n">
        <v>0</v>
      </c>
      <c r="AC13" s="271">
        <f>SUM(K13+O13+S13+W13+AA13+AB13)</f>
        <v/>
      </c>
      <c r="AD13" s="326">
        <f>IF(F13=0,"",K13/(F13/((YEAR(E13)*12+MONTH(E13))-(YEAR(D13)*12+MONTH(D13))+1)))</f>
        <v/>
      </c>
      <c r="AE13" s="326">
        <f>G13/F13</f>
        <v/>
      </c>
      <c r="AF13" s="708">
        <f>F13-G13</f>
        <v/>
      </c>
      <c r="AG13" s="500" t="n"/>
      <c r="AH13" s="500" t="n"/>
      <c r="AI13" s="500" t="n"/>
      <c r="AJ13" s="706" t="inlineStr"/>
      <c r="AK13" s="706" t="inlineStr"/>
      <c r="AL13" s="706" t="inlineStr"/>
      <c r="AM13" s="706" t="inlineStr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</row>
    <row r="14" outlineLevel="1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10427.954848</v>
      </c>
      <c r="H14" s="707" t="n">
        <v>522.834624</v>
      </c>
      <c r="I14" s="707" t="n">
        <v>0</v>
      </c>
      <c r="J14" s="707" t="n">
        <v>0</v>
      </c>
      <c r="K14" s="707">
        <f>SUM(H14:J14)</f>
        <v/>
      </c>
      <c r="L14" s="707" t="n">
        <v>988.28496</v>
      </c>
      <c r="M14" s="707" t="n">
        <v>0</v>
      </c>
      <c r="N14" s="707" t="n">
        <v>154.671299</v>
      </c>
      <c r="O14" s="707">
        <f>SUM(L14:N14)</f>
        <v/>
      </c>
      <c r="P14" s="707" t="n">
        <v>3291.566745</v>
      </c>
      <c r="Q14" s="707" t="n">
        <v>0</v>
      </c>
      <c r="R14" s="707" t="n">
        <v>242.965979</v>
      </c>
      <c r="S14" s="707">
        <f>SUM(P14:R14)</f>
        <v/>
      </c>
      <c r="T14" s="707" t="n">
        <v>3556.620439</v>
      </c>
      <c r="U14" s="707" t="n">
        <v>0</v>
      </c>
      <c r="V14" s="707" t="n">
        <v>446.103228</v>
      </c>
      <c r="W14" s="707">
        <f>SUM(T14:V14)</f>
        <v/>
      </c>
      <c r="X14" s="707" t="n">
        <v>1054.327266</v>
      </c>
      <c r="Y14" s="707" t="n">
        <v>0</v>
      </c>
      <c r="Z14" s="707" t="n">
        <v>170.580309</v>
      </c>
      <c r="AA14" s="707">
        <f>SUM(X14:Z14)</f>
        <v/>
      </c>
      <c r="AB14" s="707" t="n">
        <v>692.512431</v>
      </c>
      <c r="AC14" s="271">
        <f>SUM(K14+O14+S14+W14+AA14+AB14)</f>
        <v/>
      </c>
      <c r="AD14" s="326">
        <f>IF(F14=0,"",K14/(F14/((YEAR(E14)*12+MONTH(E14))-(YEAR(D14)*12+MONTH(D14))+1)))</f>
        <v/>
      </c>
      <c r="AE14" s="326">
        <f>G14/F14</f>
        <v/>
      </c>
      <c r="AF14" s="708">
        <f>F14-G14</f>
        <v/>
      </c>
      <c r="AG14" s="513" t="n"/>
      <c r="AH14" s="513" t="n"/>
      <c r="AI14" s="513" t="n"/>
      <c r="AJ14" s="706" t="inlineStr"/>
      <c r="AK14" s="706" t="inlineStr"/>
      <c r="AL14" s="706" t="inlineStr"/>
      <c r="AM14" s="706" t="inlineStr"/>
      <c r="AN14" s="706" t="inlineStr"/>
      <c r="AO14" s="706" t="inlineStr"/>
      <c r="AP14" s="706" t="inlineStr"/>
      <c r="AQ14" s="706" t="inlineStr"/>
      <c r="AR14" s="706" t="inlineStr"/>
      <c r="AS14" s="706" t="inlineStr"/>
      <c r="AT14" s="706" t="inlineStr"/>
      <c r="AU14" s="706" t="inlineStr"/>
      <c r="AV14" s="706" t="inlineStr"/>
      <c r="AW14" s="706" t="inlineStr"/>
      <c r="AX14" s="706" t="inlineStr"/>
      <c r="AY14" s="706" t="inlineStr"/>
      <c r="AZ14" s="706" t="inlineStr"/>
      <c r="BA14" s="706" t="inlineStr"/>
      <c r="BB14" s="706" t="inlineStr"/>
      <c r="BC14" s="706" t="inlineStr"/>
      <c r="BD14" s="706" t="inlineStr"/>
      <c r="BE14" s="706" t="inlineStr"/>
      <c r="BF14" s="706" t="inlineStr"/>
      <c r="BG14" s="706" t="inlineStr"/>
      <c r="BH14" s="706" t="inlineStr"/>
      <c r="BI14" s="706" t="inlineStr"/>
    </row>
    <row r="15" outlineLevel="1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0">
        <f>SUM(Y10:Y14)</f>
        <v/>
      </c>
      <c r="Z15" s="710">
        <f>SUM(Z10:Z14)</f>
        <v/>
      </c>
      <c r="AA15" s="710">
        <f>SUM(AA10:AA14)</f>
        <v/>
      </c>
      <c r="AB15" s="710">
        <f>SUM(AB10:AB14)</f>
        <v/>
      </c>
      <c r="AC15" s="711">
        <f>SUM(K15+O15+S15+W15+AA15+AB15)</f>
        <v/>
      </c>
      <c r="AD15" s="335">
        <f>IF(F15=0,"",K15/(F15/((YEAR(E10)*12+MONTH(E10))-(YEAR(D10)*12+MONTH(D10))+1)))</f>
        <v/>
      </c>
      <c r="AE15" s="336">
        <f>G15/F15</f>
        <v/>
      </c>
      <c r="AF15" s="711">
        <f>F15-G15</f>
        <v/>
      </c>
      <c r="AG15" s="337">
        <f>AG10</f>
        <v/>
      </c>
      <c r="AH15" s="335">
        <f>AC15/AG10</f>
        <v/>
      </c>
      <c r="AI15" s="712">
        <f>AG10-AC15</f>
        <v/>
      </c>
      <c r="AJ15" s="713" t="inlineStr"/>
      <c r="AK15" s="713" t="inlineStr"/>
      <c r="AL15" s="713" t="inlineStr"/>
      <c r="AM15" s="713" t="inlineStr"/>
      <c r="AN15" s="713" t="inlineStr"/>
      <c r="AO15" s="713" t="inlineStr"/>
      <c r="AP15" s="713" t="inlineStr"/>
      <c r="AQ15" s="713" t="inlineStr"/>
      <c r="AR15" s="713" t="inlineStr"/>
      <c r="AS15" s="713" t="inlineStr"/>
      <c r="AT15" s="713" t="inlineStr"/>
      <c r="AU15" s="713" t="inlineStr"/>
      <c r="AV15" s="713" t="inlineStr"/>
      <c r="AW15" s="713" t="inlineStr"/>
      <c r="AX15" s="713" t="inlineStr"/>
      <c r="AY15" s="713" t="inlineStr"/>
      <c r="AZ15" s="713" t="inlineStr"/>
      <c r="BA15" s="713" t="inlineStr"/>
      <c r="BB15" s="713" t="inlineStr"/>
      <c r="BC15" s="713" t="inlineStr"/>
      <c r="BD15" s="713" t="inlineStr"/>
      <c r="BE15" s="713" t="inlineStr"/>
      <c r="BF15" s="713" t="inlineStr"/>
      <c r="BG15" s="713" t="inlineStr"/>
      <c r="BH15" s="713" t="inlineStr"/>
      <c r="BI15" s="713" t="inlineStr"/>
    </row>
    <row r="16" outlineLevel="1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9177.328033</v>
      </c>
      <c r="H16" s="703" t="n">
        <v>0</v>
      </c>
      <c r="I16" s="703" t="n">
        <v>0</v>
      </c>
      <c r="J16" s="703" t="n">
        <v>0</v>
      </c>
      <c r="K16" s="703">
        <f>SUM(H16:J16)</f>
        <v/>
      </c>
      <c r="L16" s="703" t="n">
        <v>1775.62125</v>
      </c>
      <c r="M16" s="703" t="n">
        <v>0</v>
      </c>
      <c r="N16" s="703" t="n">
        <v>63.897673</v>
      </c>
      <c r="O16" s="703">
        <f>SUM(L16:N16)</f>
        <v/>
      </c>
      <c r="P16" s="703" t="n">
        <v>2171.402323</v>
      </c>
      <c r="Q16" s="703" t="n">
        <v>0</v>
      </c>
      <c r="R16" s="703" t="n">
        <v>14.593625</v>
      </c>
      <c r="S16" s="703">
        <f>SUM(P16:R16)</f>
        <v/>
      </c>
      <c r="T16" s="703" t="n">
        <v>1305.1575</v>
      </c>
      <c r="U16" s="703" t="n">
        <v>1178.4864</v>
      </c>
      <c r="V16" s="703" t="n">
        <v>22.441342</v>
      </c>
      <c r="W16" s="703">
        <f>SUM(T16:V16)</f>
        <v/>
      </c>
      <c r="X16" s="703" t="n">
        <v>0</v>
      </c>
      <c r="Y16" s="703" t="n">
        <v>0</v>
      </c>
      <c r="Z16" s="703" t="n">
        <v>15.177921</v>
      </c>
      <c r="AA16" s="703">
        <f>SUM(X16:Z16)</f>
        <v/>
      </c>
      <c r="AB16" s="703" t="n">
        <v>2630.55</v>
      </c>
      <c r="AC16" s="318">
        <f>SUM(K16+O16+S16+W16+AA16+AB16)</f>
        <v/>
      </c>
      <c r="AD16" s="319">
        <f>IF(F16=0,"",K16/(F16/((YEAR(E16)*12+MONTH(E16))-(YEAR(D16)*12+MONTH(D16))+1)))</f>
        <v/>
      </c>
      <c r="AE16" s="319">
        <f>G16/F16</f>
        <v/>
      </c>
      <c r="AF16" s="704">
        <f>F16-G16</f>
        <v/>
      </c>
      <c r="AG16" s="321">
        <f>SUM(F16:F19)</f>
        <v/>
      </c>
      <c r="AH16" s="322">
        <f>AH20</f>
        <v/>
      </c>
      <c r="AI16" s="705">
        <f>AI20</f>
        <v/>
      </c>
      <c r="AJ16" s="706" t="inlineStr"/>
      <c r="AK16" s="706" t="inlineStr"/>
      <c r="AL16" s="706" t="inlineStr"/>
      <c r="AM16" s="706" t="inlineStr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</row>
    <row r="17" outlineLevel="1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2.157894</v>
      </c>
      <c r="O17" s="707">
        <f>SUM(L17:N17)</f>
        <v/>
      </c>
      <c r="P17" s="707" t="n">
        <v>0</v>
      </c>
      <c r="Q17" s="707" t="n">
        <v>0</v>
      </c>
      <c r="R17" s="707" t="n">
        <v>2.058637</v>
      </c>
      <c r="S17" s="707">
        <f>SUM(P17:R17)</f>
        <v/>
      </c>
      <c r="T17" s="707" t="n">
        <v>0</v>
      </c>
      <c r="U17" s="707" t="n">
        <v>0</v>
      </c>
      <c r="V17" s="707" t="n">
        <v>3.23046</v>
      </c>
      <c r="W17" s="707">
        <f>SUM(T17:V17)</f>
        <v/>
      </c>
      <c r="X17" s="707" t="n">
        <v>25.0224</v>
      </c>
      <c r="Y17" s="707" t="n">
        <v>1050.9408</v>
      </c>
      <c r="Z17" s="707" t="n">
        <v>3.667668</v>
      </c>
      <c r="AA17" s="707">
        <f>SUM(X17:Z17)</f>
        <v/>
      </c>
      <c r="AB17" s="707" t="n">
        <v>125.112</v>
      </c>
      <c r="AC17" s="271">
        <f>SUM(K17+O17+S17+W17+AA17+AB17)</f>
        <v/>
      </c>
      <c r="AD17" s="326">
        <f>IF(F17=0,"",K17/(F17/((YEAR(E17)*12+MONTH(E17))-(YEAR(D17)*12+MONTH(D17))+1)))</f>
        <v/>
      </c>
      <c r="AE17" s="326">
        <f>G17/F17</f>
        <v/>
      </c>
      <c r="AF17" s="708">
        <f>F17-G17</f>
        <v/>
      </c>
      <c r="AG17" s="500" t="n"/>
      <c r="AH17" s="500" t="n"/>
      <c r="AI17" s="500" t="n"/>
      <c r="AJ17" s="706" t="inlineStr"/>
      <c r="AK17" s="706" t="inlineStr"/>
      <c r="AL17" s="706" t="inlineStr"/>
      <c r="AM17" s="706" t="inlineStr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</row>
    <row r="18" outlineLevel="1" ht="14.25" customFormat="1" customHeight="1" s="483">
      <c r="A18" s="500" t="n"/>
      <c r="B18" s="707" t="inlineStr">
        <is>
          <t>理财师035</t>
        </is>
      </c>
      <c r="C18" s="707" t="inlineStr"/>
      <c r="D18" s="707" t="inlineStr"/>
      <c r="E18" s="707" t="inlineStr"/>
      <c r="F18" s="707" t="n">
        <v>0</v>
      </c>
      <c r="G18" s="707" t="n">
        <v>4591.047695</v>
      </c>
      <c r="H18" s="707" t="n">
        <v>173.70834</v>
      </c>
      <c r="I18" s="707" t="n">
        <v>0</v>
      </c>
      <c r="J18" s="707" t="n">
        <v>0</v>
      </c>
      <c r="K18" s="707">
        <f>SUM(H18:J18)</f>
        <v/>
      </c>
      <c r="L18" s="707" t="n">
        <v>539.9043</v>
      </c>
      <c r="M18" s="707" t="n">
        <v>1859.14872</v>
      </c>
      <c r="N18" s="707" t="n">
        <v>20.425227</v>
      </c>
      <c r="O18" s="707">
        <f>SUM(L18:N18)</f>
        <v/>
      </c>
      <c r="P18" s="707" t="n">
        <v>0</v>
      </c>
      <c r="Q18" s="707" t="n">
        <v>0</v>
      </c>
      <c r="R18" s="707" t="n">
        <v>43.453355</v>
      </c>
      <c r="S18" s="707">
        <f>SUM(P18:R18)</f>
        <v/>
      </c>
      <c r="T18" s="707" t="n">
        <v>0</v>
      </c>
      <c r="U18" s="707" t="n">
        <v>1943.65548</v>
      </c>
      <c r="V18" s="707" t="n">
        <v>10.752272</v>
      </c>
      <c r="W18" s="707">
        <f>SUM(T18:V18)</f>
        <v/>
      </c>
      <c r="X18" s="707" t="n">
        <v>0</v>
      </c>
      <c r="Y18" s="707" t="n">
        <v>0</v>
      </c>
      <c r="Z18" s="707" t="n">
        <v>0</v>
      </c>
      <c r="AA18" s="707">
        <f>SUM(X18:Z18)</f>
        <v/>
      </c>
      <c r="AB18" s="707" t="n">
        <v>0</v>
      </c>
      <c r="AC18" s="271">
        <f>SUM(K18+O18+S18+W18+AA18+AB18)</f>
        <v/>
      </c>
      <c r="AD18" s="326">
        <f>IF(F18=0,"",K18/(F18/MAX(1,(YEAR(E18)*12+MONTH(E18))-(YEAR(D18)*12+MONTH(D18))+1)))</f>
        <v/>
      </c>
      <c r="AE18" s="326">
        <f>G18/F18</f>
        <v/>
      </c>
      <c r="AF18" s="708">
        <f>F18-G18</f>
        <v/>
      </c>
      <c r="AG18" s="500" t="n"/>
      <c r="AH18" s="500" t="n"/>
      <c r="AI18" s="500" t="n"/>
      <c r="AJ18" s="706" t="inlineStr"/>
      <c r="AK18" s="706" t="inlineStr"/>
      <c r="AL18" s="706" t="inlineStr"/>
      <c r="AM18" s="706" t="inlineStr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</row>
    <row r="19" outlineLevel="1" ht="14.25" customFormat="1" customHeight="1" s="483">
      <c r="A19" s="513" t="n"/>
      <c r="B19" s="707" t="inlineStr">
        <is>
          <t>理财师007</t>
        </is>
      </c>
      <c r="C19" s="707" t="inlineStr">
        <is>
          <t>私人财富管理专家PWA4-4</t>
        </is>
      </c>
      <c r="D19" s="676" t="n">
        <v>46054</v>
      </c>
      <c r="E19" s="676" t="n">
        <v>46203</v>
      </c>
      <c r="F19" s="707" t="n">
        <v>25870.625</v>
      </c>
      <c r="G19" s="707" t="n">
        <v>32948.543547</v>
      </c>
      <c r="H19" s="707" t="n">
        <v>2229.585177</v>
      </c>
      <c r="I19" s="707" t="n">
        <v>0</v>
      </c>
      <c r="J19" s="707" t="n">
        <v>0</v>
      </c>
      <c r="K19" s="707">
        <f>SUM(H19:J19)</f>
        <v/>
      </c>
      <c r="L19" s="707" t="n">
        <v>1226.137124</v>
      </c>
      <c r="M19" s="707" t="n">
        <v>3566.1951</v>
      </c>
      <c r="N19" s="707" t="n">
        <v>270.289524</v>
      </c>
      <c r="O19" s="707">
        <f>SUM(L19:N19)</f>
        <v/>
      </c>
      <c r="P19" s="707" t="n">
        <v>2660.12632</v>
      </c>
      <c r="Q19" s="707" t="n">
        <v>0</v>
      </c>
      <c r="R19" s="707" t="n">
        <v>331.400492</v>
      </c>
      <c r="S19" s="707">
        <f>SUM(P19:R19)</f>
        <v/>
      </c>
      <c r="T19" s="707" t="n">
        <v>3406.959578</v>
      </c>
      <c r="U19" s="707" t="n">
        <v>14793.1056</v>
      </c>
      <c r="V19" s="707" t="n">
        <v>606.358521</v>
      </c>
      <c r="W19" s="707">
        <f>SUM(T19:V19)</f>
        <v/>
      </c>
      <c r="X19" s="707" t="n">
        <v>3557.362586</v>
      </c>
      <c r="Y19" s="707" t="n">
        <v>0</v>
      </c>
      <c r="Z19" s="707" t="n">
        <v>301.023526</v>
      </c>
      <c r="AA19" s="707">
        <f>SUM(X19:Z19)</f>
        <v/>
      </c>
      <c r="AB19" s="707" t="n">
        <v>8988.571889000001</v>
      </c>
      <c r="AC19" s="714">
        <f>SUM(K19+O19+S19+W19+AA19+AB19)</f>
        <v/>
      </c>
      <c r="AD19" s="326">
        <f>IF(F19=0,"",K19/(F19/((YEAR(E19)*12+MONTH(E19))-(YEAR(D19)*12+MONTH(D19))+1)))</f>
        <v/>
      </c>
      <c r="AE19" s="326">
        <f>G19/F19</f>
        <v/>
      </c>
      <c r="AF19" s="714">
        <f>F19-G19</f>
        <v/>
      </c>
      <c r="AG19" s="513" t="n"/>
      <c r="AH19" s="513" t="n"/>
      <c r="AI19" s="513" t="n"/>
      <c r="AJ19" s="706" t="inlineStr"/>
      <c r="AK19" s="706" t="inlineStr"/>
      <c r="AL19" s="706" t="inlineStr"/>
      <c r="AM19" s="706" t="inlineStr"/>
      <c r="AN19" s="706" t="inlineStr"/>
      <c r="AO19" s="706" t="inlineStr"/>
      <c r="AP19" s="706" t="inlineStr"/>
      <c r="AQ19" s="706" t="inlineStr"/>
      <c r="AR19" s="706" t="inlineStr"/>
      <c r="AS19" s="706" t="inlineStr"/>
      <c r="AT19" s="706" t="inlineStr"/>
      <c r="AU19" s="706" t="inlineStr"/>
      <c r="AV19" s="706" t="inlineStr"/>
      <c r="AW19" s="706" t="inlineStr"/>
      <c r="AX19" s="706" t="inlineStr"/>
      <c r="AY19" s="706" t="inlineStr"/>
      <c r="AZ19" s="706" t="inlineStr"/>
      <c r="BA19" s="706" t="inlineStr"/>
      <c r="BB19" s="706" t="inlineStr"/>
      <c r="BC19" s="706" t="inlineStr"/>
      <c r="BD19" s="706" t="inlineStr"/>
      <c r="BE19" s="706" t="inlineStr"/>
      <c r="BF19" s="706" t="inlineStr"/>
      <c r="BG19" s="706" t="inlineStr"/>
      <c r="BH19" s="706" t="inlineStr"/>
      <c r="BI19" s="706" t="inlineStr"/>
    </row>
    <row r="20" outlineLevel="1" ht="14.25" customFormat="1" customHeight="1" s="483">
      <c r="A20" s="710" t="inlineStr">
        <is>
          <t>合计</t>
        </is>
      </c>
      <c r="B20" s="518" t="n"/>
      <c r="C20" s="518" t="n"/>
      <c r="D20" s="518" t="n"/>
      <c r="E20" s="578" t="n"/>
      <c r="F20" s="333">
        <f>SUM(F16:F19)</f>
        <v/>
      </c>
      <c r="G20" s="710">
        <f>SUM(G16:G19)</f>
        <v/>
      </c>
      <c r="H20" s="710">
        <f>SUM(H16:H19)</f>
        <v/>
      </c>
      <c r="I20" s="710">
        <f>SUM(I16:I19)</f>
        <v/>
      </c>
      <c r="J20" s="710">
        <f>SUM(J16:J19)</f>
        <v/>
      </c>
      <c r="K20" s="710">
        <f>SUM(K16:K19)</f>
        <v/>
      </c>
      <c r="L20" s="710">
        <f>SUM(L16:L19)</f>
        <v/>
      </c>
      <c r="M20" s="710">
        <f>SUM(M16:M19)</f>
        <v/>
      </c>
      <c r="N20" s="710">
        <f>SUM(N16:N19)</f>
        <v/>
      </c>
      <c r="O20" s="710">
        <f>SUM(O16:O19)</f>
        <v/>
      </c>
      <c r="P20" s="710">
        <f>SUM(P16:P19)</f>
        <v/>
      </c>
      <c r="Q20" s="710">
        <f>SUM(Q16:Q19)</f>
        <v/>
      </c>
      <c r="R20" s="710">
        <f>SUM(R16:R19)</f>
        <v/>
      </c>
      <c r="S20" s="710">
        <f>SUM(S16:S19)</f>
        <v/>
      </c>
      <c r="T20" s="710">
        <f>SUM(T16:T19)</f>
        <v/>
      </c>
      <c r="U20" s="710">
        <f>SUM(U16:U19)</f>
        <v/>
      </c>
      <c r="V20" s="710">
        <f>SUM(V16:V19)</f>
        <v/>
      </c>
      <c r="W20" s="710">
        <f>SUM(W16:W19)</f>
        <v/>
      </c>
      <c r="X20" s="710">
        <f>SUM(X16:X19)</f>
        <v/>
      </c>
      <c r="Y20" s="710">
        <f>SUM(Y16:Y19)</f>
        <v/>
      </c>
      <c r="Z20" s="710">
        <f>SUM(Z16:Z19)</f>
        <v/>
      </c>
      <c r="AA20" s="710">
        <f>SUM(AA16:AA19)</f>
        <v/>
      </c>
      <c r="AB20" s="710">
        <f>SUM(AB16:AB19)</f>
        <v/>
      </c>
      <c r="AC20" s="333">
        <f>SUM(K20+O20+S20+W20+AA20+AB20)</f>
        <v/>
      </c>
      <c r="AD20" s="335">
        <f>IF(F20=0,"",K20/(F20/((YEAR(E16)*12+MONTH(E16))-(YEAR(D16)*12+MONTH(D16))+1)))</f>
        <v/>
      </c>
      <c r="AE20" s="336">
        <f>G20/F20</f>
        <v/>
      </c>
      <c r="AF20" s="715">
        <f>F20-G20</f>
        <v/>
      </c>
      <c r="AG20" s="337">
        <f>AG16</f>
        <v/>
      </c>
      <c r="AH20" s="335">
        <f>AC20/AG16</f>
        <v/>
      </c>
      <c r="AI20" s="716">
        <f>AG16-AC20</f>
        <v/>
      </c>
      <c r="AJ20" s="713" t="inlineStr"/>
      <c r="AK20" s="713" t="inlineStr"/>
      <c r="AL20" s="713" t="inlineStr"/>
      <c r="AM20" s="713" t="inlineStr"/>
      <c r="AN20" s="713" t="inlineStr"/>
      <c r="AO20" s="713" t="inlineStr"/>
      <c r="AP20" s="713" t="inlineStr"/>
      <c r="AQ20" s="713" t="inlineStr"/>
      <c r="AR20" s="713" t="inlineStr"/>
      <c r="AS20" s="713" t="inlineStr"/>
      <c r="AT20" s="713" t="inlineStr"/>
      <c r="AU20" s="713" t="inlineStr"/>
      <c r="AV20" s="713" t="inlineStr"/>
      <c r="AW20" s="713" t="inlineStr"/>
      <c r="AX20" s="713" t="inlineStr"/>
      <c r="AY20" s="713" t="inlineStr"/>
      <c r="AZ20" s="713" t="inlineStr"/>
      <c r="BA20" s="713" t="inlineStr"/>
      <c r="BB20" s="713" t="inlineStr"/>
      <c r="BC20" s="713" t="inlineStr"/>
      <c r="BD20" s="713" t="inlineStr"/>
      <c r="BE20" s="713" t="inlineStr"/>
      <c r="BF20" s="713" t="inlineStr"/>
      <c r="BG20" s="713" t="inlineStr"/>
      <c r="BH20" s="713" t="inlineStr"/>
      <c r="BI20" s="713" t="inlineStr"/>
    </row>
    <row r="21" outlineLevel="1" ht="14.25" customFormat="1" customHeight="1" s="483">
      <c r="A21" s="703" t="inlineStr">
        <is>
          <t>理财师016</t>
        </is>
      </c>
      <c r="B21" s="703" t="inlineStr">
        <is>
          <t>理财师028</t>
        </is>
      </c>
      <c r="C21" s="703" t="inlineStr">
        <is>
          <t>私人财富管理专家PWA4-5</t>
        </is>
      </c>
      <c r="D21" s="693" t="n">
        <v>46001</v>
      </c>
      <c r="E21" s="693" t="n">
        <v>46182</v>
      </c>
      <c r="F21" s="703" t="n">
        <v>23502</v>
      </c>
      <c r="G21" s="703" t="n">
        <v>337.57095</v>
      </c>
      <c r="H21" s="703" t="n">
        <v>0</v>
      </c>
      <c r="I21" s="703" t="n">
        <v>0</v>
      </c>
      <c r="J21" s="703" t="n">
        <v>0</v>
      </c>
      <c r="K21" s="703">
        <f>SUM(H21:J21)</f>
        <v/>
      </c>
      <c r="L21" s="703" t="n">
        <v>305.526</v>
      </c>
      <c r="M21" s="703" t="n">
        <v>0</v>
      </c>
      <c r="N21" s="703" t="n">
        <v>0</v>
      </c>
      <c r="O21" s="703">
        <f>SUM(L21:N21)</f>
        <v/>
      </c>
      <c r="P21" s="703" t="n">
        <v>0</v>
      </c>
      <c r="Q21" s="703" t="n">
        <v>0</v>
      </c>
      <c r="R21" s="703" t="n">
        <v>0</v>
      </c>
      <c r="S21" s="703">
        <f>SUM(P21:R21)</f>
        <v/>
      </c>
      <c r="T21" s="703" t="n">
        <v>0</v>
      </c>
      <c r="U21" s="703" t="n">
        <v>0</v>
      </c>
      <c r="V21" s="703" t="n">
        <v>32.04495</v>
      </c>
      <c r="W21" s="703">
        <f>SUM(T21:V21)</f>
        <v/>
      </c>
      <c r="X21" s="703" t="n">
        <v>0</v>
      </c>
      <c r="Y21" s="703" t="n">
        <v>0</v>
      </c>
      <c r="Z21" s="703" t="n">
        <v>0</v>
      </c>
      <c r="AA21" s="703">
        <f>SUM(X21:Z21)</f>
        <v/>
      </c>
      <c r="AB21" s="703" t="n">
        <v>0</v>
      </c>
      <c r="AC21" s="318">
        <f>SUM(K21+O21+S21+W21+AA21+AB21)</f>
        <v/>
      </c>
      <c r="AD21" s="319">
        <f>IF(F21=0,"",K21/(F21/((YEAR(E21)*12+MONTH(E21))-(YEAR(D21)*12+MONTH(D21))+1)))</f>
        <v/>
      </c>
      <c r="AE21" s="319">
        <f>G21/F21</f>
        <v/>
      </c>
      <c r="AF21" s="704">
        <f>F21-G21</f>
        <v/>
      </c>
      <c r="AG21" s="321">
        <f>SUM(F21:F23)</f>
        <v/>
      </c>
      <c r="AH21" s="322">
        <f>AH24</f>
        <v/>
      </c>
      <c r="AI21" s="717">
        <f>AI24</f>
        <v/>
      </c>
      <c r="AJ21" s="706" t="inlineStr"/>
      <c r="AK21" s="706" t="inlineStr"/>
      <c r="AL21" s="706" t="inlineStr"/>
      <c r="AM21" s="706" t="inlineStr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</row>
    <row r="22" outlineLevel="1" ht="14.25" customFormat="1" customHeight="1" s="483">
      <c r="A22" s="500" t="n"/>
      <c r="B22" s="707" t="inlineStr">
        <is>
          <t>理财师015</t>
        </is>
      </c>
      <c r="C22" s="707" t="inlineStr">
        <is>
          <t>私人财富管理资深顾问PWA2-4</t>
        </is>
      </c>
      <c r="D22" s="676" t="n">
        <v>45992</v>
      </c>
      <c r="E22" s="676" t="n">
        <v>46203</v>
      </c>
      <c r="F22" s="707" t="n">
        <v>11461.38</v>
      </c>
      <c r="G22" s="707" t="n">
        <v>5440.997932</v>
      </c>
      <c r="H22" s="707" t="n">
        <v>0</v>
      </c>
      <c r="I22" s="707" t="n">
        <v>0</v>
      </c>
      <c r="J22" s="707" t="n">
        <v>0</v>
      </c>
      <c r="K22" s="707">
        <f>SUM(H22:J22)</f>
        <v/>
      </c>
      <c r="L22" s="707" t="n">
        <v>494.115336</v>
      </c>
      <c r="M22" s="707" t="n">
        <v>0</v>
      </c>
      <c r="N22" s="707" t="n">
        <v>46.211266</v>
      </c>
      <c r="O22" s="707">
        <f>SUM(L22:N22)</f>
        <v/>
      </c>
      <c r="P22" s="707" t="n">
        <v>0</v>
      </c>
      <c r="Q22" s="707" t="n">
        <v>0</v>
      </c>
      <c r="R22" s="707" t="n">
        <v>37.443523</v>
      </c>
      <c r="S22" s="707">
        <f>SUM(P22:R22)</f>
        <v/>
      </c>
      <c r="T22" s="707" t="n">
        <v>198.1746</v>
      </c>
      <c r="U22" s="707" t="n">
        <v>0</v>
      </c>
      <c r="V22" s="707" t="n">
        <v>29.640215</v>
      </c>
      <c r="W22" s="707">
        <f>SUM(T22:V22)</f>
        <v/>
      </c>
      <c r="X22" s="707" t="n">
        <v>0.8469</v>
      </c>
      <c r="Y22" s="707" t="n">
        <v>4558.0158</v>
      </c>
      <c r="Z22" s="707" t="n">
        <v>19.389048</v>
      </c>
      <c r="AA22" s="707">
        <f>SUM(X22:Z22)</f>
        <v/>
      </c>
      <c r="AB22" s="707" t="n">
        <v>21.644177</v>
      </c>
      <c r="AC22" s="271">
        <f>SUM(K22+O22+S22+W22+AA22+AB22)</f>
        <v/>
      </c>
      <c r="AD22" s="326">
        <f>IF(F22=0,"",K22/(F22/((YEAR(E22)*12+MONTH(E22))-(YEAR(D22)*12+MONTH(D22))+1)))</f>
        <v/>
      </c>
      <c r="AE22" s="326">
        <f>G22/F22</f>
        <v/>
      </c>
      <c r="AF22" s="708">
        <f>F22-G22</f>
        <v/>
      </c>
      <c r="AG22" s="500" t="n"/>
      <c r="AH22" s="500" t="n"/>
      <c r="AI22" s="500" t="n"/>
      <c r="AJ22" s="706" t="inlineStr"/>
      <c r="AK22" s="706" t="inlineStr"/>
      <c r="AL22" s="706" t="inlineStr"/>
      <c r="AM22" s="706" t="inlineStr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</row>
    <row r="23" outlineLevel="1" ht="14.25" customFormat="1" customHeight="1" s="483">
      <c r="A23" s="513" t="n"/>
      <c r="B23" s="707" t="inlineStr">
        <is>
          <t>理财师016</t>
        </is>
      </c>
      <c r="C23" s="707" t="inlineStr">
        <is>
          <t>私人财富管理资深顾问PWA2-4</t>
        </is>
      </c>
      <c r="D23" s="676" t="n">
        <v>46023</v>
      </c>
      <c r="E23" s="676" t="n">
        <v>46203</v>
      </c>
      <c r="F23" s="707" t="n">
        <v>8731.32</v>
      </c>
      <c r="G23" s="707" t="n">
        <v>11166.278988</v>
      </c>
      <c r="H23" s="707" t="n">
        <v>146.7765</v>
      </c>
      <c r="I23" s="707" t="n">
        <v>0</v>
      </c>
      <c r="J23" s="707" t="n">
        <v>0</v>
      </c>
      <c r="K23" s="707">
        <f>SUM(H23:J23)</f>
        <v/>
      </c>
      <c r="L23" s="707" t="n">
        <v>2148.80796</v>
      </c>
      <c r="M23" s="707" t="n">
        <v>0</v>
      </c>
      <c r="N23" s="707" t="n">
        <v>126.144002</v>
      </c>
      <c r="O23" s="707">
        <f>SUM(L23:N23)</f>
        <v/>
      </c>
      <c r="P23" s="707" t="n">
        <v>1832.902273</v>
      </c>
      <c r="Q23" s="707" t="n">
        <v>0</v>
      </c>
      <c r="R23" s="707" t="n">
        <v>110.962682</v>
      </c>
      <c r="S23" s="707">
        <f>SUM(P23:R23)</f>
        <v/>
      </c>
      <c r="T23" s="707" t="n">
        <v>220.16475</v>
      </c>
      <c r="U23" s="707" t="n">
        <v>0</v>
      </c>
      <c r="V23" s="707" t="n">
        <v>154.524295</v>
      </c>
      <c r="W23" s="707">
        <f>SUM(T23:V23)</f>
        <v/>
      </c>
      <c r="X23" s="707" t="n">
        <v>3847.561596</v>
      </c>
      <c r="Y23" s="707" t="n">
        <v>0</v>
      </c>
      <c r="Z23" s="707" t="n">
        <v>38.370126</v>
      </c>
      <c r="AA23" s="707">
        <f>SUM(X23:Z23)</f>
        <v/>
      </c>
      <c r="AB23" s="707" t="n">
        <v>2540.064804</v>
      </c>
      <c r="AC23" s="271">
        <f>SUM(K23+O23+S23+W23+AA23+AB23)</f>
        <v/>
      </c>
      <c r="AD23" s="326">
        <f>IF(F23=0,"",K23/(F23/((YEAR(E23)*12+MONTH(E23))-(YEAR(D23)*12+MONTH(D23))+1)))</f>
        <v/>
      </c>
      <c r="AE23" s="326">
        <f>G23/F23</f>
        <v/>
      </c>
      <c r="AF23" s="708">
        <f>F23-G23</f>
        <v/>
      </c>
      <c r="AG23" s="513" t="n"/>
      <c r="AH23" s="513" t="n"/>
      <c r="AI23" s="513" t="n"/>
      <c r="AJ23" s="706" t="inlineStr"/>
      <c r="AK23" s="706" t="inlineStr"/>
      <c r="AL23" s="706" t="inlineStr"/>
      <c r="AM23" s="706" t="inlineStr"/>
      <c r="AN23" s="706" t="inlineStr"/>
      <c r="AO23" s="706" t="inlineStr"/>
      <c r="AP23" s="706" t="inlineStr"/>
      <c r="AQ23" s="706" t="inlineStr"/>
      <c r="AR23" s="706" t="inlineStr"/>
      <c r="AS23" s="706" t="inlineStr"/>
      <c r="AT23" s="706" t="inlineStr"/>
      <c r="AU23" s="706" t="inlineStr"/>
      <c r="AV23" s="706" t="inlineStr"/>
      <c r="AW23" s="706" t="inlineStr"/>
      <c r="AX23" s="706" t="inlineStr"/>
      <c r="AY23" s="706" t="inlineStr"/>
      <c r="AZ23" s="706" t="inlineStr"/>
      <c r="BA23" s="706" t="inlineStr"/>
      <c r="BB23" s="706" t="inlineStr"/>
      <c r="BC23" s="706" t="inlineStr"/>
      <c r="BD23" s="706" t="inlineStr"/>
      <c r="BE23" s="706" t="inlineStr"/>
      <c r="BF23" s="706" t="inlineStr"/>
      <c r="BG23" s="706" t="inlineStr"/>
      <c r="BH23" s="706" t="inlineStr"/>
      <c r="BI23" s="706" t="inlineStr"/>
    </row>
    <row r="24" outlineLevel="1" ht="14.25" customFormat="1" customHeight="1" s="483">
      <c r="A24" s="710" t="inlineStr">
        <is>
          <t>合计</t>
        </is>
      </c>
      <c r="B24" s="518" t="n"/>
      <c r="C24" s="518" t="n"/>
      <c r="D24" s="518" t="n"/>
      <c r="E24" s="578" t="n"/>
      <c r="F24" s="333">
        <f>SUM(F21:F23)</f>
        <v/>
      </c>
      <c r="G24" s="710">
        <f>SUM(G21:G23)</f>
        <v/>
      </c>
      <c r="H24" s="710">
        <f>SUM(H21:H23)</f>
        <v/>
      </c>
      <c r="I24" s="710">
        <f>SUM(I21:I23)</f>
        <v/>
      </c>
      <c r="J24" s="710">
        <f>SUM(J21:J23)</f>
        <v/>
      </c>
      <c r="K24" s="710">
        <f>SUM(K21:K23)</f>
        <v/>
      </c>
      <c r="L24" s="710">
        <f>SUM(L21:L23)</f>
        <v/>
      </c>
      <c r="M24" s="710">
        <f>SUM(M21:M23)</f>
        <v/>
      </c>
      <c r="N24" s="710">
        <f>SUM(N21:N23)</f>
        <v/>
      </c>
      <c r="O24" s="710">
        <f>SUM(O21:O23)</f>
        <v/>
      </c>
      <c r="P24" s="710">
        <f>SUM(P21:P23)</f>
        <v/>
      </c>
      <c r="Q24" s="710">
        <f>SUM(Q21:Q23)</f>
        <v/>
      </c>
      <c r="R24" s="710">
        <f>SUM(R21:R23)</f>
        <v/>
      </c>
      <c r="S24" s="710">
        <f>SUM(S21:S23)</f>
        <v/>
      </c>
      <c r="T24" s="710">
        <f>SUM(T21:T23)</f>
        <v/>
      </c>
      <c r="U24" s="710">
        <f>SUM(U21:U23)</f>
        <v/>
      </c>
      <c r="V24" s="710">
        <f>SUM(V21:V23)</f>
        <v/>
      </c>
      <c r="W24" s="710">
        <f>SUM(W21:W23)</f>
        <v/>
      </c>
      <c r="X24" s="710">
        <f>SUM(X21:X23)</f>
        <v/>
      </c>
      <c r="Y24" s="710">
        <f>SUM(Y21:Y23)</f>
        <v/>
      </c>
      <c r="Z24" s="710">
        <f>SUM(Z21:Z23)</f>
        <v/>
      </c>
      <c r="AA24" s="710">
        <f>SUM(AA21:AA23)</f>
        <v/>
      </c>
      <c r="AB24" s="710">
        <f>SUM(AB21:AB23)</f>
        <v/>
      </c>
      <c r="AC24" s="711">
        <f>SUM(K24+O24+S24+W24+AA24+AB24)</f>
        <v/>
      </c>
      <c r="AD24" s="335">
        <f>IF(F24=0,"",K24/(F24/((YEAR(E21)*12+MONTH(E21))-(YEAR(D21)*12+MONTH(D21))+1)))</f>
        <v/>
      </c>
      <c r="AE24" s="336">
        <f>G24/F24</f>
        <v/>
      </c>
      <c r="AF24" s="711">
        <f>F24-G24</f>
        <v/>
      </c>
      <c r="AG24" s="337">
        <f>AG21</f>
        <v/>
      </c>
      <c r="AH24" s="335">
        <f>AC24/AG21</f>
        <v/>
      </c>
      <c r="AI24" s="718">
        <f>AG21-AC24</f>
        <v/>
      </c>
      <c r="AJ24" s="713" t="inlineStr"/>
      <c r="AK24" s="713" t="inlineStr"/>
      <c r="AL24" s="713" t="inlineStr"/>
      <c r="AM24" s="713" t="inlineStr"/>
      <c r="AN24" s="713" t="inlineStr"/>
      <c r="AO24" s="713" t="inlineStr"/>
      <c r="AP24" s="713" t="inlineStr"/>
      <c r="AQ24" s="713" t="inlineStr"/>
      <c r="AR24" s="713" t="inlineStr"/>
      <c r="AS24" s="713" t="inlineStr"/>
      <c r="AT24" s="713" t="inlineStr"/>
      <c r="AU24" s="713" t="inlineStr"/>
      <c r="AV24" s="713" t="inlineStr"/>
      <c r="AW24" s="713" t="inlineStr"/>
      <c r="AX24" s="713" t="inlineStr"/>
      <c r="AY24" s="713" t="inlineStr"/>
      <c r="AZ24" s="713" t="inlineStr"/>
      <c r="BA24" s="713" t="inlineStr"/>
      <c r="BB24" s="713" t="inlineStr"/>
      <c r="BC24" s="713" t="inlineStr"/>
      <c r="BD24" s="713" t="inlineStr"/>
      <c r="BE24" s="713" t="inlineStr"/>
      <c r="BF24" s="713" t="inlineStr"/>
      <c r="BG24" s="713" t="inlineStr"/>
      <c r="BH24" s="713" t="inlineStr"/>
      <c r="BI24" s="713" t="inlineStr"/>
    </row>
    <row r="25" outlineLevel="1" ht="14.25" customFormat="1" customHeight="1" s="483">
      <c r="A25" s="703" t="inlineStr">
        <is>
          <t>理财师002</t>
        </is>
      </c>
      <c r="B25" s="703" t="inlineStr">
        <is>
          <t>理财师001</t>
        </is>
      </c>
      <c r="C25" s="703" t="inlineStr">
        <is>
          <t>私人财富管理顾问PWA1-2</t>
        </is>
      </c>
      <c r="D25" s="693" t="n">
        <v>46023</v>
      </c>
      <c r="E25" s="693" t="n">
        <v>46203</v>
      </c>
      <c r="F25" s="703" t="n">
        <v>4993.22</v>
      </c>
      <c r="G25" s="703" t="n">
        <v>4928.533871</v>
      </c>
      <c r="H25" s="703" t="n">
        <v>0</v>
      </c>
      <c r="I25" s="703" t="n">
        <v>0</v>
      </c>
      <c r="J25" s="703" t="n">
        <v>0</v>
      </c>
      <c r="K25" s="703">
        <f>SUM(H25:J25)</f>
        <v/>
      </c>
      <c r="L25" s="703" t="n">
        <v>0</v>
      </c>
      <c r="M25" s="703" t="n">
        <v>0</v>
      </c>
      <c r="N25" s="703" t="n">
        <v>638.531805</v>
      </c>
      <c r="O25" s="703">
        <f>SUM(L25:N25)</f>
        <v/>
      </c>
      <c r="P25" s="703" t="n">
        <v>88.54274700000001</v>
      </c>
      <c r="Q25" s="703" t="n">
        <v>0</v>
      </c>
      <c r="R25" s="703" t="n">
        <v>616.124389</v>
      </c>
      <c r="S25" s="703">
        <f>SUM(P25:R25)</f>
        <v/>
      </c>
      <c r="T25" s="703" t="n">
        <v>50.830377</v>
      </c>
      <c r="U25" s="703" t="n">
        <v>0</v>
      </c>
      <c r="V25" s="703" t="n">
        <v>791.318135</v>
      </c>
      <c r="W25" s="703">
        <f>SUM(T25:V25)</f>
        <v/>
      </c>
      <c r="X25" s="703" t="n">
        <v>153.11976</v>
      </c>
      <c r="Y25" s="703" t="n">
        <v>0</v>
      </c>
      <c r="Z25" s="703" t="n">
        <v>560.548117</v>
      </c>
      <c r="AA25" s="703">
        <f>SUM(X25:Z25)</f>
        <v/>
      </c>
      <c r="AB25" s="703" t="n">
        <v>2029.518541</v>
      </c>
      <c r="AC25" s="318">
        <f>SUM(K25+O25+S25+W25+AA25+AB25)</f>
        <v/>
      </c>
      <c r="AD25" s="319">
        <f>IF(F25=0,"",K25/(F25/((YEAR(E25)*12+MONTH(E25))-(YEAR(D25)*12+MONTH(D25))+1)))</f>
        <v/>
      </c>
      <c r="AE25" s="319">
        <f>G25/F25</f>
        <v/>
      </c>
      <c r="AF25" s="704">
        <f>F25-G25</f>
        <v/>
      </c>
      <c r="AG25" s="321">
        <f>SUM(F25:F27)</f>
        <v/>
      </c>
      <c r="AH25" s="322">
        <f>AH28</f>
        <v/>
      </c>
      <c r="AI25" s="717">
        <f>AI28</f>
        <v/>
      </c>
      <c r="AJ25" s="706" t="inlineStr"/>
      <c r="AK25" s="706" t="inlineStr"/>
      <c r="AL25" s="706" t="inlineStr"/>
      <c r="AM25" s="706" t="inlineStr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</row>
    <row r="26" outlineLevel="1" ht="14.25" customFormat="1" customHeight="1" s="483">
      <c r="A26" s="500" t="n"/>
      <c r="B26" s="707" t="inlineStr">
        <is>
          <t>理财师027</t>
        </is>
      </c>
      <c r="C26" s="707" t="inlineStr">
        <is>
          <t>私人财富管理资深顾问PWA2-3</t>
        </is>
      </c>
      <c r="D26" s="676" t="n">
        <v>45943</v>
      </c>
      <c r="E26" s="676" t="n">
        <v>46124</v>
      </c>
      <c r="F26" s="707" t="n">
        <v>6847</v>
      </c>
      <c r="G26" s="707" t="n">
        <v>1138.55362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0</v>
      </c>
      <c r="M26" s="707" t="n">
        <v>3685.0554</v>
      </c>
      <c r="N26" s="707" t="n">
        <v>19.121258</v>
      </c>
      <c r="O26" s="707">
        <f>SUM(L26:N26)</f>
        <v/>
      </c>
      <c r="P26" s="707" t="n">
        <v>137.257846</v>
      </c>
      <c r="Q26" s="707" t="n">
        <v>0</v>
      </c>
      <c r="R26" s="707" t="n">
        <v>14.759064</v>
      </c>
      <c r="S26" s="707">
        <f>SUM(P26:R26)</f>
        <v/>
      </c>
      <c r="T26" s="707" t="n">
        <v>0</v>
      </c>
      <c r="U26" s="707" t="n">
        <v>0</v>
      </c>
      <c r="V26" s="707" t="n">
        <v>2.181886</v>
      </c>
      <c r="W26" s="707">
        <f>SUM(T26:V26)</f>
        <v/>
      </c>
      <c r="X26" s="707" t="n">
        <v>0</v>
      </c>
      <c r="Y26" s="707" t="n">
        <v>0</v>
      </c>
      <c r="Z26" s="707" t="n">
        <v>1.481485</v>
      </c>
      <c r="AA26" s="707">
        <f>SUM(X26:Z26)</f>
        <v/>
      </c>
      <c r="AB26" s="707" t="n">
        <v>66.75825</v>
      </c>
      <c r="AC26" s="271">
        <f>SUM(K26+O26+S26+W26+AA26+AB26)</f>
        <v/>
      </c>
      <c r="AD26" s="326">
        <f>IF(F26=0,"",K26/(F26/((YEAR(E26)*12+MONTH(E26))-(YEAR(D26)*12+MONTH(D26))+1)))</f>
        <v/>
      </c>
      <c r="AE26" s="326">
        <f>G26/F26</f>
        <v/>
      </c>
      <c r="AF26" s="708">
        <f>F26-G26</f>
        <v/>
      </c>
      <c r="AG26" s="500" t="n"/>
      <c r="AH26" s="500" t="n"/>
      <c r="AI26" s="500" t="n"/>
      <c r="AJ26" s="706" t="inlineStr"/>
      <c r="AK26" s="706" t="inlineStr"/>
      <c r="AL26" s="706" t="inlineStr"/>
      <c r="AM26" s="706" t="inlineStr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</row>
    <row r="27" outlineLevel="1" ht="14.25" customFormat="1" customHeight="1" s="483">
      <c r="A27" s="513" t="n"/>
      <c r="B27" s="707" t="inlineStr">
        <is>
          <t>理财师002</t>
        </is>
      </c>
      <c r="C27" s="707" t="inlineStr">
        <is>
          <t>私人财富管理专家PWA4-5</t>
        </is>
      </c>
      <c r="D27" s="676" t="n">
        <v>46023</v>
      </c>
      <c r="E27" s="676" t="n">
        <v>46203</v>
      </c>
      <c r="F27" s="707" t="n">
        <v>24411</v>
      </c>
      <c r="G27" s="707" t="n">
        <v>26170.544856</v>
      </c>
      <c r="H27" s="707" t="n">
        <v>0</v>
      </c>
      <c r="I27" s="707" t="n">
        <v>0</v>
      </c>
      <c r="J27" s="707" t="n">
        <v>0</v>
      </c>
      <c r="K27" s="707">
        <f>SUM(H27:J27)</f>
        <v/>
      </c>
      <c r="L27" s="707" t="n">
        <v>2015.61627</v>
      </c>
      <c r="M27" s="707" t="n">
        <v>0</v>
      </c>
      <c r="N27" s="707" t="n">
        <v>234.231608</v>
      </c>
      <c r="O27" s="707">
        <f>SUM(L27:N27)</f>
        <v/>
      </c>
      <c r="P27" s="707" t="n">
        <v>-6272.243033</v>
      </c>
      <c r="Q27" s="707" t="n">
        <v>0</v>
      </c>
      <c r="R27" s="707" t="n">
        <v>210.102519</v>
      </c>
      <c r="S27" s="707">
        <f>SUM(P27:R27)</f>
        <v/>
      </c>
      <c r="T27" s="707" t="n">
        <v>2164.476574</v>
      </c>
      <c r="U27" s="707" t="n">
        <v>0</v>
      </c>
      <c r="V27" s="707" t="n">
        <v>365.27682</v>
      </c>
      <c r="W27" s="707">
        <f>SUM(T27:V27)</f>
        <v/>
      </c>
      <c r="X27" s="707" t="n">
        <v>2346.171162</v>
      </c>
      <c r="Y27" s="707" t="n">
        <v>0</v>
      </c>
      <c r="Z27" s="707" t="n">
        <v>187.41719</v>
      </c>
      <c r="AA27" s="707">
        <f>SUM(X27:Z27)</f>
        <v/>
      </c>
      <c r="AB27" s="707" t="n">
        <v>24919.495747</v>
      </c>
      <c r="AC27" s="271">
        <f>SUM(K27+O27+S27+W27+AA27+AB27)</f>
        <v/>
      </c>
      <c r="AD27" s="326">
        <f>IF(F27=0,"",K27/(F27/((YEAR(E27)*12+MONTH(E27))-(YEAR(D27)*12+MONTH(D27))+1)))</f>
        <v/>
      </c>
      <c r="AE27" s="326">
        <f>G27/F27</f>
        <v/>
      </c>
      <c r="AF27" s="708">
        <f>F27-G27</f>
        <v/>
      </c>
      <c r="AG27" s="513" t="n"/>
      <c r="AH27" s="513" t="n"/>
      <c r="AI27" s="513" t="n"/>
      <c r="AJ27" s="706" t="inlineStr"/>
      <c r="AK27" s="706" t="inlineStr"/>
      <c r="AL27" s="706" t="inlineStr"/>
      <c r="AM27" s="706" t="inlineStr"/>
      <c r="AN27" s="706" t="inlineStr"/>
      <c r="AO27" s="706" t="inlineStr"/>
      <c r="AP27" s="706" t="inlineStr"/>
      <c r="AQ27" s="706" t="inlineStr"/>
      <c r="AR27" s="706" t="inlineStr"/>
      <c r="AS27" s="706" t="inlineStr"/>
      <c r="AT27" s="706" t="inlineStr"/>
      <c r="AU27" s="706" t="inlineStr"/>
      <c r="AV27" s="706" t="inlineStr"/>
      <c r="AW27" s="706" t="inlineStr"/>
      <c r="AX27" s="706" t="inlineStr"/>
      <c r="AY27" s="706" t="inlineStr"/>
      <c r="AZ27" s="706" t="inlineStr"/>
      <c r="BA27" s="706" t="inlineStr"/>
      <c r="BB27" s="706" t="inlineStr"/>
      <c r="BC27" s="706" t="inlineStr"/>
      <c r="BD27" s="706" t="inlineStr"/>
      <c r="BE27" s="706" t="inlineStr"/>
      <c r="BF27" s="706" t="inlineStr"/>
      <c r="BG27" s="706" t="inlineStr"/>
      <c r="BH27" s="706" t="inlineStr"/>
      <c r="BI27" s="706" t="inlineStr"/>
    </row>
    <row r="28" outlineLevel="1" ht="14.25" customFormat="1" customHeight="1" s="483">
      <c r="A28" s="710" t="inlineStr">
        <is>
          <t>合计</t>
        </is>
      </c>
      <c r="B28" s="518" t="n"/>
      <c r="C28" s="518" t="n"/>
      <c r="D28" s="518" t="n"/>
      <c r="E28" s="578" t="n"/>
      <c r="F28" s="333">
        <f>SUM(F25:F27)</f>
        <v/>
      </c>
      <c r="G28" s="710">
        <f>SUM(G25:G27)</f>
        <v/>
      </c>
      <c r="H28" s="710">
        <f>SUM(H25:H27)</f>
        <v/>
      </c>
      <c r="I28" s="710">
        <f>SUM(I25:I27)</f>
        <v/>
      </c>
      <c r="J28" s="710">
        <f>SUM(J25:J27)</f>
        <v/>
      </c>
      <c r="K28" s="710">
        <f>SUM(K25:K27)</f>
        <v/>
      </c>
      <c r="L28" s="710">
        <f>SUM(L25:L27)</f>
        <v/>
      </c>
      <c r="M28" s="710">
        <f>SUM(M25:M27)</f>
        <v/>
      </c>
      <c r="N28" s="710">
        <f>SUM(N25:N27)</f>
        <v/>
      </c>
      <c r="O28" s="710">
        <f>SUM(O25:O27)</f>
        <v/>
      </c>
      <c r="P28" s="710">
        <f>SUM(P25:P27)</f>
        <v/>
      </c>
      <c r="Q28" s="710">
        <f>SUM(Q25:Q27)</f>
        <v/>
      </c>
      <c r="R28" s="710">
        <f>SUM(R25:R27)</f>
        <v/>
      </c>
      <c r="S28" s="710">
        <f>SUM(S25:S27)</f>
        <v/>
      </c>
      <c r="T28" s="710">
        <f>SUM(T25:T27)</f>
        <v/>
      </c>
      <c r="U28" s="710">
        <f>SUM(U25:U27)</f>
        <v/>
      </c>
      <c r="V28" s="710">
        <f>SUM(V25:V27)</f>
        <v/>
      </c>
      <c r="W28" s="710">
        <f>SUM(W25:W27)</f>
        <v/>
      </c>
      <c r="X28" s="710">
        <f>SUM(X25:X27)</f>
        <v/>
      </c>
      <c r="Y28" s="710">
        <f>SUM(Y25:Y27)</f>
        <v/>
      </c>
      <c r="Z28" s="710">
        <f>SUM(Z25:Z27)</f>
        <v/>
      </c>
      <c r="AA28" s="710">
        <f>SUM(AA25:AA27)</f>
        <v/>
      </c>
      <c r="AB28" s="710">
        <f>SUM(AB25:AB27)</f>
        <v/>
      </c>
      <c r="AC28" s="711">
        <f>SUM(K28+O28+S28+W28+AA28+AB28)</f>
        <v/>
      </c>
      <c r="AD28" s="335">
        <f>IF(F28=0,"",K28/(F28/((YEAR(E25)*12+MONTH(E25))-(YEAR(D25)*12+MONTH(D25))+1)))</f>
        <v/>
      </c>
      <c r="AE28" s="336">
        <f>G28/F28</f>
        <v/>
      </c>
      <c r="AF28" s="711">
        <f>F28-G28</f>
        <v/>
      </c>
      <c r="AG28" s="337">
        <f>AG25</f>
        <v/>
      </c>
      <c r="AH28" s="335">
        <f>AC28/AG25</f>
        <v/>
      </c>
      <c r="AI28" s="718">
        <f>AG25-AC28</f>
        <v/>
      </c>
      <c r="AJ28" s="713" t="inlineStr"/>
      <c r="AK28" s="713" t="inlineStr"/>
      <c r="AL28" s="713" t="inlineStr"/>
      <c r="AM28" s="713" t="inlineStr"/>
      <c r="AN28" s="713" t="inlineStr"/>
      <c r="AO28" s="713" t="inlineStr"/>
      <c r="AP28" s="713" t="inlineStr"/>
      <c r="AQ28" s="713" t="inlineStr"/>
      <c r="AR28" s="713" t="inlineStr"/>
      <c r="AS28" s="713" t="inlineStr"/>
      <c r="AT28" s="713" t="inlineStr"/>
      <c r="AU28" s="713" t="inlineStr"/>
      <c r="AV28" s="713" t="inlineStr"/>
      <c r="AW28" s="713" t="inlineStr"/>
      <c r="AX28" s="713" t="inlineStr"/>
      <c r="AY28" s="713" t="inlineStr"/>
      <c r="AZ28" s="713" t="inlineStr"/>
      <c r="BA28" s="713" t="inlineStr"/>
      <c r="BB28" s="713" t="inlineStr"/>
      <c r="BC28" s="713" t="inlineStr"/>
      <c r="BD28" s="713" t="inlineStr"/>
      <c r="BE28" s="713" t="inlineStr"/>
      <c r="BF28" s="713" t="inlineStr"/>
      <c r="BG28" s="713" t="inlineStr"/>
      <c r="BH28" s="713" t="inlineStr"/>
      <c r="BI28" s="713" t="inlineStr"/>
    </row>
    <row r="29" outlineLevel="1" ht="14.25" customFormat="1" customHeight="1" s="483">
      <c r="A29" s="703" t="inlineStr">
        <is>
          <t>理财师009</t>
        </is>
      </c>
      <c r="B29" s="703" t="inlineStr">
        <is>
          <t>理财师048</t>
        </is>
      </c>
      <c r="C29" s="703" t="inlineStr">
        <is>
          <t>观察期PWA0-1</t>
        </is>
      </c>
      <c r="D29" s="693" t="n">
        <v>46082</v>
      </c>
      <c r="E29" s="693" t="n">
        <v>46234</v>
      </c>
      <c r="F29" s="703" t="n">
        <v>3056.1223</v>
      </c>
      <c r="G29" s="703" t="n">
        <v>202.723439</v>
      </c>
      <c r="H29" s="703" t="n">
        <v>0</v>
      </c>
      <c r="I29" s="703" t="n">
        <v>0</v>
      </c>
      <c r="J29" s="703" t="n">
        <v>0</v>
      </c>
      <c r="K29" s="703">
        <f>SUM(H29:J29)</f>
        <v/>
      </c>
      <c r="L29" s="703" t="n">
        <v>0</v>
      </c>
      <c r="M29" s="703" t="n">
        <v>0</v>
      </c>
      <c r="N29" s="703" t="n">
        <v>26.609284</v>
      </c>
      <c r="O29" s="703">
        <f>SUM(L29:N29)</f>
        <v/>
      </c>
      <c r="P29" s="703" t="n">
        <v>0</v>
      </c>
      <c r="Q29" s="703" t="n">
        <v>0</v>
      </c>
      <c r="R29" s="703" t="n">
        <v>25.715569</v>
      </c>
      <c r="S29" s="703">
        <f>SUM(P29:R29)</f>
        <v/>
      </c>
      <c r="T29" s="703" t="n">
        <v>103.23148</v>
      </c>
      <c r="U29" s="703" t="n">
        <v>0</v>
      </c>
      <c r="V29" s="703" t="n">
        <v>47.167105</v>
      </c>
      <c r="W29" s="703">
        <f>SUM(T29:V29)</f>
        <v/>
      </c>
      <c r="X29" s="703" t="n">
        <v>51.706393</v>
      </c>
      <c r="Y29" s="703" t="n">
        <v>90.204069</v>
      </c>
      <c r="Z29" s="703" t="n">
        <v>16.925117</v>
      </c>
      <c r="AA29" s="703">
        <f>SUM(X29:Z29)</f>
        <v/>
      </c>
      <c r="AB29" s="703" t="n">
        <v>193.330405</v>
      </c>
      <c r="AC29" s="318">
        <f>SUM(K29+O29+S29+W29+AA29+AB29)</f>
        <v/>
      </c>
      <c r="AD29" s="319">
        <f>IF(F29=0,"",K29/(F29/((YEAR(E29)*12+MONTH(E29))-(YEAR(D29)*12+MONTH(D29))+1)))</f>
        <v/>
      </c>
      <c r="AE29" s="319">
        <f>G29/F29</f>
        <v/>
      </c>
      <c r="AF29" s="704">
        <f>F29-G29</f>
        <v/>
      </c>
      <c r="AG29" s="321">
        <f>SUM(F29:F31)</f>
        <v/>
      </c>
      <c r="AH29" s="322">
        <f>AH32</f>
        <v/>
      </c>
      <c r="AI29" s="717">
        <f>AI32</f>
        <v/>
      </c>
      <c r="AJ29" s="706" t="inlineStr"/>
      <c r="AK29" s="706" t="inlineStr"/>
      <c r="AL29" s="706" t="inlineStr"/>
      <c r="AM29" s="706" t="inlineStr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</row>
    <row r="30" outlineLevel="1" ht="14.25" customFormat="1" customHeight="1" s="483">
      <c r="A30" s="500" t="n"/>
      <c r="B30" s="707" t="inlineStr">
        <is>
          <t>理财师009</t>
        </is>
      </c>
      <c r="C30" s="707" t="inlineStr">
        <is>
          <t>私人财富管理专家PWA4-1</t>
        </is>
      </c>
      <c r="D30" s="676" t="n">
        <v>46023</v>
      </c>
      <c r="E30" s="676" t="n">
        <v>46203</v>
      </c>
      <c r="F30" s="707" t="n">
        <v>28282.8</v>
      </c>
      <c r="G30" s="707" t="n">
        <v>33505.325855</v>
      </c>
      <c r="H30" s="707" t="n">
        <v>0</v>
      </c>
      <c r="I30" s="707" t="n">
        <v>0</v>
      </c>
      <c r="J30" s="707" t="n">
        <v>0</v>
      </c>
      <c r="K30" s="707">
        <f>SUM(H30:J30)</f>
        <v/>
      </c>
      <c r="L30" s="707" t="n">
        <v>536.6088</v>
      </c>
      <c r="M30" s="707" t="n">
        <v>0</v>
      </c>
      <c r="N30" s="707" t="n">
        <v>313.323811</v>
      </c>
      <c r="O30" s="707">
        <f>SUM(L30:N30)</f>
        <v/>
      </c>
      <c r="P30" s="707" t="n">
        <v>1351.820914</v>
      </c>
      <c r="Q30" s="707" t="n">
        <v>20570.004</v>
      </c>
      <c r="R30" s="707" t="n">
        <v>654.353493</v>
      </c>
      <c r="S30" s="707">
        <f>SUM(P30:R30)</f>
        <v/>
      </c>
      <c r="T30" s="707" t="n">
        <v>3314.503374</v>
      </c>
      <c r="U30" s="707" t="n">
        <v>0</v>
      </c>
      <c r="V30" s="707" t="n">
        <v>699.48968</v>
      </c>
      <c r="W30" s="707">
        <f>SUM(T30:V30)</f>
        <v/>
      </c>
      <c r="X30" s="707" t="n">
        <v>4769.379014</v>
      </c>
      <c r="Y30" s="707" t="n">
        <v>0</v>
      </c>
      <c r="Z30" s="707" t="n">
        <v>225.874626</v>
      </c>
      <c r="AA30" s="707">
        <f>SUM(X30:Z30)</f>
        <v/>
      </c>
      <c r="AB30" s="707" t="n">
        <v>1069.968142</v>
      </c>
      <c r="AC30" s="271">
        <f>SUM(K30+O30+S30+W30+AA30+AB30)</f>
        <v/>
      </c>
      <c r="AD30" s="326">
        <f>IF(F30=0,"",K30/(F30/((YEAR(E30)*12+MONTH(E30))-(YEAR(D30)*12+MONTH(D30))+1)))</f>
        <v/>
      </c>
      <c r="AE30" s="326">
        <f>G30/F30</f>
        <v/>
      </c>
      <c r="AF30" s="708">
        <f>F30-G30</f>
        <v/>
      </c>
      <c r="AG30" s="500" t="n"/>
      <c r="AH30" s="500" t="n"/>
      <c r="AI30" s="500" t="n"/>
      <c r="AJ30" s="706" t="inlineStr"/>
      <c r="AK30" s="706" t="inlineStr"/>
      <c r="AL30" s="706" t="inlineStr"/>
      <c r="AM30" s="706" t="inlineStr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</row>
    <row r="31" outlineLevel="1" ht="14.25" customFormat="1" customHeight="1" s="483">
      <c r="A31" s="513" t="n"/>
      <c r="B31" s="707" t="inlineStr">
        <is>
          <t>理财师010</t>
        </is>
      </c>
      <c r="C31" s="707" t="inlineStr">
        <is>
          <t>观察期PWA0-2</t>
        </is>
      </c>
      <c r="D31" s="676" t="n">
        <v>46023</v>
      </c>
      <c r="E31" s="676" t="n">
        <v>46203</v>
      </c>
      <c r="F31" s="707" t="n">
        <v>4868.16</v>
      </c>
      <c r="G31" s="707" t="n">
        <v>14555.714253</v>
      </c>
      <c r="H31" s="707" t="n">
        <v>0</v>
      </c>
      <c r="I31" s="707" t="n">
        <v>0</v>
      </c>
      <c r="J31" s="707" t="n">
        <v>0</v>
      </c>
      <c r="K31" s="707">
        <f>SUM(H31:J31)</f>
        <v/>
      </c>
      <c r="L31" s="707" t="n">
        <v>994.77807</v>
      </c>
      <c r="M31" s="707" t="n">
        <v>0</v>
      </c>
      <c r="N31" s="707" t="n">
        <v>185.511372</v>
      </c>
      <c r="O31" s="707">
        <f>SUM(L31:N31)</f>
        <v/>
      </c>
      <c r="P31" s="707" t="n">
        <v>949.2912</v>
      </c>
      <c r="Q31" s="707" t="n">
        <v>0</v>
      </c>
      <c r="R31" s="707" t="n">
        <v>144.291309</v>
      </c>
      <c r="S31" s="707">
        <f>SUM(P31:R31)</f>
        <v/>
      </c>
      <c r="T31" s="707" t="n">
        <v>2158.292651</v>
      </c>
      <c r="U31" s="707" t="n">
        <v>8187.6366</v>
      </c>
      <c r="V31" s="707" t="n">
        <v>194.447373</v>
      </c>
      <c r="W31" s="707">
        <f>SUM(T31:V31)</f>
        <v/>
      </c>
      <c r="X31" s="707" t="n">
        <v>474.6456</v>
      </c>
      <c r="Y31" s="707" t="n">
        <v>0</v>
      </c>
      <c r="Z31" s="707" t="n">
        <v>122.035472</v>
      </c>
      <c r="AA31" s="707">
        <f>SUM(X31:Z31)</f>
        <v/>
      </c>
      <c r="AB31" s="707" t="n">
        <v>1144.784607</v>
      </c>
      <c r="AC31" s="271">
        <f>SUM(K31+O31+S31+W31+AA31+AB31)</f>
        <v/>
      </c>
      <c r="AD31" s="326">
        <f>IF(F31=0,"",K31/(F31/((YEAR(E31)*12+MONTH(E31))-(YEAR(D31)*12+MONTH(D31))+1)))</f>
        <v/>
      </c>
      <c r="AE31" s="326">
        <f>G31/F31</f>
        <v/>
      </c>
      <c r="AF31" s="708">
        <f>F31-G31</f>
        <v/>
      </c>
      <c r="AG31" s="513" t="n"/>
      <c r="AH31" s="513" t="n"/>
      <c r="AI31" s="513" t="n"/>
      <c r="AJ31" s="706" t="inlineStr"/>
      <c r="AK31" s="706" t="inlineStr"/>
      <c r="AL31" s="706" t="inlineStr"/>
      <c r="AM31" s="706" t="inlineStr"/>
      <c r="AN31" s="706" t="inlineStr"/>
      <c r="AO31" s="706" t="inlineStr"/>
      <c r="AP31" s="706" t="inlineStr"/>
      <c r="AQ31" s="706" t="inlineStr"/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</row>
    <row r="32" outlineLevel="1" ht="14.25" customFormat="1" customHeight="1" s="483">
      <c r="A32" s="710" t="inlineStr">
        <is>
          <t>合计</t>
        </is>
      </c>
      <c r="B32" s="518" t="n"/>
      <c r="C32" s="518" t="n"/>
      <c r="D32" s="518" t="n"/>
      <c r="E32" s="578" t="n"/>
      <c r="F32" s="333">
        <f>SUM(F29:F31)</f>
        <v/>
      </c>
      <c r="G32" s="710">
        <f>SUM(G29:G31)</f>
        <v/>
      </c>
      <c r="H32" s="710">
        <f>SUM(H29:H31)</f>
        <v/>
      </c>
      <c r="I32" s="710">
        <f>SUM(I29:I31)</f>
        <v/>
      </c>
      <c r="J32" s="710">
        <f>SUM(J29:J31)</f>
        <v/>
      </c>
      <c r="K32" s="710">
        <f>SUM(K29:K31)</f>
        <v/>
      </c>
      <c r="L32" s="710">
        <f>SUM(L29:L31)</f>
        <v/>
      </c>
      <c r="M32" s="710">
        <f>SUM(M29:M31)</f>
        <v/>
      </c>
      <c r="N32" s="710">
        <f>SUM(N29:N31)</f>
        <v/>
      </c>
      <c r="O32" s="710">
        <f>SUM(O29:O31)</f>
        <v/>
      </c>
      <c r="P32" s="710">
        <f>SUM(P29:P31)</f>
        <v/>
      </c>
      <c r="Q32" s="710">
        <f>SUM(Q29:Q31)</f>
        <v/>
      </c>
      <c r="R32" s="710">
        <f>SUM(R29:R31)</f>
        <v/>
      </c>
      <c r="S32" s="710">
        <f>SUM(S29:S31)</f>
        <v/>
      </c>
      <c r="T32" s="710">
        <f>SUM(T29:T31)</f>
        <v/>
      </c>
      <c r="U32" s="710">
        <f>SUM(U29:U31)</f>
        <v/>
      </c>
      <c r="V32" s="710">
        <f>SUM(V29:V31)</f>
        <v/>
      </c>
      <c r="W32" s="710">
        <f>SUM(W29:W31)</f>
        <v/>
      </c>
      <c r="X32" s="710">
        <f>SUM(X29:X31)</f>
        <v/>
      </c>
      <c r="Y32" s="710">
        <f>SUM(Y29:Y31)</f>
        <v/>
      </c>
      <c r="Z32" s="710">
        <f>SUM(Z29:Z31)</f>
        <v/>
      </c>
      <c r="AA32" s="710">
        <f>SUM(AA29:AA31)</f>
        <v/>
      </c>
      <c r="AB32" s="710">
        <f>SUM(AB29:AB31)</f>
        <v/>
      </c>
      <c r="AC32" s="711">
        <f>SUM(K32+O32+S32+W32+AA32+AB32)</f>
        <v/>
      </c>
      <c r="AD32" s="335">
        <f>IF(F32=0,"",K32/(F32/((YEAR(E29)*12+MONTH(E29))-(YEAR(D29)*12+MONTH(D29))+1)))</f>
        <v/>
      </c>
      <c r="AE32" s="336">
        <f>G32/F32</f>
        <v/>
      </c>
      <c r="AF32" s="711">
        <f>F32-G32</f>
        <v/>
      </c>
      <c r="AG32" s="337">
        <f>AG29</f>
        <v/>
      </c>
      <c r="AH32" s="335">
        <f>AC32/AG29</f>
        <v/>
      </c>
      <c r="AI32" s="718">
        <f>AG29-AC32</f>
        <v/>
      </c>
      <c r="AJ32" s="713" t="inlineStr"/>
      <c r="AK32" s="713" t="inlineStr"/>
      <c r="AL32" s="713" t="inlineStr"/>
      <c r="AM32" s="713" t="inlineStr"/>
      <c r="AN32" s="713" t="inlineStr"/>
      <c r="AO32" s="713" t="inlineStr"/>
      <c r="AP32" s="713" t="inlineStr"/>
      <c r="AQ32" s="713" t="inlineStr"/>
      <c r="AR32" s="713" t="inlineStr"/>
      <c r="AS32" s="713" t="inlineStr"/>
      <c r="AT32" s="713" t="inlineStr"/>
      <c r="AU32" s="713" t="inlineStr"/>
      <c r="AV32" s="713" t="inlineStr"/>
      <c r="AW32" s="713" t="inlineStr"/>
      <c r="AX32" s="713" t="inlineStr"/>
      <c r="AY32" s="713" t="inlineStr"/>
      <c r="AZ32" s="713" t="inlineStr"/>
      <c r="BA32" s="713" t="inlineStr"/>
      <c r="BB32" s="713" t="inlineStr"/>
      <c r="BC32" s="713" t="inlineStr"/>
      <c r="BD32" s="713" t="inlineStr"/>
      <c r="BE32" s="713" t="inlineStr"/>
      <c r="BF32" s="713" t="inlineStr"/>
      <c r="BG32" s="713" t="inlineStr"/>
      <c r="BH32" s="713" t="inlineStr"/>
      <c r="BI32" s="713" t="inlineStr"/>
    </row>
    <row r="33" outlineLevel="1" ht="14.25" customFormat="1" customHeight="1" s="483">
      <c r="A33" s="703" t="inlineStr">
        <is>
          <t>理财师020</t>
        </is>
      </c>
      <c r="B33" s="703" t="inlineStr">
        <is>
          <t>理财师032</t>
        </is>
      </c>
      <c r="C33" s="703" t="inlineStr">
        <is>
          <t>C3</t>
        </is>
      </c>
      <c r="D33" s="693" t="n">
        <v>46049</v>
      </c>
      <c r="E33" s="693" t="n">
        <v>46229</v>
      </c>
      <c r="F33" s="703" t="n">
        <v>7912.17</v>
      </c>
      <c r="G33" s="703" t="n">
        <v>5644.560425</v>
      </c>
      <c r="H33" s="703" t="n">
        <v>0</v>
      </c>
      <c r="I33" s="703" t="n">
        <v>0</v>
      </c>
      <c r="J33" s="703" t="n">
        <v>0</v>
      </c>
      <c r="K33" s="703">
        <f>SUM(H33:J33)</f>
        <v/>
      </c>
      <c r="L33" s="703" t="n">
        <v>1610.465688</v>
      </c>
      <c r="M33" s="703" t="n">
        <v>110.192882</v>
      </c>
      <c r="N33" s="703" t="n">
        <v>23.921364</v>
      </c>
      <c r="O33" s="703">
        <f>SUM(L33:N33)</f>
        <v/>
      </c>
      <c r="P33" s="703" t="n">
        <v>1008.99006</v>
      </c>
      <c r="Q33" s="703" t="n">
        <v>0</v>
      </c>
      <c r="R33" s="703" t="n">
        <v>42.539952</v>
      </c>
      <c r="S33" s="703">
        <f>SUM(P33:R33)</f>
        <v/>
      </c>
      <c r="T33" s="703" t="n">
        <v>0</v>
      </c>
      <c r="U33" s="703" t="n">
        <v>342.296351</v>
      </c>
      <c r="V33" s="703" t="n">
        <v>35.098479</v>
      </c>
      <c r="W33" s="703">
        <f>SUM(T33:V33)</f>
        <v/>
      </c>
      <c r="X33" s="703" t="n">
        <v>440.8209</v>
      </c>
      <c r="Y33" s="703" t="n">
        <v>0</v>
      </c>
      <c r="Z33" s="703" t="n">
        <v>21.381724</v>
      </c>
      <c r="AA33" s="703">
        <f>SUM(X33:Z33)</f>
        <v/>
      </c>
      <c r="AB33" s="703" t="n">
        <v>1310.569686</v>
      </c>
      <c r="AC33" s="318">
        <f>SUM(K33+O33+S33+W33+AA33+AB33)</f>
        <v/>
      </c>
      <c r="AD33" s="319">
        <f>IF(F33=0,"",K33/(F33/((YEAR(E33)*12+MONTH(E33))-(YEAR(D33)*12+MONTH(D33))+1)))</f>
        <v/>
      </c>
      <c r="AE33" s="319">
        <f>G33/F33</f>
        <v/>
      </c>
      <c r="AF33" s="704">
        <f>F33-G33</f>
        <v/>
      </c>
      <c r="AG33" s="321">
        <f>SUM(F33:F34)</f>
        <v/>
      </c>
      <c r="AH33" s="322">
        <f>AH35</f>
        <v/>
      </c>
      <c r="AI33" s="717">
        <f>AI35</f>
        <v/>
      </c>
      <c r="AJ33" s="706" t="inlineStr"/>
      <c r="AK33" s="706" t="inlineStr"/>
      <c r="AL33" s="706" t="inlineStr"/>
      <c r="AM33" s="706" t="inlineStr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</row>
    <row r="34" outlineLevel="1" ht="14.25" customFormat="1" customHeight="1" s="483">
      <c r="A34" s="513" t="n"/>
      <c r="B34" s="707" t="inlineStr">
        <is>
          <t>理财师020</t>
        </is>
      </c>
      <c r="C34" s="707" t="inlineStr">
        <is>
          <t>私人财富管理资深顾问PWA2-5</t>
        </is>
      </c>
      <c r="D34" s="676" t="n">
        <v>46023</v>
      </c>
      <c r="E34" s="676" t="n">
        <v>46203</v>
      </c>
      <c r="F34" s="707" t="n">
        <v>15907.32</v>
      </c>
      <c r="G34" s="707" t="n">
        <v>42918.390791</v>
      </c>
      <c r="H34" s="707" t="n">
        <v>2436.422976</v>
      </c>
      <c r="I34" s="707" t="n">
        <v>0</v>
      </c>
      <c r="J34" s="707" t="n">
        <v>0</v>
      </c>
      <c r="K34" s="707">
        <f>SUM(H34:J34)</f>
        <v/>
      </c>
      <c r="L34" s="707" t="n">
        <v>8320.866201999999</v>
      </c>
      <c r="M34" s="707" t="n">
        <v>0</v>
      </c>
      <c r="N34" s="707" t="n">
        <v>299.634617</v>
      </c>
      <c r="O34" s="707">
        <f>SUM(L34:N34)</f>
        <v/>
      </c>
      <c r="P34" s="707" t="n">
        <v>1259.210798</v>
      </c>
      <c r="Q34" s="707" t="n">
        <v>3101.9274</v>
      </c>
      <c r="R34" s="707" t="n">
        <v>318.667286</v>
      </c>
      <c r="S34" s="707">
        <f>SUM(P34:R34)</f>
        <v/>
      </c>
      <c r="T34" s="707" t="n">
        <v>10803.329409</v>
      </c>
      <c r="U34" s="707" t="n">
        <v>0</v>
      </c>
      <c r="V34" s="707" t="n">
        <v>396.373158</v>
      </c>
      <c r="W34" s="707">
        <f>SUM(T34:V34)</f>
        <v/>
      </c>
      <c r="X34" s="707" t="n">
        <v>6594.535422</v>
      </c>
      <c r="Y34" s="707" t="n">
        <v>0</v>
      </c>
      <c r="Z34" s="707" t="n">
        <v>271.914403</v>
      </c>
      <c r="AA34" s="707">
        <f>SUM(X34:Z34)</f>
        <v/>
      </c>
      <c r="AB34" s="707" t="n">
        <v>9115.509121999999</v>
      </c>
      <c r="AC34" s="271">
        <f>SUM(K34+O34+S34+W34+AA34+AB34)</f>
        <v/>
      </c>
      <c r="AD34" s="326">
        <f>IF(F34=0,"",K34/(F34/((YEAR(E34)*12+MONTH(E34))-(YEAR(D34)*12+MONTH(D34))+1)))</f>
        <v/>
      </c>
      <c r="AE34" s="326">
        <f>G34/F34</f>
        <v/>
      </c>
      <c r="AF34" s="708">
        <f>F34-G34</f>
        <v/>
      </c>
      <c r="AG34" s="513" t="n"/>
      <c r="AH34" s="513" t="n"/>
      <c r="AI34" s="513" t="n"/>
      <c r="AJ34" s="706" t="inlineStr"/>
      <c r="AK34" s="706" t="inlineStr"/>
      <c r="AL34" s="706" t="inlineStr"/>
      <c r="AM34" s="706" t="inlineStr"/>
      <c r="AN34" s="706" t="inlineStr"/>
      <c r="AO34" s="706" t="inlineStr"/>
      <c r="AP34" s="706" t="inlineStr"/>
      <c r="AQ34" s="706" t="inlineStr"/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</row>
    <row r="35" outlineLevel="1" ht="14.25" customFormat="1" customHeight="1" s="483">
      <c r="A35" s="710" t="inlineStr">
        <is>
          <t>合计</t>
        </is>
      </c>
      <c r="B35" s="518" t="n"/>
      <c r="C35" s="518" t="n"/>
      <c r="D35" s="518" t="n"/>
      <c r="E35" s="578" t="n"/>
      <c r="F35" s="333">
        <f>SUM(F33:F34)</f>
        <v/>
      </c>
      <c r="G35" s="710">
        <f>SUM(G33:G34)</f>
        <v/>
      </c>
      <c r="H35" s="710">
        <f>SUM(H33:H34)</f>
        <v/>
      </c>
      <c r="I35" s="710">
        <f>SUM(I33:I34)</f>
        <v/>
      </c>
      <c r="J35" s="710">
        <f>SUM(J33:J34)</f>
        <v/>
      </c>
      <c r="K35" s="710">
        <f>SUM(K33:K34)</f>
        <v/>
      </c>
      <c r="L35" s="710">
        <f>SUM(L33:L34)</f>
        <v/>
      </c>
      <c r="M35" s="710">
        <f>SUM(M33:M34)</f>
        <v/>
      </c>
      <c r="N35" s="710">
        <f>SUM(N33:N34)</f>
        <v/>
      </c>
      <c r="O35" s="710">
        <f>SUM(O33:O34)</f>
        <v/>
      </c>
      <c r="P35" s="710">
        <f>SUM(P33:P34)</f>
        <v/>
      </c>
      <c r="Q35" s="710">
        <f>SUM(Q33:Q34)</f>
        <v/>
      </c>
      <c r="R35" s="710">
        <f>SUM(R33:R34)</f>
        <v/>
      </c>
      <c r="S35" s="710">
        <f>SUM(S33:S34)</f>
        <v/>
      </c>
      <c r="T35" s="710">
        <f>SUM(T33:T34)</f>
        <v/>
      </c>
      <c r="U35" s="710">
        <f>SUM(U33:U34)</f>
        <v/>
      </c>
      <c r="V35" s="710">
        <f>SUM(V33:V34)</f>
        <v/>
      </c>
      <c r="W35" s="710">
        <f>SUM(W33:W34)</f>
        <v/>
      </c>
      <c r="X35" s="710">
        <f>SUM(X33:X34)</f>
        <v/>
      </c>
      <c r="Y35" s="710">
        <f>SUM(Y33:Y34)</f>
        <v/>
      </c>
      <c r="Z35" s="710">
        <f>SUM(Z33:Z34)</f>
        <v/>
      </c>
      <c r="AA35" s="710">
        <f>SUM(AA33:AA34)</f>
        <v/>
      </c>
      <c r="AB35" s="710">
        <f>SUM(AB33:AB34)</f>
        <v/>
      </c>
      <c r="AC35" s="711">
        <f>SUM(K35+O35+S35+W35+AA35+AB35)</f>
        <v/>
      </c>
      <c r="AD35" s="335">
        <f>IF(F35=0,"",K35/(F35/((YEAR(E33)*12+MONTH(E33))-(YEAR(D33)*12+MONTH(D33))+1)))</f>
        <v/>
      </c>
      <c r="AE35" s="336">
        <f>G35/F35</f>
        <v/>
      </c>
      <c r="AF35" s="711">
        <f>F35-G35</f>
        <v/>
      </c>
      <c r="AG35" s="337">
        <f>AG33</f>
        <v/>
      </c>
      <c r="AH35" s="335">
        <f>AC35/AG33</f>
        <v/>
      </c>
      <c r="AI35" s="718">
        <f>AG33-AC35</f>
        <v/>
      </c>
      <c r="AJ35" s="713" t="inlineStr"/>
      <c r="AK35" s="713" t="inlineStr"/>
      <c r="AL35" s="713" t="inlineStr"/>
      <c r="AM35" s="713" t="inlineStr"/>
      <c r="AN35" s="713" t="inlineStr"/>
      <c r="AO35" s="713" t="inlineStr"/>
      <c r="AP35" s="713" t="inlineStr"/>
      <c r="AQ35" s="713" t="inlineStr"/>
      <c r="AR35" s="713" t="inlineStr"/>
      <c r="AS35" s="713" t="inlineStr"/>
      <c r="AT35" s="713" t="inlineStr"/>
      <c r="AU35" s="713" t="inlineStr"/>
      <c r="AV35" s="713" t="inlineStr"/>
      <c r="AW35" s="713" t="inlineStr"/>
      <c r="AX35" s="713" t="inlineStr"/>
      <c r="AY35" s="713" t="inlineStr"/>
      <c r="AZ35" s="713" t="inlineStr"/>
      <c r="BA35" s="713" t="inlineStr"/>
      <c r="BB35" s="713" t="inlineStr"/>
      <c r="BC35" s="713" t="inlineStr"/>
      <c r="BD35" s="713" t="inlineStr"/>
      <c r="BE35" s="713" t="inlineStr"/>
      <c r="BF35" s="713" t="inlineStr"/>
      <c r="BG35" s="713" t="inlineStr"/>
      <c r="BH35" s="713" t="inlineStr"/>
      <c r="BI35" s="713" t="inlineStr"/>
    </row>
    <row r="36" outlineLevel="1" ht="14.25" customFormat="1" customHeight="1" s="483">
      <c r="A36" s="703" t="inlineStr">
        <is>
          <t>理财师005</t>
        </is>
      </c>
      <c r="B36" s="703" t="inlineStr">
        <is>
          <t>理财师026</t>
        </is>
      </c>
      <c r="C36" s="703" t="inlineStr">
        <is>
          <t>观察期PWA0-1</t>
        </is>
      </c>
      <c r="D36" s="693" t="n">
        <v>46113</v>
      </c>
      <c r="E36" s="693" t="n">
        <v>46203</v>
      </c>
      <c r="F36" s="703" t="n">
        <v>1943.13</v>
      </c>
      <c r="G36" s="703" t="n">
        <v>584.585439</v>
      </c>
      <c r="H36" s="703" t="n">
        <v>0</v>
      </c>
      <c r="I36" s="703" t="n">
        <v>0</v>
      </c>
      <c r="J36" s="703" t="n">
        <v>0</v>
      </c>
      <c r="K36" s="703">
        <f>SUM(H36:J36)</f>
        <v/>
      </c>
      <c r="L36" s="703" t="n">
        <v>114.611359</v>
      </c>
      <c r="M36" s="703" t="n">
        <v>0</v>
      </c>
      <c r="N36" s="703" t="n">
        <v>18.055825</v>
      </c>
      <c r="O36" s="703">
        <f>SUM(L36:N36)</f>
        <v/>
      </c>
      <c r="P36" s="703" t="n">
        <v>437.370804</v>
      </c>
      <c r="Q36" s="703" t="n">
        <v>0</v>
      </c>
      <c r="R36" s="703" t="n">
        <v>14.547451</v>
      </c>
      <c r="S36" s="703">
        <f>SUM(P36:R36)</f>
        <v/>
      </c>
      <c r="T36" s="703" t="n">
        <v>809.929895</v>
      </c>
      <c r="U36" s="703" t="n">
        <v>0</v>
      </c>
      <c r="V36" s="703" t="n">
        <v>47.501776</v>
      </c>
      <c r="W36" s="703">
        <f>SUM(T36:V36)</f>
        <v/>
      </c>
      <c r="X36" s="703" t="n">
        <v>176.20858</v>
      </c>
      <c r="Y36" s="703" t="n">
        <v>0</v>
      </c>
      <c r="Z36" s="703" t="n">
        <v>11.404098</v>
      </c>
      <c r="AA36" s="703">
        <f>SUM(X36:Z36)</f>
        <v/>
      </c>
      <c r="AB36" s="703" t="n">
        <v>12.282809</v>
      </c>
      <c r="AC36" s="318">
        <f>SUM(K36+O36+S36+W36+AA36+AB36)</f>
        <v/>
      </c>
      <c r="AD36" s="319">
        <f>IF(F36=0,"",K36/(F36/((YEAR(E36)*12+MONTH(E36))-(YEAR(D36)*12+MONTH(D36))+1)))</f>
        <v/>
      </c>
      <c r="AE36" s="319">
        <f>G36/F36</f>
        <v/>
      </c>
      <c r="AF36" s="704">
        <f>F36-G36</f>
        <v/>
      </c>
      <c r="AG36" s="321">
        <f>SUM(F36:F37)</f>
        <v/>
      </c>
      <c r="AH36" s="322">
        <f>AH38</f>
        <v/>
      </c>
      <c r="AI36" s="717">
        <f>AI38</f>
        <v/>
      </c>
      <c r="AJ36" s="706" t="inlineStr"/>
      <c r="AK36" s="706" t="inlineStr"/>
      <c r="AL36" s="706" t="inlineStr"/>
      <c r="AM36" s="706" t="inlineStr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10721.720251</v>
      </c>
      <c r="H37" s="707" t="n">
        <v>0</v>
      </c>
      <c r="I37" s="707" t="n">
        <v>0</v>
      </c>
      <c r="J37" s="707" t="n">
        <v>0</v>
      </c>
      <c r="K37" s="707">
        <f>SUM(H37:J37)</f>
        <v/>
      </c>
      <c r="L37" s="707" t="n">
        <v>840.615984</v>
      </c>
      <c r="M37" s="707" t="n">
        <v>0</v>
      </c>
      <c r="N37" s="707" t="n">
        <v>315.666967</v>
      </c>
      <c r="O37" s="707">
        <f>SUM(L37:N37)</f>
        <v/>
      </c>
      <c r="P37" s="707" t="n">
        <v>1870.349984</v>
      </c>
      <c r="Q37" s="707" t="n">
        <v>2312.474666</v>
      </c>
      <c r="R37" s="707" t="n">
        <v>319.48223</v>
      </c>
      <c r="S37" s="707">
        <f>SUM(P37:R37)</f>
        <v/>
      </c>
      <c r="T37" s="707" t="n">
        <v>731.292658</v>
      </c>
      <c r="U37" s="707" t="n">
        <v>1925.150771</v>
      </c>
      <c r="V37" s="707" t="n">
        <v>383.775324</v>
      </c>
      <c r="W37" s="707">
        <f>SUM(T37:V37)</f>
        <v/>
      </c>
      <c r="X37" s="707" t="n">
        <v>1738.204897</v>
      </c>
      <c r="Y37" s="707" t="n">
        <v>0</v>
      </c>
      <c r="Z37" s="707" t="n">
        <v>284.706769</v>
      </c>
      <c r="AA37" s="707">
        <f>SUM(X37:Z37)</f>
        <v/>
      </c>
      <c r="AB37" s="707" t="n">
        <v>1538.392041</v>
      </c>
      <c r="AC37" s="271">
        <f>SUM(K37+O37+S37+W37+AA37+AB37)</f>
        <v/>
      </c>
      <c r="AD37" s="326">
        <f>IF(F37=0,"",K37/(F37/((YEAR(E37)*12+MONTH(E37))-(YEAR(D37)*12+MONTH(D37))+1)))</f>
        <v/>
      </c>
      <c r="AE37" s="326">
        <f>G37/F37</f>
        <v/>
      </c>
      <c r="AF37" s="708">
        <f>F37-G37</f>
        <v/>
      </c>
      <c r="AG37" s="513" t="n"/>
      <c r="AH37" s="513" t="n"/>
      <c r="AI37" s="513" t="n"/>
      <c r="AJ37" s="706" t="inlineStr"/>
      <c r="AK37" s="706" t="inlineStr"/>
      <c r="AL37" s="706" t="inlineStr"/>
      <c r="AM37" s="706" t="inlineStr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SUM(F36:F37)</f>
        <v/>
      </c>
      <c r="G38" s="710">
        <f>SUM(G36:G37)</f>
        <v/>
      </c>
      <c r="H38" s="710">
        <f>SUM(H36:H37)</f>
        <v/>
      </c>
      <c r="I38" s="710">
        <f>SUM(I36:I37)</f>
        <v/>
      </c>
      <c r="J38" s="710">
        <f>SUM(J36:J37)</f>
        <v/>
      </c>
      <c r="K38" s="710">
        <f>SUM(K36:K37)</f>
        <v/>
      </c>
      <c r="L38" s="710">
        <f>SUM(L36:L37)</f>
        <v/>
      </c>
      <c r="M38" s="710">
        <f>SUM(M36:M37)</f>
        <v/>
      </c>
      <c r="N38" s="710">
        <f>SUM(N36:N37)</f>
        <v/>
      </c>
      <c r="O38" s="710">
        <f>SUM(O36:O37)</f>
        <v/>
      </c>
      <c r="P38" s="710">
        <f>SUM(P36:P37)</f>
        <v/>
      </c>
      <c r="Q38" s="710">
        <f>SUM(Q36:Q37)</f>
        <v/>
      </c>
      <c r="R38" s="710">
        <f>SUM(R36:R37)</f>
        <v/>
      </c>
      <c r="S38" s="710">
        <f>SUM(S36:S37)</f>
        <v/>
      </c>
      <c r="T38" s="710">
        <f>SUM(T36:T37)</f>
        <v/>
      </c>
      <c r="U38" s="710">
        <f>SUM(U36:U37)</f>
        <v/>
      </c>
      <c r="V38" s="710">
        <f>SUM(V36:V37)</f>
        <v/>
      </c>
      <c r="W38" s="710">
        <f>SUM(W36:W37)</f>
        <v/>
      </c>
      <c r="X38" s="710">
        <f>SUM(X36:X37)</f>
        <v/>
      </c>
      <c r="Y38" s="710">
        <f>SUM(Y36:Y37)</f>
        <v/>
      </c>
      <c r="Z38" s="710">
        <f>SUM(Z36:Z37)</f>
        <v/>
      </c>
      <c r="AA38" s="710">
        <f>SUM(AA36:AA37)</f>
        <v/>
      </c>
      <c r="AB38" s="710">
        <f>SUM(AB36:AB37)</f>
        <v/>
      </c>
      <c r="AC38" s="711">
        <f>SUM(K38+O38+S38+W38+AA38+AB38)</f>
        <v/>
      </c>
      <c r="AD38" s="335">
        <f>IF(F38=0,"",K38/(F38/((YEAR(E36)*12+MONTH(E36))-(YEAR(D36)*12+MONTH(D36))+1)))</f>
        <v/>
      </c>
      <c r="AE38" s="336">
        <f>G38/F38</f>
        <v/>
      </c>
      <c r="AF38" s="711">
        <f>F38-G38</f>
        <v/>
      </c>
      <c r="AG38" s="337">
        <f>AG36</f>
        <v/>
      </c>
      <c r="AH38" s="335">
        <f>AC38/AG36</f>
        <v/>
      </c>
      <c r="AI38" s="718">
        <f>AG36-AC38</f>
        <v/>
      </c>
      <c r="AJ38" s="713" t="inlineStr"/>
      <c r="AK38" s="713" t="inlineStr"/>
      <c r="AL38" s="713" t="inlineStr"/>
      <c r="AM38" s="713" t="inlineStr"/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4466.016626</v>
      </c>
      <c r="H39" s="703" t="n">
        <v>564.94934</v>
      </c>
      <c r="I39" s="703" t="n">
        <v>0</v>
      </c>
      <c r="J39" s="703" t="n">
        <v>0</v>
      </c>
      <c r="K39" s="703">
        <f>SUM(H39:J39)</f>
        <v/>
      </c>
      <c r="L39" s="703" t="n">
        <v>0</v>
      </c>
      <c r="M39" s="703" t="n">
        <v>3092.4036</v>
      </c>
      <c r="N39" s="703" t="n">
        <v>1.356844</v>
      </c>
      <c r="O39" s="703">
        <f>SUM(L39:N39)</f>
        <v/>
      </c>
      <c r="P39" s="703" t="n">
        <v>178.04748</v>
      </c>
      <c r="Q39" s="703" t="n">
        <v>0</v>
      </c>
      <c r="R39" s="703" t="n">
        <v>32.11807</v>
      </c>
      <c r="S39" s="703">
        <f>SUM(P39:R39)</f>
        <v/>
      </c>
      <c r="T39" s="703" t="n">
        <v>47.229437</v>
      </c>
      <c r="U39" s="703" t="n">
        <v>0</v>
      </c>
      <c r="V39" s="703" t="n">
        <v>24.120644</v>
      </c>
      <c r="W39" s="703">
        <f>SUM(T39:V39)</f>
        <v/>
      </c>
      <c r="X39" s="703" t="n">
        <v>524.574731</v>
      </c>
      <c r="Y39" s="703" t="n">
        <v>0</v>
      </c>
      <c r="Z39" s="703" t="n">
        <v>1.216481</v>
      </c>
      <c r="AA39" s="703">
        <f>SUM(X39:Z39)</f>
        <v/>
      </c>
      <c r="AB39" s="703" t="n">
        <v>0</v>
      </c>
      <c r="AC39" s="318">
        <f>SUM(K39+O39+S39+W39+AA39+AB39)</f>
        <v/>
      </c>
      <c r="AD39" s="319">
        <f>IF(F39=0,"",K39/(F39/((YEAR(E39)*12+MONTH(E39))-(YEAR(D39)*12+MONTH(D39))+1)))</f>
        <v/>
      </c>
      <c r="AE39" s="319">
        <f>G39/F39</f>
        <v/>
      </c>
      <c r="AF39" s="704">
        <f>F39-G39</f>
        <v/>
      </c>
      <c r="AG39" s="321">
        <f>SUM(F39:F40)</f>
        <v/>
      </c>
      <c r="AH39" s="322">
        <f>AH41</f>
        <v/>
      </c>
      <c r="AI39" s="717">
        <f>AI41</f>
        <v/>
      </c>
      <c r="AJ39" s="706" t="inlineStr"/>
      <c r="AK39" s="706" t="inlineStr"/>
      <c r="AL39" s="706" t="inlineStr"/>
      <c r="AM39" s="706" t="inlineStr"/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26704.579046</v>
      </c>
      <c r="H40" s="707" t="n">
        <v>396.591</v>
      </c>
      <c r="I40" s="707" t="n">
        <v>0</v>
      </c>
      <c r="J40" s="707" t="n">
        <v>0</v>
      </c>
      <c r="K40" s="707">
        <f>SUM(H40:J40)</f>
        <v/>
      </c>
      <c r="L40" s="707" t="n">
        <v>5263.972173</v>
      </c>
      <c r="M40" s="707" t="n">
        <v>1110.4548</v>
      </c>
      <c r="N40" s="707" t="n">
        <v>213.797407</v>
      </c>
      <c r="O40" s="707">
        <f>SUM(L40:N40)</f>
        <v/>
      </c>
      <c r="P40" s="707" t="n">
        <v>3533.62581</v>
      </c>
      <c r="Q40" s="707" t="n">
        <v>2435.06874</v>
      </c>
      <c r="R40" s="707" t="n">
        <v>188.462147</v>
      </c>
      <c r="S40" s="707">
        <f>SUM(P40:R40)</f>
        <v/>
      </c>
      <c r="T40" s="707" t="n">
        <v>9546.464904</v>
      </c>
      <c r="U40" s="707" t="n">
        <v>0</v>
      </c>
      <c r="V40" s="707" t="n">
        <v>401.214551</v>
      </c>
      <c r="W40" s="707">
        <f>SUM(T40:V40)</f>
        <v/>
      </c>
      <c r="X40" s="707" t="n">
        <v>1081.878995</v>
      </c>
      <c r="Y40" s="707" t="n">
        <v>523.50012</v>
      </c>
      <c r="Z40" s="707" t="n">
        <v>135.589522</v>
      </c>
      <c r="AA40" s="707">
        <f>SUM(X40:Z40)</f>
        <v/>
      </c>
      <c r="AB40" s="707" t="n">
        <v>1873.958877</v>
      </c>
      <c r="AC40" s="271">
        <f>SUM(K40+O40+S40+W40+AA40+AB40)</f>
        <v/>
      </c>
      <c r="AD40" s="326">
        <f>IF(F40=0,"",K40/(F40/((YEAR(E40)*12+MONTH(E40))-(YEAR(D40)*12+MONTH(D40))+1)))</f>
        <v/>
      </c>
      <c r="AE40" s="326">
        <f>G40/F40</f>
        <v/>
      </c>
      <c r="AF40" s="708">
        <f>F40-G40</f>
        <v/>
      </c>
      <c r="AG40" s="513" t="n"/>
      <c r="AH40" s="513" t="n"/>
      <c r="AI40" s="513" t="n"/>
      <c r="AJ40" s="706" t="inlineStr"/>
      <c r="AK40" s="706" t="inlineStr"/>
      <c r="AL40" s="706" t="inlineStr"/>
      <c r="AM40" s="706" t="inlineStr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1">
        <f>SUM(K41+O41+S41+W41+AA41+AB41)</f>
        <v/>
      </c>
      <c r="AD41" s="335">
        <f>IF(F41=0,"",K41/(F41/((YEAR(E39)*12+MONTH(E39))-(YEAR(D39)*12+MONTH(D39))+1)))</f>
        <v/>
      </c>
      <c r="AE41" s="336">
        <f>G41/F41</f>
        <v/>
      </c>
      <c r="AF41" s="711">
        <f>F41-G41</f>
        <v/>
      </c>
      <c r="AG41" s="337">
        <f>AG39</f>
        <v/>
      </c>
      <c r="AH41" s="335">
        <f>AC41/AG39</f>
        <v/>
      </c>
      <c r="AI41" s="718">
        <f>AG39-AC41</f>
        <v/>
      </c>
      <c r="AJ41" s="713" t="inlineStr"/>
      <c r="AK41" s="713" t="inlineStr"/>
      <c r="AL41" s="713" t="inlineStr"/>
      <c r="AM41" s="713" t="inlineStr"/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17577.992382</v>
      </c>
      <c r="H42" s="703" t="n">
        <v>1208.776725</v>
      </c>
      <c r="I42" s="703" t="n">
        <v>0</v>
      </c>
      <c r="J42" s="703" t="n">
        <v>0</v>
      </c>
      <c r="K42" s="703">
        <f>SUM(H42:J42)</f>
        <v/>
      </c>
      <c r="L42" s="703" t="n">
        <v>3234.899368</v>
      </c>
      <c r="M42" s="703" t="n">
        <v>241.63794</v>
      </c>
      <c r="N42" s="703" t="n">
        <v>418.520886</v>
      </c>
      <c r="O42" s="703">
        <f>SUM(L42:N42)</f>
        <v/>
      </c>
      <c r="P42" s="703" t="n">
        <v>1488.863753</v>
      </c>
      <c r="Q42" s="703" t="n">
        <v>0</v>
      </c>
      <c r="R42" s="703" t="n">
        <v>377.363887</v>
      </c>
      <c r="S42" s="703">
        <f>SUM(P42:R42)</f>
        <v/>
      </c>
      <c r="T42" s="703" t="n">
        <v>2747.788321</v>
      </c>
      <c r="U42" s="703" t="n">
        <v>0</v>
      </c>
      <c r="V42" s="703" t="n">
        <v>610.841506</v>
      </c>
      <c r="W42" s="703">
        <f>SUM(T42:V42)</f>
        <v/>
      </c>
      <c r="X42" s="703" t="n">
        <v>1566.390968</v>
      </c>
      <c r="Y42" s="703" t="n">
        <v>1037.679365</v>
      </c>
      <c r="Z42" s="703" t="n">
        <v>311.654822</v>
      </c>
      <c r="AA42" s="703">
        <f>SUM(X42:Z42)</f>
        <v/>
      </c>
      <c r="AB42" s="703" t="n">
        <v>4333.574839</v>
      </c>
      <c r="AC42" s="318">
        <f>SUM(K42+O42+S42+W42+AA42+AB42)</f>
        <v/>
      </c>
      <c r="AD42" s="319">
        <f>IF(F42=0,"",K42/(F42/((YEAR(E42)*12+MONTH(E42))-(YEAR(D42)*12+MONTH(D42))+1)))</f>
        <v/>
      </c>
      <c r="AE42" s="319">
        <f>G42/F42</f>
        <v/>
      </c>
      <c r="AF42" s="704">
        <f>F42-G42</f>
        <v/>
      </c>
      <c r="AG42" s="321">
        <f>SUM(F42:F46)</f>
        <v/>
      </c>
      <c r="AH42" s="322">
        <f>AH47</f>
        <v/>
      </c>
      <c r="AI42" s="717">
        <f>AI47</f>
        <v/>
      </c>
      <c r="AJ42" s="706" t="inlineStr"/>
      <c r="AK42" s="706" t="inlineStr"/>
      <c r="AL42" s="706" t="inlineStr"/>
      <c r="AM42" s="706" t="inlineStr"/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15246.786423</v>
      </c>
      <c r="H43" s="707" t="n">
        <v>318.478742</v>
      </c>
      <c r="I43" s="707" t="n">
        <v>0</v>
      </c>
      <c r="J43" s="707" t="n">
        <v>0</v>
      </c>
      <c r="K43" s="707">
        <f>SUM(H43:J43)</f>
        <v/>
      </c>
      <c r="L43" s="707" t="n">
        <v>2570.269551</v>
      </c>
      <c r="M43" s="707" t="n">
        <v>2029.71366</v>
      </c>
      <c r="N43" s="707" t="n">
        <v>1483.741412</v>
      </c>
      <c r="O43" s="707">
        <f>SUM(L43:N43)</f>
        <v/>
      </c>
      <c r="P43" s="707" t="n">
        <v>567.268131</v>
      </c>
      <c r="Q43" s="707" t="n">
        <v>0</v>
      </c>
      <c r="R43" s="707" t="n">
        <v>1668.680328</v>
      </c>
      <c r="S43" s="707">
        <f>SUM(P43:R43)</f>
        <v/>
      </c>
      <c r="T43" s="707" t="n">
        <v>1550.383391</v>
      </c>
      <c r="U43" s="707" t="n">
        <v>0</v>
      </c>
      <c r="V43" s="707" t="n">
        <v>2273.498356</v>
      </c>
      <c r="W43" s="707">
        <f>SUM(T43:V43)</f>
        <v/>
      </c>
      <c r="X43" s="707" t="n">
        <v>1396.194268</v>
      </c>
      <c r="Y43" s="707" t="n">
        <v>0</v>
      </c>
      <c r="Z43" s="707" t="n">
        <v>1388.558583</v>
      </c>
      <c r="AA43" s="707">
        <f>SUM(X43:Z43)</f>
        <v/>
      </c>
      <c r="AB43" s="707" t="n">
        <v>7202.586607</v>
      </c>
      <c r="AC43" s="271">
        <f>SUM(K43+O43+S43+W43+AA43+AB43)</f>
        <v/>
      </c>
      <c r="AD43" s="326">
        <f>IF(F43=0,"",K43/(F43/((YEAR(E43)*12+MONTH(E43))-(YEAR(D43)*12+MONTH(D43))+1)))</f>
        <v/>
      </c>
      <c r="AE43" s="326">
        <f>G43/F43</f>
        <v/>
      </c>
      <c r="AF43" s="708">
        <f>F43-G43</f>
        <v/>
      </c>
      <c r="AG43" s="500" t="n"/>
      <c r="AH43" s="500" t="n"/>
      <c r="AI43" s="500" t="n"/>
      <c r="AJ43" s="706" t="inlineStr"/>
      <c r="AK43" s="706" t="inlineStr"/>
      <c r="AL43" s="706" t="inlineStr"/>
      <c r="AM43" s="706" t="inlineStr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441.667087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0</v>
      </c>
      <c r="M44" s="707" t="n">
        <v>0</v>
      </c>
      <c r="N44" s="707" t="n">
        <v>20.217377</v>
      </c>
      <c r="O44" s="707">
        <f>SUM(L44:N44)</f>
        <v/>
      </c>
      <c r="P44" s="707" t="n">
        <v>410.9235</v>
      </c>
      <c r="Q44" s="707" t="n">
        <v>0</v>
      </c>
      <c r="R44" s="707" t="n">
        <v>4.340061</v>
      </c>
      <c r="S44" s="707">
        <f>SUM(P44:R44)</f>
        <v/>
      </c>
      <c r="T44" s="707" t="n">
        <v>0</v>
      </c>
      <c r="U44" s="707" t="n">
        <v>0</v>
      </c>
      <c r="V44" s="707" t="n">
        <v>5.058234</v>
      </c>
      <c r="W44" s="707">
        <f>SUM(T44:V44)</f>
        <v/>
      </c>
      <c r="X44" s="707" t="n">
        <v>0</v>
      </c>
      <c r="Y44" s="707" t="n">
        <v>0</v>
      </c>
      <c r="Z44" s="707" t="n">
        <v>1.127915</v>
      </c>
      <c r="AA44" s="707">
        <f>SUM(X44:Z44)</f>
        <v/>
      </c>
      <c r="AB44" s="707" t="n">
        <v>0</v>
      </c>
      <c r="AC44" s="271">
        <f>SUM(K44+O44+S44+W44+AA44+AB44)</f>
        <v/>
      </c>
      <c r="AD44" s="326">
        <f>IF(F44=0,"",K44/(F44/((YEAR(E44)*12+MONTH(E44))-(YEAR(D44)*12+MONTH(D44))+1)))</f>
        <v/>
      </c>
      <c r="AE44" s="326">
        <f>G44/F44</f>
        <v/>
      </c>
      <c r="AF44" s="708">
        <f>F44-G44</f>
        <v/>
      </c>
      <c r="AG44" s="500" t="n"/>
      <c r="AH44" s="500" t="n"/>
      <c r="AI44" s="500" t="n"/>
      <c r="AJ44" s="706" t="inlineStr"/>
      <c r="AK44" s="706" t="inlineStr"/>
      <c r="AL44" s="706" t="inlineStr"/>
      <c r="AM44" s="706" t="inlineStr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187.98</v>
      </c>
      <c r="I45" s="707" t="n">
        <v>0</v>
      </c>
      <c r="J45" s="707" t="n">
        <v>0</v>
      </c>
      <c r="K45" s="707">
        <f>SUM(H45:J45)</f>
        <v/>
      </c>
      <c r="L45" s="707" t="n">
        <v>2309.14632</v>
      </c>
      <c r="M45" s="707" t="n">
        <v>0</v>
      </c>
      <c r="N45" s="707" t="n">
        <v>582.016803</v>
      </c>
      <c r="O45" s="707">
        <f>SUM(L45:N45)</f>
        <v/>
      </c>
      <c r="P45" s="707" t="n">
        <v>757.832636</v>
      </c>
      <c r="Q45" s="707" t="n">
        <v>0</v>
      </c>
      <c r="R45" s="707" t="n">
        <v>581.619744</v>
      </c>
      <c r="S45" s="707">
        <f>SUM(P45:R45)</f>
        <v/>
      </c>
      <c r="T45" s="707" t="n">
        <v>1958.298381</v>
      </c>
      <c r="U45" s="707" t="n">
        <v>0</v>
      </c>
      <c r="V45" s="707" t="n">
        <v>662.594343</v>
      </c>
      <c r="W45" s="707">
        <f>SUM(T45:V45)</f>
        <v/>
      </c>
      <c r="X45" s="707" t="n">
        <v>2837.047697</v>
      </c>
      <c r="Y45" s="707" t="n">
        <v>0</v>
      </c>
      <c r="Z45" s="707" t="n">
        <v>463.983498</v>
      </c>
      <c r="AA45" s="707">
        <f>SUM(X45:Z45)</f>
        <v/>
      </c>
      <c r="AB45" s="707" t="n">
        <v>2545.018293</v>
      </c>
      <c r="AC45" s="271">
        <f>SUM(K45+O45+S45+W45+AA45+AB45)</f>
        <v/>
      </c>
      <c r="AD45" s="326">
        <f>IF(F45=0,"",K45/(F45/MAX(1,(YEAR(E45)*12+MONTH(E45))-(YEAR(D45)*12+MONTH(D45))+1)))</f>
        <v/>
      </c>
      <c r="AE45" s="326">
        <f>G45/F45</f>
        <v/>
      </c>
      <c r="AF45" s="708">
        <f>F45-G45</f>
        <v/>
      </c>
      <c r="AG45" s="500" t="n"/>
      <c r="AH45" s="500" t="n"/>
      <c r="AI45" s="500" t="n"/>
      <c r="AJ45" s="706" t="inlineStr"/>
      <c r="AK45" s="706" t="inlineStr"/>
      <c r="AL45" s="706" t="inlineStr"/>
      <c r="AM45" s="706" t="inlineStr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25344.587101</v>
      </c>
      <c r="H46" s="707" t="n">
        <v>222.7095</v>
      </c>
      <c r="I46" s="707" t="n">
        <v>0</v>
      </c>
      <c r="J46" s="707" t="n">
        <v>0</v>
      </c>
      <c r="K46" s="707">
        <f>SUM(H46:J46)</f>
        <v/>
      </c>
      <c r="L46" s="707" t="n">
        <v>5097.989714</v>
      </c>
      <c r="M46" s="707" t="n">
        <v>0</v>
      </c>
      <c r="N46" s="707" t="n">
        <v>856.473493</v>
      </c>
      <c r="O46" s="707">
        <f>SUM(L46:N46)</f>
        <v/>
      </c>
      <c r="P46" s="707" t="n">
        <v>937.141286</v>
      </c>
      <c r="Q46" s="707" t="n">
        <v>0</v>
      </c>
      <c r="R46" s="707" t="n">
        <v>1775.786688</v>
      </c>
      <c r="S46" s="707">
        <f>SUM(P46:R46)</f>
        <v/>
      </c>
      <c r="T46" s="707" t="n">
        <v>3160.387028</v>
      </c>
      <c r="U46" s="707" t="n">
        <v>0</v>
      </c>
      <c r="V46" s="707" t="n">
        <v>3880.484178</v>
      </c>
      <c r="W46" s="707">
        <f>SUM(T46:V46)</f>
        <v/>
      </c>
      <c r="X46" s="707" t="n">
        <v>3065.24731</v>
      </c>
      <c r="Y46" s="707" t="n">
        <v>0</v>
      </c>
      <c r="Z46" s="707" t="n">
        <v>1466.609142</v>
      </c>
      <c r="AA46" s="707">
        <f>SUM(X46:Z46)</f>
        <v/>
      </c>
      <c r="AB46" s="707" t="n">
        <v>4881.758761</v>
      </c>
      <c r="AC46" s="271">
        <f>SUM(K46+O46+S46+W46+AA46+AB46)</f>
        <v/>
      </c>
      <c r="AD46" s="326">
        <f>IF(F46=0,"",K46/(F46/((YEAR(E46)*12+MONTH(E46))-(YEAR(D46)*12+MONTH(D46))+1)))</f>
        <v/>
      </c>
      <c r="AE46" s="326">
        <f>G46/F46</f>
        <v/>
      </c>
      <c r="AF46" s="708">
        <f>F46-G46</f>
        <v/>
      </c>
      <c r="AG46" s="513" t="n"/>
      <c r="AH46" s="513" t="n"/>
      <c r="AI46" s="513" t="n"/>
      <c r="AJ46" s="706" t="inlineStr"/>
      <c r="AK46" s="706" t="inlineStr"/>
      <c r="AL46" s="706" t="inlineStr"/>
      <c r="AM46" s="706" t="inlineStr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SUM(K47+O47+S47+W47+AA47+AB47)</f>
        <v/>
      </c>
      <c r="AD47" s="335">
        <f>IF(F47=0,"",K47/(F47/((YEAR(E42)*12+MONTH(E42))-(YEAR(D42)*12+MONTH(D42))+1)))</f>
        <v/>
      </c>
      <c r="AE47" s="336">
        <f>G47/F47</f>
        <v/>
      </c>
      <c r="AF47" s="710">
        <f>F47-G47</f>
        <v/>
      </c>
      <c r="AG47" s="337">
        <f>AG42</f>
        <v/>
      </c>
      <c r="AH47" s="335">
        <f>AC47/AG42</f>
        <v/>
      </c>
      <c r="AI47" s="712">
        <f>AG42-AC47</f>
        <v/>
      </c>
      <c r="AJ47" s="713" t="inlineStr"/>
      <c r="AK47" s="713" t="inlineStr"/>
      <c r="AL47" s="713" t="inlineStr"/>
      <c r="AM47" s="713" t="inlineStr"/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</row>
    <row r="48" ht="14.25" customFormat="1" customHeight="1" s="483">
      <c r="A48" s="703" t="inlineStr">
        <is>
          <t>其他团队</t>
        </is>
      </c>
      <c r="B48" s="703" t="inlineStr">
        <is>
          <t>理财师033</t>
        </is>
      </c>
      <c r="C48" s="703" t="inlineStr"/>
      <c r="D48" s="693" t="inlineStr"/>
      <c r="E48" s="693" t="inlineStr"/>
      <c r="F48" s="703" t="n">
        <v>0</v>
      </c>
      <c r="G48" s="703" t="n">
        <v>1844.2008</v>
      </c>
      <c r="H48" s="703" t="n">
        <v>0</v>
      </c>
      <c r="I48" s="703" t="n">
        <v>0</v>
      </c>
      <c r="J48" s="703" t="n">
        <v>0</v>
      </c>
      <c r="K48" s="703">
        <f>SUM(H48:J48)</f>
        <v/>
      </c>
      <c r="L48" s="703" t="n">
        <v>0</v>
      </c>
      <c r="M48" s="703" t="n">
        <v>1844.2008</v>
      </c>
      <c r="N48" s="703" t="n">
        <v>0</v>
      </c>
      <c r="O48" s="703">
        <f>SUM(L48:N48)</f>
        <v/>
      </c>
      <c r="P48" s="703" t="n">
        <v>0</v>
      </c>
      <c r="Q48" s="703" t="n">
        <v>0</v>
      </c>
      <c r="R48" s="703" t="n">
        <v>0</v>
      </c>
      <c r="S48" s="703">
        <f>SUM(P48:R48)</f>
        <v/>
      </c>
      <c r="T48" s="703" t="n">
        <v>0</v>
      </c>
      <c r="U48" s="703" t="n">
        <v>0</v>
      </c>
      <c r="V48" s="703" t="n">
        <v>0</v>
      </c>
      <c r="W48" s="703">
        <f>SUM(T48:V48)</f>
        <v/>
      </c>
      <c r="X48" s="703" t="n">
        <v>0</v>
      </c>
      <c r="Y48" s="703" t="n">
        <v>0</v>
      </c>
      <c r="Z48" s="703" t="n">
        <v>0</v>
      </c>
      <c r="AA48" s="703">
        <f>SUM(X48:Z48)</f>
        <v/>
      </c>
      <c r="AB48" s="703" t="n">
        <v>0</v>
      </c>
      <c r="AC48" s="703">
        <f>SUM(K48+O48+S48+W48+AA48+AB48)</f>
        <v/>
      </c>
      <c r="AD48" s="319">
        <f>IF(F48=0,"",K48/(F48/MAX(1,(YEAR(E48)*12+MONTH(E48))-(YEAR(D48)*12+MONTH(D48))+1)))</f>
        <v/>
      </c>
      <c r="AE48" s="319">
        <f>G48/F48</f>
        <v/>
      </c>
      <c r="AF48" s="703">
        <f>F48-G48</f>
        <v/>
      </c>
      <c r="AG48" s="321">
        <f>SUM(F48:F50)</f>
        <v/>
      </c>
      <c r="AH48" s="322">
        <f>AH51</f>
        <v/>
      </c>
      <c r="AI48" s="717">
        <f>AI51</f>
        <v/>
      </c>
      <c r="AJ48" s="706" t="inlineStr"/>
      <c r="AK48" s="706" t="inlineStr"/>
      <c r="AL48" s="706" t="inlineStr"/>
      <c r="AM48" s="706" t="inlineStr"/>
      <c r="AN48" s="706" t="inlineStr"/>
      <c r="AO48" s="706" t="inlineStr"/>
      <c r="AP48" s="706" t="inlineStr"/>
      <c r="AQ48" s="706" t="inlineStr"/>
      <c r="AR48" s="706" t="inlineStr"/>
      <c r="AS48" s="706" t="inlineStr"/>
      <c r="AT48" s="706" t="inlineStr"/>
      <c r="AU48" s="706" t="inlineStr"/>
      <c r="AV48" s="706" t="inlineStr"/>
      <c r="AW48" s="706" t="inlineStr"/>
      <c r="AX48" s="706" t="inlineStr"/>
      <c r="AY48" s="706" t="inlineStr"/>
      <c r="AZ48" s="706" t="inlineStr"/>
      <c r="BA48" s="706" t="inlineStr"/>
      <c r="BB48" s="706" t="inlineStr"/>
      <c r="BC48" s="706" t="inlineStr"/>
      <c r="BD48" s="706" t="inlineStr"/>
      <c r="BE48" s="706" t="inlineStr"/>
      <c r="BF48" s="706" t="inlineStr"/>
      <c r="BG48" s="706" t="inlineStr"/>
      <c r="BH48" s="706" t="inlineStr"/>
      <c r="BI48" s="706" t="inlineStr"/>
    </row>
    <row r="49" ht="14.25" customFormat="1" customHeight="1" s="483">
      <c r="A49" s="500" t="n"/>
      <c r="B49" s="707" t="inlineStr">
        <is>
          <t>理财师037</t>
        </is>
      </c>
      <c r="C49" s="707" t="inlineStr"/>
      <c r="D49" s="707" t="inlineStr"/>
      <c r="E49" s="707" t="inlineStr"/>
      <c r="F49" s="707" t="n">
        <v>0</v>
      </c>
      <c r="G49" s="707" t="n">
        <v>0</v>
      </c>
      <c r="H49" s="707" t="n">
        <v>0</v>
      </c>
      <c r="I49" s="707" t="n">
        <v>0</v>
      </c>
      <c r="J49" s="707" t="n">
        <v>0</v>
      </c>
      <c r="K49" s="707">
        <f>SUM(H49:J49)</f>
        <v/>
      </c>
      <c r="L49" s="707" t="n">
        <v>0</v>
      </c>
      <c r="M49" s="707" t="n">
        <v>0</v>
      </c>
      <c r="N49" s="707" t="n">
        <v>0</v>
      </c>
      <c r="O49" s="707">
        <f>SUM(L49:N49)</f>
        <v/>
      </c>
      <c r="P49" s="707" t="n">
        <v>0</v>
      </c>
      <c r="Q49" s="707" t="n">
        <v>0</v>
      </c>
      <c r="R49" s="707" t="n">
        <v>0</v>
      </c>
      <c r="S49" s="707">
        <f>SUM(P49:R49)</f>
        <v/>
      </c>
      <c r="T49" s="707" t="n">
        <v>0</v>
      </c>
      <c r="U49" s="707" t="n">
        <v>0</v>
      </c>
      <c r="V49" s="707" t="n">
        <v>0</v>
      </c>
      <c r="W49" s="707">
        <f>SUM(T49:V49)</f>
        <v/>
      </c>
      <c r="X49" s="707" t="n">
        <v>0</v>
      </c>
      <c r="Y49" s="707" t="n">
        <v>0</v>
      </c>
      <c r="Z49" s="707" t="n">
        <v>0</v>
      </c>
      <c r="AA49" s="707">
        <f>SUM(X49:Z49)</f>
        <v/>
      </c>
      <c r="AB49" s="707" t="n">
        <v>0</v>
      </c>
      <c r="AC49" s="707">
        <f>SUM(K49+O49+S49+W49+AA49+AB49)</f>
        <v/>
      </c>
      <c r="AD49" s="326">
        <f>IF(F49=0,"",K49/(F49/MAX(1,(YEAR(E49)*12+MONTH(E49))-(YEAR(D49)*12+MONTH(D49))+1)))</f>
        <v/>
      </c>
      <c r="AE49" s="326">
        <f>G49/F49</f>
        <v/>
      </c>
      <c r="AF49" s="707">
        <f>F49-G49</f>
        <v/>
      </c>
      <c r="AG49" s="500" t="n"/>
      <c r="AH49" s="500" t="n"/>
      <c r="AI49" s="500" t="n"/>
      <c r="AJ49" s="706" t="inlineStr"/>
      <c r="AK49" s="706" t="inlineStr"/>
      <c r="AL49" s="706" t="inlineStr"/>
      <c r="AM49" s="706" t="inlineStr"/>
      <c r="AN49" s="706" t="inlineStr"/>
      <c r="AO49" s="706" t="inlineStr"/>
      <c r="AP49" s="706" t="inlineStr"/>
      <c r="AQ49" s="706" t="inlineStr"/>
      <c r="AR49" s="706" t="inlineStr"/>
      <c r="AS49" s="706" t="inlineStr"/>
      <c r="AT49" s="706" t="inlineStr"/>
      <c r="AU49" s="706" t="inlineStr"/>
      <c r="AV49" s="706" t="inlineStr"/>
      <c r="AW49" s="706" t="inlineStr"/>
      <c r="AX49" s="706" t="inlineStr"/>
      <c r="AY49" s="706" t="inlineStr"/>
      <c r="AZ49" s="706" t="inlineStr"/>
      <c r="BA49" s="706" t="inlineStr"/>
      <c r="BB49" s="706" t="inlineStr"/>
      <c r="BC49" s="706" t="inlineStr"/>
      <c r="BD49" s="706" t="inlineStr"/>
      <c r="BE49" s="706" t="inlineStr"/>
      <c r="BF49" s="706" t="inlineStr"/>
      <c r="BG49" s="706" t="inlineStr"/>
      <c r="BH49" s="706" t="inlineStr"/>
      <c r="BI49" s="706" t="inlineStr"/>
    </row>
    <row r="50" ht="35.1" customFormat="1" customHeight="1" s="483">
      <c r="A50" s="513" t="n"/>
      <c r="B50" s="707" t="inlineStr">
        <is>
          <t>理财师036</t>
        </is>
      </c>
      <c r="C50" s="707" t="inlineStr"/>
      <c r="D50" s="707" t="inlineStr"/>
      <c r="E50" s="707" t="inlineStr"/>
      <c r="F50" s="707" t="n">
        <v>0</v>
      </c>
      <c r="G50" s="707" t="n">
        <v>824.728839</v>
      </c>
      <c r="H50" s="707" t="n">
        <v>0</v>
      </c>
      <c r="I50" s="707" t="n">
        <v>0</v>
      </c>
      <c r="J50" s="707" t="n">
        <v>0</v>
      </c>
      <c r="K50" s="707">
        <f>SUM(H50:J50)</f>
        <v/>
      </c>
      <c r="L50" s="707" t="n">
        <v>0</v>
      </c>
      <c r="M50" s="707" t="n">
        <v>0</v>
      </c>
      <c r="N50" s="707" t="n">
        <v>17.966443</v>
      </c>
      <c r="O50" s="707">
        <f>SUM(L50:N50)</f>
        <v/>
      </c>
      <c r="P50" s="707" t="n">
        <v>0</v>
      </c>
      <c r="Q50" s="707" t="n">
        <v>0</v>
      </c>
      <c r="R50" s="707" t="n">
        <v>17.297678</v>
      </c>
      <c r="S50" s="707">
        <f>SUM(P50:R50)</f>
        <v/>
      </c>
      <c r="T50" s="707" t="n">
        <v>0</v>
      </c>
      <c r="U50" s="707" t="n">
        <v>0</v>
      </c>
      <c r="V50" s="707" t="n">
        <v>18.131765</v>
      </c>
      <c r="W50" s="707">
        <f>SUM(T50:V50)</f>
        <v/>
      </c>
      <c r="X50" s="707" t="n">
        <v>0</v>
      </c>
      <c r="Y50" s="707" t="n">
        <v>0</v>
      </c>
      <c r="Z50" s="707" t="n">
        <v>15.942032</v>
      </c>
      <c r="AA50" s="707">
        <f>SUM(X50:Z50)</f>
        <v/>
      </c>
      <c r="AB50" s="707" t="n">
        <v>236.299733</v>
      </c>
      <c r="AC50" s="707">
        <f>SUM(K50+O50+S50+W50+AA50+AB50)</f>
        <v/>
      </c>
      <c r="AD50" s="326">
        <f>IF(F50=0,"",K50/(F50/MAX(1,(YEAR(E50)*12+MONTH(E50))-(YEAR(D50)*12+MONTH(D50))+1)))</f>
        <v/>
      </c>
      <c r="AE50" s="326">
        <f>G50/F50</f>
        <v/>
      </c>
      <c r="AF50" s="707">
        <f>F50-G50</f>
        <v/>
      </c>
      <c r="AG50" s="513" t="n"/>
      <c r="AH50" s="513" t="n"/>
      <c r="AI50" s="513" t="n"/>
      <c r="AJ50" s="706" t="inlineStr"/>
      <c r="AK50" s="706" t="inlineStr"/>
      <c r="AL50" s="706" t="inlineStr"/>
      <c r="AM50" s="706" t="inlineStr"/>
      <c r="AN50" s="706" t="inlineStr"/>
      <c r="AO50" s="706" t="inlineStr"/>
      <c r="AP50" s="706" t="inlineStr"/>
      <c r="AQ50" s="706" t="inlineStr"/>
      <c r="AR50" s="706" t="inlineStr"/>
      <c r="AS50" s="706" t="inlineStr"/>
      <c r="AT50" s="706" t="inlineStr"/>
      <c r="AU50" s="706" t="inlineStr"/>
      <c r="AV50" s="706" t="inlineStr"/>
      <c r="AW50" s="706" t="inlineStr"/>
      <c r="AX50" s="706" t="inlineStr"/>
      <c r="AY50" s="706" t="inlineStr"/>
      <c r="AZ50" s="706" t="inlineStr"/>
      <c r="BA50" s="706" t="inlineStr"/>
      <c r="BB50" s="706" t="inlineStr"/>
      <c r="BC50" s="706" t="inlineStr"/>
      <c r="BD50" s="706" t="inlineStr"/>
      <c r="BE50" s="706" t="inlineStr"/>
      <c r="BF50" s="706" t="inlineStr"/>
      <c r="BG50" s="706" t="inlineStr"/>
      <c r="BH50" s="706" t="inlineStr"/>
      <c r="BI50" s="706" t="inlineStr"/>
    </row>
    <row r="51" ht="24" customFormat="1" customHeight="1" s="483">
      <c r="A51" s="710" t="inlineStr">
        <is>
          <t>合计</t>
        </is>
      </c>
      <c r="B51" s="518" t="n"/>
      <c r="C51" s="518" t="n"/>
      <c r="D51" s="518" t="n"/>
      <c r="E51" s="578" t="n"/>
      <c r="F51" s="333">
        <f>SUM(F48:F50)</f>
        <v/>
      </c>
      <c r="G51" s="710">
        <f>SUM(G48:G50)</f>
        <v/>
      </c>
      <c r="H51" s="710">
        <f>SUM(H48:H50)</f>
        <v/>
      </c>
      <c r="I51" s="710">
        <f>SUM(I48:I50)</f>
        <v/>
      </c>
      <c r="J51" s="710">
        <f>SUM(J48:J50)</f>
        <v/>
      </c>
      <c r="K51" s="710">
        <f>SUM(K48:K50)</f>
        <v/>
      </c>
      <c r="L51" s="710">
        <f>SUM(L48:L50)</f>
        <v/>
      </c>
      <c r="M51" s="710">
        <f>SUM(M48:M50)</f>
        <v/>
      </c>
      <c r="N51" s="710">
        <f>SUM(N48:N50)</f>
        <v/>
      </c>
      <c r="O51" s="710">
        <f>SUM(O48:O50)</f>
        <v/>
      </c>
      <c r="P51" s="710">
        <f>SUM(P48:P50)</f>
        <v/>
      </c>
      <c r="Q51" s="710">
        <f>SUM(Q48:Q50)</f>
        <v/>
      </c>
      <c r="R51" s="710">
        <f>SUM(R48:R50)</f>
        <v/>
      </c>
      <c r="S51" s="710">
        <f>SUM(S48:S50)</f>
        <v/>
      </c>
      <c r="T51" s="710">
        <f>SUM(T48:T50)</f>
        <v/>
      </c>
      <c r="U51" s="710">
        <f>SUM(U48:U50)</f>
        <v/>
      </c>
      <c r="V51" s="710">
        <f>SUM(V48:V50)</f>
        <v/>
      </c>
      <c r="W51" s="710">
        <f>SUM(W48:W50)</f>
        <v/>
      </c>
      <c r="X51" s="710">
        <f>SUM(X48:X50)</f>
        <v/>
      </c>
      <c r="Y51" s="710">
        <f>SUM(Y48:Y50)</f>
        <v/>
      </c>
      <c r="Z51" s="710">
        <f>SUM(Z48:Z50)</f>
        <v/>
      </c>
      <c r="AA51" s="710">
        <f>SUM(AA48:AA50)</f>
        <v/>
      </c>
      <c r="AB51" s="710">
        <f>SUM(AB48:AB50)</f>
        <v/>
      </c>
      <c r="AC51" s="710">
        <f>SUM(K51+O51+S51+W51+AA51+AB51)</f>
        <v/>
      </c>
      <c r="AD51" s="335">
        <f>IF(F51=0,"",K51/(F51/((YEAR(E48)*12+MONTH(E48))-(YEAR(D48)*12+MONTH(D48))+1)))</f>
        <v/>
      </c>
      <c r="AE51" s="336">
        <f>G51/F51</f>
        <v/>
      </c>
      <c r="AF51" s="710">
        <f>F51-G51</f>
        <v/>
      </c>
      <c r="AG51" s="337">
        <f>AG48</f>
        <v/>
      </c>
      <c r="AH51" s="335">
        <f>AC51/AG48</f>
        <v/>
      </c>
      <c r="AI51" s="712">
        <f>AG48-AC51</f>
        <v/>
      </c>
      <c r="AJ51" s="713" t="inlineStr"/>
      <c r="AK51" s="713" t="inlineStr"/>
      <c r="AL51" s="713" t="inlineStr"/>
      <c r="AM51" s="713" t="inlineStr"/>
      <c r="AN51" s="713" t="inlineStr"/>
      <c r="AO51" s="713" t="inlineStr"/>
      <c r="AP51" s="713" t="inlineStr"/>
      <c r="AQ51" s="713" t="inlineStr"/>
      <c r="AR51" s="713" t="inlineStr"/>
      <c r="AS51" s="713" t="inlineStr"/>
      <c r="AT51" s="713" t="inlineStr"/>
      <c r="AU51" s="713" t="inlineStr"/>
      <c r="AV51" s="713" t="inlineStr"/>
      <c r="AW51" s="713" t="inlineStr"/>
      <c r="AX51" s="713" t="inlineStr"/>
      <c r="AY51" s="713" t="inlineStr"/>
      <c r="AZ51" s="713" t="inlineStr"/>
      <c r="BA51" s="713" t="inlineStr"/>
      <c r="BB51" s="713" t="inlineStr"/>
      <c r="BC51" s="713" t="inlineStr"/>
      <c r="BD51" s="713" t="inlineStr"/>
      <c r="BE51" s="713" t="inlineStr"/>
      <c r="BF51" s="713" t="inlineStr"/>
      <c r="BG51" s="713" t="inlineStr"/>
      <c r="BH51" s="713" t="inlineStr"/>
      <c r="BI51" s="713" t="inlineStr"/>
    </row>
    <row r="52" ht="17.55" customFormat="1" customHeight="1" s="483">
      <c r="A52" s="719" t="inlineStr">
        <is>
          <t>合计</t>
        </is>
      </c>
      <c r="B52" s="518" t="n"/>
      <c r="C52" s="518" t="n"/>
      <c r="D52" s="518" t="n"/>
      <c r="E52" s="578" t="n"/>
      <c r="F52" s="720">
        <f>F9+F15+F20+F24+F28+F32+F35+F38+F41+F47+F51</f>
        <v/>
      </c>
      <c r="G52" s="720">
        <f>G9+G15+G20+G24+G28+G32+G35+G38+G41+G47+G51</f>
        <v/>
      </c>
      <c r="H52" s="720">
        <f>H9+H15+H20+H24+H28+H32+H35+H38+H41+H47+H51</f>
        <v/>
      </c>
      <c r="I52" s="720">
        <f>I9+I15+I20+I24+I28+I32+I35+I38+I41+I47+I51</f>
        <v/>
      </c>
      <c r="J52" s="720">
        <f>J9+J15+J20+J24+J28+J32+J35+J38+J41+J47+J51</f>
        <v/>
      </c>
      <c r="K52" s="720">
        <f>K9+K15+K20+K24+K28+K32+K35+K38+K41+K47+K51</f>
        <v/>
      </c>
      <c r="L52" s="720">
        <f>L9+L15+L20+L24+L28+L32+L35+L38+L41+L47+L51</f>
        <v/>
      </c>
      <c r="M52" s="720">
        <f>M9+M15+M20+M24+M28+M32+M35+M38+M41+M47+M51</f>
        <v/>
      </c>
      <c r="N52" s="720">
        <f>N9+N15+N20+N24+N28+N32+N35+N38+N41+N47+N51</f>
        <v/>
      </c>
      <c r="O52" s="720">
        <f>O9+O15+O20+O24+O28+O32+O35+O38+O41+O47+O51</f>
        <v/>
      </c>
      <c r="P52" s="720">
        <f>P9+P15+P20+P24+P28+P32+P35+P38+P41+P47+P51</f>
        <v/>
      </c>
      <c r="Q52" s="720">
        <f>Q9+Q15+Q20+Q24+Q28+Q32+Q35+Q38+Q41+Q47+Q51</f>
        <v/>
      </c>
      <c r="R52" s="720">
        <f>R9+R15+R20+R24+R28+R32+R35+R38+R41+R47+R51</f>
        <v/>
      </c>
      <c r="S52" s="720">
        <f>S9+S15+S20+S24+S28+S32+S35+S38+S41+S47+S51</f>
        <v/>
      </c>
      <c r="T52" s="720">
        <f>T9+T15+T20+T24+T28+T32+T35+T38+T41+T47+T51</f>
        <v/>
      </c>
      <c r="U52" s="720">
        <f>U9+U15+U20+U24+U28+U32+U35+U38+U41+U47+U51</f>
        <v/>
      </c>
      <c r="V52" s="720">
        <f>V9+V15+V20+V24+V28+V32+V35+V38+V41+V47+V51</f>
        <v/>
      </c>
      <c r="W52" s="720">
        <f>W9+W15+W20+W24+W28+W32+W35+W38+W41+W47+W51</f>
        <v/>
      </c>
      <c r="X52" s="720">
        <f>X9+X15+X20+X24+X28+X32+X35+X38+X41+X47+X51</f>
        <v/>
      </c>
      <c r="Y52" s="720">
        <f>Y9+Y15+Y20+Y24+Y28+Y32+Y35+Y38+Y41+Y47+Y51</f>
        <v/>
      </c>
      <c r="Z52" s="720">
        <f>Z9+Z15+Z20+Z24+Z28+Z32+Z35+Z38+Z41+Z47+Z51</f>
        <v/>
      </c>
      <c r="AA52" s="720">
        <f>AA9+AA15+AA20+AA24+AA28+AA32+AA35+AA38+AA41+AA47+AA51</f>
        <v/>
      </c>
      <c r="AB52" s="720">
        <f>AB9+AB15+AB20+AB24+AB28+AB32+AB35+AB38+AB41+AB47+AB51</f>
        <v/>
      </c>
      <c r="AC52" s="726">
        <f>AC9+AC15+AC20+AC24+AC28+AC32+AC35+AC38+AC41+AC47+AC51</f>
        <v/>
      </c>
      <c r="AD52" s="350">
        <f>K52/(F52/((YEAR(E4)*12+MONTH(E4))-(YEAR(D4)*12+MONTH(D4))+1))</f>
        <v/>
      </c>
      <c r="AE52" s="350">
        <f>G52/F52</f>
        <v/>
      </c>
      <c r="AF52" s="720">
        <f>F52-G52</f>
        <v/>
      </c>
      <c r="AG52" s="352">
        <f>AG9+AG15+AG20+AG24+AG28+AG32+AG35+AG38+AG41+AG47+AG51</f>
        <v/>
      </c>
      <c r="AH52" s="353">
        <f>AC52/AG52</f>
        <v/>
      </c>
      <c r="AI52" s="720">
        <f>AG52-AC52</f>
        <v/>
      </c>
      <c r="AJ52" s="723" t="inlineStr"/>
      <c r="AK52" s="723" t="inlineStr"/>
      <c r="AL52" s="723" t="inlineStr"/>
      <c r="AM52" s="723" t="inlineStr"/>
      <c r="AN52" s="723" t="inlineStr"/>
      <c r="AO52" s="723" t="inlineStr"/>
      <c r="AP52" s="723" t="inlineStr"/>
      <c r="AQ52" s="723" t="inlineStr"/>
      <c r="AR52" s="723" t="inlineStr"/>
      <c r="AS52" s="723" t="inlineStr"/>
      <c r="AT52" s="723" t="inlineStr"/>
      <c r="AU52" s="723" t="inlineStr"/>
      <c r="AV52" s="723" t="inlineStr"/>
      <c r="AW52" s="723" t="inlineStr"/>
      <c r="AX52" s="723" t="inlineStr"/>
      <c r="AY52" s="723" t="inlineStr"/>
      <c r="AZ52" s="723" t="inlineStr"/>
      <c r="BA52" s="723" t="inlineStr"/>
      <c r="BB52" s="723" t="inlineStr"/>
      <c r="BC52" s="723" t="inlineStr"/>
      <c r="BD52" s="723" t="inlineStr"/>
      <c r="BE52" s="723" t="inlineStr"/>
      <c r="BF52" s="723" t="inlineStr"/>
      <c r="BG52" s="723" t="inlineStr"/>
      <c r="BH52" s="723" t="inlineStr"/>
      <c r="BI52" s="727" t="inlineStr"/>
    </row>
    <row r="53">
      <c r="AF53" s="633" t="inlineStr">
        <is>
          <t>公司目标</t>
        </is>
      </c>
      <c r="AG53" s="633" t="n">
        <v>930486.542524</v>
      </c>
      <c r="AH53" s="252">
        <f>IF(AG53&lt;&gt;0,AC52/AG53,"")</f>
        <v/>
      </c>
      <c r="AI53" s="663">
        <f>AG53-AC52</f>
        <v/>
      </c>
    </row>
  </sheetData>
  <mergeCells count="91">
    <mergeCell ref="A21:A23"/>
    <mergeCell ref="AI4:AI8"/>
    <mergeCell ref="AH33:AH34"/>
    <mergeCell ref="A4:A8"/>
    <mergeCell ref="A29:A31"/>
    <mergeCell ref="AI21:AI23"/>
    <mergeCell ref="U2:U3"/>
    <mergeCell ref="A2:A3"/>
    <mergeCell ref="C2:C3"/>
    <mergeCell ref="AG16:AG19"/>
    <mergeCell ref="E2:E3"/>
    <mergeCell ref="AI16:AI19"/>
    <mergeCell ref="W2:W3"/>
    <mergeCell ref="AH39:AH40"/>
    <mergeCell ref="AI10:AI14"/>
    <mergeCell ref="AH21:AH23"/>
    <mergeCell ref="A33:A34"/>
    <mergeCell ref="AG25:AG27"/>
    <mergeCell ref="AA2:AA3"/>
    <mergeCell ref="AC2:AC3"/>
    <mergeCell ref="A52:E52"/>
    <mergeCell ref="V2:V3"/>
    <mergeCell ref="X2:X3"/>
    <mergeCell ref="A42:A46"/>
    <mergeCell ref="N2:N3"/>
    <mergeCell ref="F2:F3"/>
    <mergeCell ref="P2:P3"/>
    <mergeCell ref="H2:H3"/>
    <mergeCell ref="AI48:AI50"/>
    <mergeCell ref="AH25:AH27"/>
    <mergeCell ref="AG29:AG31"/>
    <mergeCell ref="AI29:AI31"/>
    <mergeCell ref="AF2:AF3"/>
    <mergeCell ref="K2:K3"/>
    <mergeCell ref="AH2:AH3"/>
    <mergeCell ref="O2:O3"/>
    <mergeCell ref="AG21:AG23"/>
    <mergeCell ref="A32:E32"/>
    <mergeCell ref="Q2:Q3"/>
    <mergeCell ref="AH36:AH37"/>
    <mergeCell ref="AI2:AI3"/>
    <mergeCell ref="AH42:AH46"/>
    <mergeCell ref="A38:E38"/>
    <mergeCell ref="A25:A27"/>
    <mergeCell ref="A39:A40"/>
    <mergeCell ref="AG33:AG34"/>
    <mergeCell ref="AH4:AH8"/>
    <mergeCell ref="AI33:AI34"/>
    <mergeCell ref="AH10:AH14"/>
    <mergeCell ref="S2:S3"/>
    <mergeCell ref="AI25:AI27"/>
    <mergeCell ref="A24:E24"/>
    <mergeCell ref="A36:A37"/>
    <mergeCell ref="B2:B3"/>
    <mergeCell ref="D2:D3"/>
    <mergeCell ref="AG36:AG37"/>
    <mergeCell ref="AI36:AI37"/>
    <mergeCell ref="A10:A14"/>
    <mergeCell ref="Z2:Z3"/>
    <mergeCell ref="AG42:AG46"/>
    <mergeCell ref="AB2:AB3"/>
    <mergeCell ref="AI42:AI46"/>
    <mergeCell ref="AD2:AD3"/>
    <mergeCell ref="T2:T3"/>
    <mergeCell ref="AG4:AG8"/>
    <mergeCell ref="A47:E47"/>
    <mergeCell ref="AG39:AG40"/>
    <mergeCell ref="A20:E20"/>
    <mergeCell ref="AI39:AI40"/>
    <mergeCell ref="A28:E28"/>
    <mergeCell ref="AG48:AG50"/>
    <mergeCell ref="G2:G3"/>
    <mergeCell ref="I2:I3"/>
    <mergeCell ref="A15:E15"/>
    <mergeCell ref="AH48:AH50"/>
    <mergeCell ref="A51:E51"/>
    <mergeCell ref="M2:M3"/>
    <mergeCell ref="AE2:AE3"/>
    <mergeCell ref="A16:A19"/>
    <mergeCell ref="AG2:AG3"/>
    <mergeCell ref="Y2:Y3"/>
    <mergeCell ref="A41:E41"/>
    <mergeCell ref="A48:A50"/>
    <mergeCell ref="AG10:AG14"/>
    <mergeCell ref="AH29:AH31"/>
    <mergeCell ref="R2:R3"/>
    <mergeCell ref="J2:J3"/>
    <mergeCell ref="L2:L3"/>
    <mergeCell ref="A35:E35"/>
    <mergeCell ref="AH16:AH19"/>
    <mergeCell ref="A9:E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I53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hidden="1" width="9" customWidth="1" style="533" min="27" max="61"/>
  </cols>
  <sheetData>
    <row r="1" ht="20.25" customFormat="1" customHeight="1" s="483">
      <c r="A1" s="754" t="inlineStr">
        <is>
          <t>私人财富管理部折标销售进度表-截止20260612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552" t="inlineStr">
        <is>
          <t>上半年时间进度</t>
        </is>
      </c>
      <c r="AI1" s="70">
        <f>AN7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传统202606</t>
        </is>
      </c>
      <c r="I2" s="541" t="inlineStr">
        <is>
          <t>保险202606</t>
        </is>
      </c>
      <c r="J2" s="541" t="inlineStr">
        <is>
          <t>管理费202606</t>
        </is>
      </c>
      <c r="K2" s="669" t="inlineStr">
        <is>
          <t>2026年
6月折标</t>
        </is>
      </c>
      <c r="L2" s="541" t="inlineStr">
        <is>
          <t>传统202605</t>
        </is>
      </c>
      <c r="M2" s="541" t="inlineStr">
        <is>
          <t>保险202605</t>
        </is>
      </c>
      <c r="N2" s="541" t="inlineStr">
        <is>
          <t>管理费202605</t>
        </is>
      </c>
      <c r="O2" s="669" t="inlineStr">
        <is>
          <t>2026年
5月折标</t>
        </is>
      </c>
      <c r="P2" s="541" t="inlineStr">
        <is>
          <t>传统202604</t>
        </is>
      </c>
      <c r="Q2" s="541" t="inlineStr">
        <is>
          <t>保险202604</t>
        </is>
      </c>
      <c r="R2" s="541" t="inlineStr">
        <is>
          <t>管理费202604</t>
        </is>
      </c>
      <c r="S2" s="669" t="inlineStr">
        <is>
          <t>2026年
4月折标</t>
        </is>
      </c>
      <c r="T2" s="541" t="inlineStr">
        <is>
          <t>传统202603</t>
        </is>
      </c>
      <c r="U2" s="541" t="inlineStr">
        <is>
          <t>保险202603</t>
        </is>
      </c>
      <c r="V2" s="541" t="inlineStr">
        <is>
          <t>管理费202603</t>
        </is>
      </c>
      <c r="W2" s="669" t="inlineStr">
        <is>
          <t>2026年
3月折标</t>
        </is>
      </c>
      <c r="X2" s="541" t="inlineStr">
        <is>
          <t>传统202602</t>
        </is>
      </c>
      <c r="Y2" s="541" t="inlineStr">
        <is>
          <t>保险202602</t>
        </is>
      </c>
      <c r="Z2" s="541" t="inlineStr">
        <is>
          <t>管理费202602</t>
        </is>
      </c>
      <c r="AA2" s="669" t="inlineStr">
        <is>
          <t>2026年
2月折标</t>
        </is>
      </c>
      <c r="AB2" s="669" t="inlineStr">
        <is>
          <t>2026年
1月折标</t>
        </is>
      </c>
      <c r="AC2" s="670" t="inlineStr">
        <is>
          <t>2026年YTD折标</t>
        </is>
      </c>
      <c r="AD2" s="671" t="inlineStr">
        <is>
          <t>月度
完成率</t>
        </is>
      </c>
      <c r="AE2" s="666" t="inlineStr">
        <is>
          <t>考核期完成率（累计）</t>
        </is>
      </c>
      <c r="AF2" s="560" t="inlineStr">
        <is>
          <t>考核期差距</t>
        </is>
      </c>
      <c r="AG2" s="561" t="inlineStr">
        <is>
          <t>财富中心
上半年年任务</t>
        </is>
      </c>
      <c r="AH2" s="79" t="inlineStr">
        <is>
          <t>财富中心
上半年任务完成率</t>
        </is>
      </c>
      <c r="AI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21150.271223</v>
      </c>
      <c r="H4" s="703" t="n">
        <v>193.539216</v>
      </c>
      <c r="I4" s="703" t="n">
        <v>0</v>
      </c>
      <c r="J4" s="703" t="n">
        <v>0</v>
      </c>
      <c r="K4" s="703">
        <f>SUM(H4:J4)</f>
        <v/>
      </c>
      <c r="L4" s="703" t="n">
        <v>1183.338361</v>
      </c>
      <c r="M4" s="703" t="n">
        <v>0</v>
      </c>
      <c r="N4" s="703" t="n">
        <v>627.793934</v>
      </c>
      <c r="O4" s="703">
        <f>SUM(L4:N4)</f>
        <v/>
      </c>
      <c r="P4" s="703" t="n">
        <v>3163.949074</v>
      </c>
      <c r="Q4" s="703" t="n">
        <v>0</v>
      </c>
      <c r="R4" s="703" t="n">
        <v>535.227607</v>
      </c>
      <c r="S4" s="703">
        <f>SUM(P4:R4)</f>
        <v/>
      </c>
      <c r="T4" s="703" t="n">
        <v>8704.796721000001</v>
      </c>
      <c r="U4" s="703" t="n">
        <v>0</v>
      </c>
      <c r="V4" s="703" t="n">
        <v>1242.252932</v>
      </c>
      <c r="W4" s="703">
        <f>SUM(T4:V4)</f>
        <v/>
      </c>
      <c r="X4" s="703" t="n">
        <v>1402.304143</v>
      </c>
      <c r="Y4" s="703" t="n">
        <v>742.65048</v>
      </c>
      <c r="Z4" s="703" t="n">
        <v>430.381249</v>
      </c>
      <c r="AA4" s="703">
        <f>SUM(X4:Z4)</f>
        <v/>
      </c>
      <c r="AB4" s="703" t="n">
        <v>3459.265113</v>
      </c>
      <c r="AC4" s="318">
        <f>SUM(K4+O4+S4+W4+AA4+AB4)</f>
        <v/>
      </c>
      <c r="AD4" s="319">
        <f>IF(F4=0,"",K4/(F4/((YEAR(E4)*12+MONTH(E4))-(YEAR(D4)*12+MONTH(D4))+1)))</f>
        <v/>
      </c>
      <c r="AE4" s="319">
        <f>G4/F4</f>
        <v/>
      </c>
      <c r="AF4" s="704">
        <f>F4-G4</f>
        <v/>
      </c>
      <c r="AG4" s="321">
        <f>SUM(F4:F8)</f>
        <v/>
      </c>
      <c r="AH4" s="322">
        <f>AH9</f>
        <v/>
      </c>
      <c r="AI4" s="705">
        <f>AI9</f>
        <v/>
      </c>
      <c r="AJ4" s="706" t="inlineStr"/>
      <c r="AK4" s="706" t="inlineStr"/>
      <c r="AL4" s="706" t="inlineStr">
        <is>
          <t>开始日期</t>
        </is>
      </c>
      <c r="AM4" s="706" t="inlineStr">
        <is>
          <t>结束日期</t>
        </is>
      </c>
      <c r="AN4" s="706" t="inlineStr"/>
      <c r="AO4" s="706" t="inlineStr"/>
      <c r="AP4" s="706" t="inlineStr"/>
      <c r="AQ4" s="706" t="inlineStr"/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16496.326868</v>
      </c>
      <c r="H5" s="707" t="n">
        <v>432.333158</v>
      </c>
      <c r="I5" s="707" t="n">
        <v>0</v>
      </c>
      <c r="J5" s="707" t="n">
        <v>0</v>
      </c>
      <c r="K5" s="707">
        <f>SUM(H5:J5)</f>
        <v/>
      </c>
      <c r="L5" s="707" t="n">
        <v>593.9975920000001</v>
      </c>
      <c r="M5" s="707" t="n">
        <v>0</v>
      </c>
      <c r="N5" s="707" t="n">
        <v>191.489795</v>
      </c>
      <c r="O5" s="707">
        <f>SUM(L5:N5)</f>
        <v/>
      </c>
      <c r="P5" s="707" t="n">
        <v>249.800095</v>
      </c>
      <c r="Q5" s="707" t="n">
        <v>5040.9216</v>
      </c>
      <c r="R5" s="707" t="n">
        <v>342.801462</v>
      </c>
      <c r="S5" s="707">
        <f>SUM(P5:R5)</f>
        <v/>
      </c>
      <c r="T5" s="707" t="n">
        <v>1613.445926</v>
      </c>
      <c r="U5" s="707" t="n">
        <v>0</v>
      </c>
      <c r="V5" s="707" t="n">
        <v>488.407071</v>
      </c>
      <c r="W5" s="707">
        <f>SUM(T5:V5)</f>
        <v/>
      </c>
      <c r="X5" s="707" t="n">
        <v>454.800547</v>
      </c>
      <c r="Y5" s="707" t="n">
        <v>0</v>
      </c>
      <c r="Z5" s="707" t="n">
        <v>289.117436</v>
      </c>
      <c r="AA5" s="707">
        <f>SUM(X5:Z5)</f>
        <v/>
      </c>
      <c r="AB5" s="707" t="n">
        <v>3311.566531</v>
      </c>
      <c r="AC5" s="271">
        <f>SUM(K5+O5+S5+W5+AA5+AB5)</f>
        <v/>
      </c>
      <c r="AD5" s="326">
        <f>IF(F5=0,"",K5/(F5/((YEAR(E5)*12+MONTH(E5))-(YEAR(D5)*12+MONTH(D5))+1)))</f>
        <v/>
      </c>
      <c r="AE5" s="326">
        <f>G5/F5</f>
        <v/>
      </c>
      <c r="AF5" s="708">
        <f>F5-G5</f>
        <v/>
      </c>
      <c r="AG5" s="500" t="n"/>
      <c r="AH5" s="500" t="n"/>
      <c r="AI5" s="500" t="n"/>
      <c r="AJ5" s="706" t="inlineStr"/>
      <c r="AK5" s="706" t="inlineStr"/>
      <c r="AL5" s="328" t="n">
        <v>46023</v>
      </c>
      <c r="AM5" s="328" t="n">
        <v>46203</v>
      </c>
      <c r="AN5" s="706" t="inlineStr"/>
      <c r="AO5" s="706" t="inlineStr"/>
      <c r="AP5" s="706" t="inlineStr"/>
      <c r="AQ5" s="706" t="inlineStr"/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128646.631877</v>
      </c>
      <c r="H6" s="707" t="n">
        <v>0</v>
      </c>
      <c r="I6" s="707" t="n">
        <v>0</v>
      </c>
      <c r="J6" s="707" t="n">
        <v>0</v>
      </c>
      <c r="K6" s="707">
        <f>SUM(H6:J6)</f>
        <v/>
      </c>
      <c r="L6" s="707" t="n">
        <v>15008.571418</v>
      </c>
      <c r="M6" s="707" t="n">
        <v>71693.622</v>
      </c>
      <c r="N6" s="707" t="n">
        <v>1121.931402</v>
      </c>
      <c r="O6" s="707">
        <f>SUM(L6:N6)</f>
        <v/>
      </c>
      <c r="P6" s="707" t="n">
        <v>3788.477067</v>
      </c>
      <c r="Q6" s="707" t="n">
        <v>0</v>
      </c>
      <c r="R6" s="707" t="n">
        <v>1122.243766</v>
      </c>
      <c r="S6" s="707">
        <f>SUM(P6:R6)</f>
        <v/>
      </c>
      <c r="T6" s="707" t="n">
        <v>1444.66245</v>
      </c>
      <c r="U6" s="707" t="n">
        <v>0</v>
      </c>
      <c r="V6" s="707" t="n">
        <v>1063.763858</v>
      </c>
      <c r="W6" s="707">
        <f>SUM(T6:V6)</f>
        <v/>
      </c>
      <c r="X6" s="707" t="n">
        <v>9688.821542</v>
      </c>
      <c r="Y6" s="707" t="n">
        <v>0</v>
      </c>
      <c r="Z6" s="707" t="n">
        <v>606.6776630000001</v>
      </c>
      <c r="AA6" s="707">
        <f>SUM(X6:Z6)</f>
        <v/>
      </c>
      <c r="AB6" s="707" t="n">
        <v>13116.995922</v>
      </c>
      <c r="AC6" s="271">
        <f>SUM(K6+O6+S6+W6+AA6+AB6)</f>
        <v/>
      </c>
      <c r="AD6" s="326">
        <f>IF(F6=0,"",K6/(F6/((YEAR(E6)*12+MONTH(E6))-(YEAR(D6)*12+MONTH(D6))+1)))</f>
        <v/>
      </c>
      <c r="AE6" s="326">
        <f>G6/F6</f>
        <v/>
      </c>
      <c r="AF6" s="708">
        <f>F6-G6</f>
        <v/>
      </c>
      <c r="AG6" s="500" t="n"/>
      <c r="AH6" s="500" t="n"/>
      <c r="AI6" s="500" t="n"/>
      <c r="AJ6" s="706" t="inlineStr"/>
      <c r="AK6" s="706" t="inlineStr"/>
      <c r="AL6" s="706" t="inlineStr">
        <is>
          <t>计算日期</t>
        </is>
      </c>
      <c r="AM6" s="706">
        <f>W5-V5</f>
        <v/>
      </c>
      <c r="AN6" s="706" t="inlineStr">
        <is>
          <t>时间进度</t>
        </is>
      </c>
      <c r="AO6" s="706" t="inlineStr"/>
      <c r="AP6" s="706" t="inlineStr"/>
      <c r="AQ6" s="706" t="inlineStr"/>
      <c r="AR6" s="706" t="inlineStr"/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3650.221166</v>
      </c>
      <c r="H7" s="707" t="n">
        <v>125.538504</v>
      </c>
      <c r="I7" s="707" t="n">
        <v>0</v>
      </c>
      <c r="J7" s="707" t="n">
        <v>0</v>
      </c>
      <c r="K7" s="707">
        <f>SUM(H7:J7)</f>
        <v/>
      </c>
      <c r="L7" s="707" t="n">
        <v>66.7758</v>
      </c>
      <c r="M7" s="707" t="n">
        <v>0</v>
      </c>
      <c r="N7" s="707" t="n">
        <v>22.323011</v>
      </c>
      <c r="O7" s="707">
        <f>SUM(L7:N7)</f>
        <v/>
      </c>
      <c r="P7" s="707" t="n">
        <v>133.5516</v>
      </c>
      <c r="Q7" s="707" t="n">
        <v>0</v>
      </c>
      <c r="R7" s="707" t="n">
        <v>22.107856</v>
      </c>
      <c r="S7" s="707">
        <f>SUM(P7:R7)</f>
        <v/>
      </c>
      <c r="T7" s="707" t="n">
        <v>500.150742</v>
      </c>
      <c r="U7" s="707" t="n">
        <v>0</v>
      </c>
      <c r="V7" s="707" t="n">
        <v>157.397938</v>
      </c>
      <c r="W7" s="707">
        <f>SUM(T7:V7)</f>
        <v/>
      </c>
      <c r="X7" s="707" t="n">
        <v>267.1032</v>
      </c>
      <c r="Y7" s="707" t="n">
        <v>0</v>
      </c>
      <c r="Z7" s="707" t="n">
        <v>25.494675</v>
      </c>
      <c r="AA7" s="707">
        <f>SUM(X7:Z7)</f>
        <v/>
      </c>
      <c r="AB7" s="707" t="n">
        <v>2351.885696</v>
      </c>
      <c r="AC7" s="271">
        <f>SUM(K7+O7+S7+W7+AA7+AB7)</f>
        <v/>
      </c>
      <c r="AD7" s="326">
        <f>IF(F7=0,"",K7/(F7/((YEAR(E7)*12+MONTH(E7))-(YEAR(D7)*12+MONTH(D7))+1)))</f>
        <v/>
      </c>
      <c r="AE7" s="326">
        <f>G7/F7</f>
        <v/>
      </c>
      <c r="AF7" s="708">
        <f>F7-G7</f>
        <v/>
      </c>
      <c r="AG7" s="500" t="n"/>
      <c r="AH7" s="500" t="n"/>
      <c r="AI7" s="500" t="n"/>
      <c r="AJ7" s="706" t="inlineStr"/>
      <c r="AK7" s="706" t="inlineStr"/>
      <c r="AL7" s="709" t="n">
        <v>46185</v>
      </c>
      <c r="AM7" s="330">
        <f>AM5-AL5+1</f>
        <v/>
      </c>
      <c r="AN7" s="331">
        <f>(AL7-AL5+1)/AM7</f>
        <v/>
      </c>
      <c r="AO7" s="706" t="inlineStr"/>
      <c r="AP7" s="706" t="inlineStr"/>
      <c r="AQ7" s="706" t="inlineStr"/>
      <c r="AR7" s="706" t="inlineStr"/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26388.759988</v>
      </c>
      <c r="H8" s="707" t="n">
        <v>0</v>
      </c>
      <c r="I8" s="707" t="n">
        <v>264.17664</v>
      </c>
      <c r="J8" s="707" t="n">
        <v>0</v>
      </c>
      <c r="K8" s="707">
        <f>SUM(H8:J8)</f>
        <v/>
      </c>
      <c r="L8" s="707" t="n">
        <v>130.02444</v>
      </c>
      <c r="M8" s="707" t="n">
        <v>0</v>
      </c>
      <c r="N8" s="707" t="n">
        <v>16.066547</v>
      </c>
      <c r="O8" s="707">
        <f>SUM(L8:N8)</f>
        <v/>
      </c>
      <c r="P8" s="707" t="n">
        <v>0</v>
      </c>
      <c r="Q8" s="707" t="n">
        <v>0</v>
      </c>
      <c r="R8" s="707" t="n">
        <v>12.779778</v>
      </c>
      <c r="S8" s="707">
        <f>SUM(P8:R8)</f>
        <v/>
      </c>
      <c r="T8" s="707" t="n">
        <v>0</v>
      </c>
      <c r="U8" s="707" t="n">
        <v>25509.5568</v>
      </c>
      <c r="V8" s="707" t="n">
        <v>13.774172</v>
      </c>
      <c r="W8" s="707">
        <f>SUM(T8:V8)</f>
        <v/>
      </c>
      <c r="X8" s="707" t="n">
        <v>41.2776</v>
      </c>
      <c r="Y8" s="707" t="n">
        <v>0</v>
      </c>
      <c r="Z8" s="707" t="n">
        <v>18.646322</v>
      </c>
      <c r="AA8" s="707">
        <f>SUM(X8:Z8)</f>
        <v/>
      </c>
      <c r="AB8" s="707" t="n">
        <v>683.02396</v>
      </c>
      <c r="AC8" s="271">
        <f>SUM(K8+O8+S8+W8+AA8+AB8)</f>
        <v/>
      </c>
      <c r="AD8" s="326">
        <f>IF(F8=0,"",K8/(F8/((YEAR(E8)*12+MONTH(E8))-(YEAR(D8)*12+MONTH(D8))+1)))</f>
        <v/>
      </c>
      <c r="AE8" s="326">
        <f>G8/F8</f>
        <v/>
      </c>
      <c r="AF8" s="708">
        <f>F8-G8</f>
        <v/>
      </c>
      <c r="AG8" s="513" t="n"/>
      <c r="AH8" s="513" t="n"/>
      <c r="AI8" s="513" t="n"/>
      <c r="AJ8" s="706" t="inlineStr"/>
      <c r="AK8" s="706" t="inlineStr"/>
      <c r="AL8" s="706" t="inlineStr"/>
      <c r="AM8" s="706" t="inlineStr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1">
        <f>SUM(K9+O9+S9+W9+AA9+AB9)</f>
        <v/>
      </c>
      <c r="AD9" s="335">
        <f>IF(F9=0,"",K9/(F9/((YEAR(E4)*12+MONTH(E4))-(YEAR(D4)*12+MONTH(D4))+1)))</f>
        <v/>
      </c>
      <c r="AE9" s="336">
        <f>G9/F9</f>
        <v/>
      </c>
      <c r="AF9" s="711">
        <f>F9-G9</f>
        <v/>
      </c>
      <c r="AG9" s="337">
        <f>AG4</f>
        <v/>
      </c>
      <c r="AH9" s="335">
        <f>AC9/AG4</f>
        <v/>
      </c>
      <c r="AI9" s="712">
        <f>AG4-AC9</f>
        <v/>
      </c>
      <c r="AJ9" s="713" t="inlineStr"/>
      <c r="AK9" s="713" t="inlineStr"/>
      <c r="AL9" s="340" t="n">
        <v>46136</v>
      </c>
      <c r="AM9" s="713" t="inlineStr"/>
      <c r="AN9" s="341">
        <f>(AD10-DATE(YEAR(AD10),1,1)+1)/AE9</f>
        <v/>
      </c>
      <c r="AO9" s="713" t="inlineStr"/>
      <c r="AP9" s="713" t="inlineStr"/>
      <c r="AQ9" s="713" t="inlineStr"/>
      <c r="AR9" s="713" t="inlineStr"/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22518.206193</v>
      </c>
      <c r="H10" s="703" t="n">
        <v>1470.469803</v>
      </c>
      <c r="I10" s="703" t="n">
        <v>0</v>
      </c>
      <c r="J10" s="703" t="n">
        <v>0</v>
      </c>
      <c r="K10" s="703">
        <f>SUM(H10:J10)</f>
        <v/>
      </c>
      <c r="L10" s="703" t="n">
        <v>4233.38058</v>
      </c>
      <c r="M10" s="703" t="n">
        <v>0</v>
      </c>
      <c r="N10" s="703" t="n">
        <v>103.388547</v>
      </c>
      <c r="O10" s="703">
        <f>SUM(L10:N10)</f>
        <v/>
      </c>
      <c r="P10" s="703" t="n">
        <v>2418.943367</v>
      </c>
      <c r="Q10" s="703" t="n">
        <v>2443.706261</v>
      </c>
      <c r="R10" s="703" t="n">
        <v>88.105912</v>
      </c>
      <c r="S10" s="703">
        <f>SUM(P10:R10)</f>
        <v/>
      </c>
      <c r="T10" s="703" t="n">
        <v>2574.496213</v>
      </c>
      <c r="U10" s="703" t="n">
        <v>2927.70165</v>
      </c>
      <c r="V10" s="703" t="n">
        <v>154.748145</v>
      </c>
      <c r="W10" s="703">
        <f>SUM(T10:V10)</f>
        <v/>
      </c>
      <c r="X10" s="703" t="n">
        <v>745.691219</v>
      </c>
      <c r="Y10" s="703" t="n">
        <v>2330.36622</v>
      </c>
      <c r="Z10" s="703" t="n">
        <v>72.478376</v>
      </c>
      <c r="AA10" s="703">
        <f>SUM(X10:Z10)</f>
        <v/>
      </c>
      <c r="AB10" s="703" t="n">
        <v>3042.835811</v>
      </c>
      <c r="AC10" s="318">
        <f>SUM(K10+O10+S10+W10+AA10+AB10)</f>
        <v/>
      </c>
      <c r="AD10" s="319">
        <f>IF(F10=0,"",K10/(F10/((YEAR(E10)*12+MONTH(E10))-(YEAR(D10)*12+MONTH(D10))+1)))</f>
        <v/>
      </c>
      <c r="AE10" s="319">
        <f>G10/F10</f>
        <v/>
      </c>
      <c r="AF10" s="704">
        <f>F10-G10</f>
        <v/>
      </c>
      <c r="AG10" s="321">
        <f>SUM(F10:F14)</f>
        <v/>
      </c>
      <c r="AH10" s="322">
        <f>AH15</f>
        <v/>
      </c>
      <c r="AI10" s="705">
        <f>AI15</f>
        <v/>
      </c>
      <c r="AJ10" s="706" t="inlineStr"/>
      <c r="AK10" s="706" t="inlineStr"/>
      <c r="AL10" s="706" t="inlineStr"/>
      <c r="AM10" s="706" t="inlineStr"/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139.11456</v>
      </c>
      <c r="M11" s="707" t="n">
        <v>2956.1844</v>
      </c>
      <c r="N11" s="707" t="n">
        <v>14.716853</v>
      </c>
      <c r="O11" s="707">
        <f>SUM(L11:N11)</f>
        <v/>
      </c>
      <c r="P11" s="707" t="n">
        <v>280.185418</v>
      </c>
      <c r="Q11" s="707" t="n">
        <v>773.505646</v>
      </c>
      <c r="R11" s="707" t="n">
        <v>3.573146</v>
      </c>
      <c r="S11" s="707">
        <f>SUM(P11:R11)</f>
        <v/>
      </c>
      <c r="T11" s="707" t="n">
        <v>43.4733</v>
      </c>
      <c r="U11" s="707" t="n">
        <v>0</v>
      </c>
      <c r="V11" s="707" t="n">
        <v>10.334614</v>
      </c>
      <c r="W11" s="707">
        <f>SUM(T11:V11)</f>
        <v/>
      </c>
      <c r="X11" s="707" t="n">
        <v>0</v>
      </c>
      <c r="Y11" s="707" t="n">
        <v>0</v>
      </c>
      <c r="Z11" s="707" t="n">
        <v>0</v>
      </c>
      <c r="AA11" s="707">
        <f>SUM(X11:Z11)</f>
        <v/>
      </c>
      <c r="AB11" s="707" t="n">
        <v>0</v>
      </c>
      <c r="AC11" s="271">
        <f>SUM(K11+O11+S11+W11+AA11+AB11)</f>
        <v/>
      </c>
      <c r="AD11" s="326">
        <f>IF(F11=0,"",K11/(F11/((YEAR(E11)*12+MONTH(E11))-(YEAR(D11)*12+MONTH(D11))+1)))</f>
        <v/>
      </c>
      <c r="AE11" s="326">
        <f>G11/F11</f>
        <v/>
      </c>
      <c r="AF11" s="708">
        <f>F11-G11</f>
        <v/>
      </c>
      <c r="AG11" s="500" t="n"/>
      <c r="AH11" s="500" t="n"/>
      <c r="AI11" s="500" t="n"/>
      <c r="AJ11" s="706" t="inlineStr"/>
      <c r="AK11" s="706" t="inlineStr"/>
      <c r="AL11" s="706" t="inlineStr"/>
      <c r="AM11" s="706" t="inlineStr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21593.348812</v>
      </c>
      <c r="H12" s="707" t="n">
        <v>5138.663789</v>
      </c>
      <c r="I12" s="707" t="n">
        <v>0</v>
      </c>
      <c r="J12" s="707" t="n">
        <v>0</v>
      </c>
      <c r="K12" s="707">
        <f>SUM(H12:J12)</f>
        <v/>
      </c>
      <c r="L12" s="707" t="n">
        <v>527.86032</v>
      </c>
      <c r="M12" s="707" t="n">
        <v>0</v>
      </c>
      <c r="N12" s="707" t="n">
        <v>176.99322</v>
      </c>
      <c r="O12" s="707">
        <f>SUM(L12:N12)</f>
        <v/>
      </c>
      <c r="P12" s="707" t="n">
        <v>5719.894428</v>
      </c>
      <c r="Q12" s="707" t="n">
        <v>0</v>
      </c>
      <c r="R12" s="707" t="n">
        <v>170.991639</v>
      </c>
      <c r="S12" s="707">
        <f>SUM(P12:R12)</f>
        <v/>
      </c>
      <c r="T12" s="707" t="n">
        <v>2659.960961</v>
      </c>
      <c r="U12" s="707" t="n">
        <v>0</v>
      </c>
      <c r="V12" s="707" t="n">
        <v>743.622962</v>
      </c>
      <c r="W12" s="707">
        <f>SUM(T12:V12)</f>
        <v/>
      </c>
      <c r="X12" s="707" t="n">
        <v>0</v>
      </c>
      <c r="Y12" s="707" t="n">
        <v>0</v>
      </c>
      <c r="Z12" s="707" t="n">
        <v>144.157177</v>
      </c>
      <c r="AA12" s="707">
        <f>SUM(X12:Z12)</f>
        <v/>
      </c>
      <c r="AB12" s="707" t="n">
        <v>6482.195956</v>
      </c>
      <c r="AC12" s="271">
        <f>SUM(K12+O12+S12+W12+AA12+AB12)</f>
        <v/>
      </c>
      <c r="AD12" s="326">
        <f>IF(F12=0,"",K12/(F12/((YEAR(E12)*12+MONTH(E12))-(YEAR(D12)*12+MONTH(D12))+1)))</f>
        <v/>
      </c>
      <c r="AE12" s="326">
        <f>G12/F12</f>
        <v/>
      </c>
      <c r="AF12" s="708">
        <f>F12-G12</f>
        <v/>
      </c>
      <c r="AG12" s="500" t="n"/>
      <c r="AH12" s="500" t="n"/>
      <c r="AI12" s="500" t="n"/>
      <c r="AJ12" s="706" t="inlineStr"/>
      <c r="AK12" s="706" t="inlineStr"/>
      <c r="AL12" s="706" t="inlineStr"/>
      <c r="AM12" s="706" t="inlineStr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</row>
    <row r="13" outlineLevel="1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1009.96038</v>
      </c>
      <c r="H13" s="707" t="n">
        <v>0</v>
      </c>
      <c r="I13" s="707" t="n">
        <v>0</v>
      </c>
      <c r="J13" s="707" t="n">
        <v>0</v>
      </c>
      <c r="K13" s="707">
        <f>SUM(H13:J13)</f>
        <v/>
      </c>
      <c r="L13" s="707" t="n">
        <v>153.0243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0</v>
      </c>
      <c r="R13" s="707" t="n">
        <v>0</v>
      </c>
      <c r="S13" s="707">
        <f>SUM(P13:R13)</f>
        <v/>
      </c>
      <c r="T13" s="707" t="n">
        <v>0</v>
      </c>
      <c r="U13" s="707" t="n">
        <v>856.9360799999999</v>
      </c>
      <c r="V13" s="707" t="n">
        <v>0</v>
      </c>
      <c r="W13" s="707">
        <f>SUM(T13:V13)</f>
        <v/>
      </c>
      <c r="X13" s="707" t="n">
        <v>0</v>
      </c>
      <c r="Y13" s="707" t="n">
        <v>0</v>
      </c>
      <c r="Z13" s="707" t="n">
        <v>0</v>
      </c>
      <c r="AA13" s="707">
        <f>SUM(X13:Z13)</f>
        <v/>
      </c>
      <c r="AB13" s="707" t="n">
        <v>0</v>
      </c>
      <c r="AC13" s="271">
        <f>SUM(K13+O13+S13+W13+AA13+AB13)</f>
        <v/>
      </c>
      <c r="AD13" s="326">
        <f>IF(F13=0,"",K13/(F13/((YEAR(E13)*12+MONTH(E13))-(YEAR(D13)*12+MONTH(D13))+1)))</f>
        <v/>
      </c>
      <c r="AE13" s="326">
        <f>G13/F13</f>
        <v/>
      </c>
      <c r="AF13" s="708">
        <f>F13-G13</f>
        <v/>
      </c>
      <c r="AG13" s="500" t="n"/>
      <c r="AH13" s="500" t="n"/>
      <c r="AI13" s="500" t="n"/>
      <c r="AJ13" s="706" t="inlineStr"/>
      <c r="AK13" s="706" t="inlineStr"/>
      <c r="AL13" s="706" t="inlineStr"/>
      <c r="AM13" s="706" t="inlineStr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</row>
    <row r="14" outlineLevel="1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10197.655102</v>
      </c>
      <c r="H14" s="707" t="n">
        <v>522.834624</v>
      </c>
      <c r="I14" s="707" t="n">
        <v>0</v>
      </c>
      <c r="J14" s="707" t="n">
        <v>0</v>
      </c>
      <c r="K14" s="707">
        <f>SUM(H14:J14)</f>
        <v/>
      </c>
      <c r="L14" s="707" t="n">
        <v>1000.951193</v>
      </c>
      <c r="M14" s="707" t="n">
        <v>0</v>
      </c>
      <c r="N14" s="707" t="n">
        <v>154.671299</v>
      </c>
      <c r="O14" s="707">
        <f>SUM(L14:N14)</f>
        <v/>
      </c>
      <c r="P14" s="707" t="n">
        <v>3291.566745</v>
      </c>
      <c r="Q14" s="707" t="n">
        <v>0</v>
      </c>
      <c r="R14" s="707" t="n">
        <v>242.965979</v>
      </c>
      <c r="S14" s="707">
        <f>SUM(P14:R14)</f>
        <v/>
      </c>
      <c r="T14" s="707" t="n">
        <v>3556.620439</v>
      </c>
      <c r="U14" s="707" t="n">
        <v>0</v>
      </c>
      <c r="V14" s="707" t="n">
        <v>446.103228</v>
      </c>
      <c r="W14" s="707">
        <f>SUM(T14:V14)</f>
        <v/>
      </c>
      <c r="X14" s="707" t="n">
        <v>1054.327266</v>
      </c>
      <c r="Y14" s="707" t="n">
        <v>0</v>
      </c>
      <c r="Z14" s="707" t="n">
        <v>170.580309</v>
      </c>
      <c r="AA14" s="707">
        <f>SUM(X14:Z14)</f>
        <v/>
      </c>
      <c r="AB14" s="707" t="n">
        <v>692.512431</v>
      </c>
      <c r="AC14" s="271">
        <f>SUM(K14+O14+S14+W14+AA14+AB14)</f>
        <v/>
      </c>
      <c r="AD14" s="326">
        <f>IF(F14=0,"",K14/(F14/((YEAR(E14)*12+MONTH(E14))-(YEAR(D14)*12+MONTH(D14))+1)))</f>
        <v/>
      </c>
      <c r="AE14" s="326">
        <f>G14/F14</f>
        <v/>
      </c>
      <c r="AF14" s="708">
        <f>F14-G14</f>
        <v/>
      </c>
      <c r="AG14" s="513" t="n"/>
      <c r="AH14" s="513" t="n"/>
      <c r="AI14" s="513" t="n"/>
      <c r="AJ14" s="706" t="inlineStr"/>
      <c r="AK14" s="706" t="inlineStr"/>
      <c r="AL14" s="706" t="inlineStr"/>
      <c r="AM14" s="706" t="inlineStr"/>
      <c r="AN14" s="706" t="inlineStr"/>
      <c r="AO14" s="706" t="inlineStr"/>
      <c r="AP14" s="706" t="inlineStr"/>
      <c r="AQ14" s="706" t="inlineStr"/>
      <c r="AR14" s="706" t="inlineStr"/>
      <c r="AS14" s="706" t="inlineStr"/>
      <c r="AT14" s="706" t="inlineStr"/>
      <c r="AU14" s="706" t="inlineStr"/>
      <c r="AV14" s="706" t="inlineStr"/>
      <c r="AW14" s="706" t="inlineStr"/>
      <c r="AX14" s="706" t="inlineStr"/>
      <c r="AY14" s="706" t="inlineStr"/>
      <c r="AZ14" s="706" t="inlineStr"/>
      <c r="BA14" s="706" t="inlineStr"/>
      <c r="BB14" s="706" t="inlineStr"/>
      <c r="BC14" s="706" t="inlineStr"/>
      <c r="BD14" s="706" t="inlineStr"/>
      <c r="BE14" s="706" t="inlineStr"/>
      <c r="BF14" s="706" t="inlineStr"/>
      <c r="BG14" s="706" t="inlineStr"/>
      <c r="BH14" s="706" t="inlineStr"/>
      <c r="BI14" s="706" t="inlineStr"/>
    </row>
    <row r="15" outlineLevel="1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0">
        <f>SUM(Y10:Y14)</f>
        <v/>
      </c>
      <c r="Z15" s="710">
        <f>SUM(Z10:Z14)</f>
        <v/>
      </c>
      <c r="AA15" s="710">
        <f>SUM(AA10:AA14)</f>
        <v/>
      </c>
      <c r="AB15" s="710">
        <f>SUM(AB10:AB14)</f>
        <v/>
      </c>
      <c r="AC15" s="711">
        <f>SUM(K15+O15+S15+W15+AA15+AB15)</f>
        <v/>
      </c>
      <c r="AD15" s="335">
        <f>IF(F15=0,"",K15/(F15/((YEAR(E10)*12+MONTH(E10))-(YEAR(D10)*12+MONTH(D10))+1)))</f>
        <v/>
      </c>
      <c r="AE15" s="336">
        <f>G15/F15</f>
        <v/>
      </c>
      <c r="AF15" s="711">
        <f>F15-G15</f>
        <v/>
      </c>
      <c r="AG15" s="337">
        <f>AG10</f>
        <v/>
      </c>
      <c r="AH15" s="335">
        <f>AC15/AG10</f>
        <v/>
      </c>
      <c r="AI15" s="712">
        <f>AG10-AC15</f>
        <v/>
      </c>
      <c r="AJ15" s="713" t="inlineStr"/>
      <c r="AK15" s="713" t="inlineStr"/>
      <c r="AL15" s="713" t="inlineStr"/>
      <c r="AM15" s="713" t="inlineStr"/>
      <c r="AN15" s="713" t="inlineStr"/>
      <c r="AO15" s="713" t="inlineStr"/>
      <c r="AP15" s="713" t="inlineStr"/>
      <c r="AQ15" s="713" t="inlineStr"/>
      <c r="AR15" s="713" t="inlineStr"/>
      <c r="AS15" s="713" t="inlineStr"/>
      <c r="AT15" s="713" t="inlineStr"/>
      <c r="AU15" s="713" t="inlineStr"/>
      <c r="AV15" s="713" t="inlineStr"/>
      <c r="AW15" s="713" t="inlineStr"/>
      <c r="AX15" s="713" t="inlineStr"/>
      <c r="AY15" s="713" t="inlineStr"/>
      <c r="AZ15" s="713" t="inlineStr"/>
      <c r="BA15" s="713" t="inlineStr"/>
      <c r="BB15" s="713" t="inlineStr"/>
      <c r="BC15" s="713" t="inlineStr"/>
      <c r="BD15" s="713" t="inlineStr"/>
      <c r="BE15" s="713" t="inlineStr"/>
      <c r="BF15" s="713" t="inlineStr"/>
      <c r="BG15" s="713" t="inlineStr"/>
      <c r="BH15" s="713" t="inlineStr"/>
      <c r="BI15" s="713" t="inlineStr"/>
    </row>
    <row r="16" outlineLevel="1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9162.734408</v>
      </c>
      <c r="H16" s="703" t="n">
        <v>0</v>
      </c>
      <c r="I16" s="703" t="n">
        <v>0</v>
      </c>
      <c r="J16" s="703" t="n">
        <v>0</v>
      </c>
      <c r="K16" s="703">
        <f>SUM(H16:J16)</f>
        <v/>
      </c>
      <c r="L16" s="703" t="n">
        <v>1775.62125</v>
      </c>
      <c r="M16" s="703" t="n">
        <v>0</v>
      </c>
      <c r="N16" s="703" t="n">
        <v>63.897673</v>
      </c>
      <c r="O16" s="703">
        <f>SUM(L16:N16)</f>
        <v/>
      </c>
      <c r="P16" s="703" t="n">
        <v>2171.402323</v>
      </c>
      <c r="Q16" s="703" t="n">
        <v>0</v>
      </c>
      <c r="R16" s="703" t="n">
        <v>14.593625</v>
      </c>
      <c r="S16" s="703">
        <f>SUM(P16:R16)</f>
        <v/>
      </c>
      <c r="T16" s="703" t="n">
        <v>1305.1575</v>
      </c>
      <c r="U16" s="703" t="n">
        <v>1178.4864</v>
      </c>
      <c r="V16" s="703" t="n">
        <v>22.441342</v>
      </c>
      <c r="W16" s="703">
        <f>SUM(T16:V16)</f>
        <v/>
      </c>
      <c r="X16" s="703" t="n">
        <v>0</v>
      </c>
      <c r="Y16" s="703" t="n">
        <v>0</v>
      </c>
      <c r="Z16" s="703" t="n">
        <v>15.177921</v>
      </c>
      <c r="AA16" s="703">
        <f>SUM(X16:Z16)</f>
        <v/>
      </c>
      <c r="AB16" s="703" t="n">
        <v>2630.55</v>
      </c>
      <c r="AC16" s="318">
        <f>SUM(K16+O16+S16+W16+AA16+AB16)</f>
        <v/>
      </c>
      <c r="AD16" s="319">
        <f>IF(F16=0,"",K16/(F16/((YEAR(E16)*12+MONTH(E16))-(YEAR(D16)*12+MONTH(D16))+1)))</f>
        <v/>
      </c>
      <c r="AE16" s="319">
        <f>G16/F16</f>
        <v/>
      </c>
      <c r="AF16" s="704">
        <f>F16-G16</f>
        <v/>
      </c>
      <c r="AG16" s="321">
        <f>SUM(F16:F19)</f>
        <v/>
      </c>
      <c r="AH16" s="322">
        <f>AH20</f>
        <v/>
      </c>
      <c r="AI16" s="705">
        <f>AI20</f>
        <v/>
      </c>
      <c r="AJ16" s="706" t="inlineStr"/>
      <c r="AK16" s="706" t="inlineStr"/>
      <c r="AL16" s="706" t="inlineStr"/>
      <c r="AM16" s="706" t="inlineStr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</row>
    <row r="17" outlineLevel="1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2.157894</v>
      </c>
      <c r="O17" s="707">
        <f>SUM(L17:N17)</f>
        <v/>
      </c>
      <c r="P17" s="707" t="n">
        <v>0</v>
      </c>
      <c r="Q17" s="707" t="n">
        <v>0</v>
      </c>
      <c r="R17" s="707" t="n">
        <v>2.058637</v>
      </c>
      <c r="S17" s="707">
        <f>SUM(P17:R17)</f>
        <v/>
      </c>
      <c r="T17" s="707" t="n">
        <v>0</v>
      </c>
      <c r="U17" s="707" t="n">
        <v>0</v>
      </c>
      <c r="V17" s="707" t="n">
        <v>3.23046</v>
      </c>
      <c r="W17" s="707">
        <f>SUM(T17:V17)</f>
        <v/>
      </c>
      <c r="X17" s="707" t="n">
        <v>25.0224</v>
      </c>
      <c r="Y17" s="707" t="n">
        <v>1050.9408</v>
      </c>
      <c r="Z17" s="707" t="n">
        <v>3.667668</v>
      </c>
      <c r="AA17" s="707">
        <f>SUM(X17:Z17)</f>
        <v/>
      </c>
      <c r="AB17" s="707" t="n">
        <v>125.112</v>
      </c>
      <c r="AC17" s="271">
        <f>SUM(K17+O17+S17+W17+AA17+AB17)</f>
        <v/>
      </c>
      <c r="AD17" s="326">
        <f>IF(F17=0,"",K17/(F17/((YEAR(E17)*12+MONTH(E17))-(YEAR(D17)*12+MONTH(D17))+1)))</f>
        <v/>
      </c>
      <c r="AE17" s="326">
        <f>G17/F17</f>
        <v/>
      </c>
      <c r="AF17" s="708">
        <f>F17-G17</f>
        <v/>
      </c>
      <c r="AG17" s="500" t="n"/>
      <c r="AH17" s="500" t="n"/>
      <c r="AI17" s="500" t="n"/>
      <c r="AJ17" s="706" t="inlineStr"/>
      <c r="AK17" s="706" t="inlineStr"/>
      <c r="AL17" s="706" t="inlineStr"/>
      <c r="AM17" s="706" t="inlineStr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</row>
    <row r="18" outlineLevel="1" ht="14.25" customFormat="1" customHeight="1" s="483">
      <c r="A18" s="500" t="n"/>
      <c r="B18" s="707" t="inlineStr">
        <is>
          <t>理财师035</t>
        </is>
      </c>
      <c r="C18" s="707" t="inlineStr"/>
      <c r="D18" s="707" t="inlineStr"/>
      <c r="E18" s="707" t="inlineStr"/>
      <c r="F18" s="707" t="n">
        <v>0</v>
      </c>
      <c r="G18" s="707" t="n">
        <v>4641.751751</v>
      </c>
      <c r="H18" s="707" t="n">
        <v>224.412396</v>
      </c>
      <c r="I18" s="707" t="n">
        <v>0</v>
      </c>
      <c r="J18" s="707" t="n">
        <v>0</v>
      </c>
      <c r="K18" s="707">
        <f>SUM(H18:J18)</f>
        <v/>
      </c>
      <c r="L18" s="707" t="n">
        <v>539.9043</v>
      </c>
      <c r="M18" s="707" t="n">
        <v>1859.14872</v>
      </c>
      <c r="N18" s="707" t="n">
        <v>20.425227</v>
      </c>
      <c r="O18" s="707">
        <f>SUM(L18:N18)</f>
        <v/>
      </c>
      <c r="P18" s="707" t="n">
        <v>0</v>
      </c>
      <c r="Q18" s="707" t="n">
        <v>0</v>
      </c>
      <c r="R18" s="707" t="n">
        <v>43.453355</v>
      </c>
      <c r="S18" s="707">
        <f>SUM(P18:R18)</f>
        <v/>
      </c>
      <c r="T18" s="707" t="n">
        <v>0</v>
      </c>
      <c r="U18" s="707" t="n">
        <v>1943.65548</v>
      </c>
      <c r="V18" s="707" t="n">
        <v>10.752272</v>
      </c>
      <c r="W18" s="707">
        <f>SUM(T18:V18)</f>
        <v/>
      </c>
      <c r="X18" s="707" t="n">
        <v>0</v>
      </c>
      <c r="Y18" s="707" t="n">
        <v>0</v>
      </c>
      <c r="Z18" s="707" t="n">
        <v>0</v>
      </c>
      <c r="AA18" s="707">
        <f>SUM(X18:Z18)</f>
        <v/>
      </c>
      <c r="AB18" s="707" t="n">
        <v>0</v>
      </c>
      <c r="AC18" s="271">
        <f>SUM(K18+O18+S18+W18+AA18+AB18)</f>
        <v/>
      </c>
      <c r="AD18" s="326">
        <f>IF(F18=0,"",K18/(F18/MAX(1,(YEAR(E18)*12+MONTH(E18))-(YEAR(D18)*12+MONTH(D18))+1)))</f>
        <v/>
      </c>
      <c r="AE18" s="326">
        <f>G18/F18</f>
        <v/>
      </c>
      <c r="AF18" s="708">
        <f>F18-G18</f>
        <v/>
      </c>
      <c r="AG18" s="500" t="n"/>
      <c r="AH18" s="500" t="n"/>
      <c r="AI18" s="500" t="n"/>
      <c r="AJ18" s="706" t="inlineStr"/>
      <c r="AK18" s="706" t="inlineStr"/>
      <c r="AL18" s="706" t="inlineStr"/>
      <c r="AM18" s="706" t="inlineStr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</row>
    <row r="19" outlineLevel="1" ht="14.25" customFormat="1" customHeight="1" s="483">
      <c r="A19" s="513" t="n"/>
      <c r="B19" s="707" t="inlineStr">
        <is>
          <t>理财师007</t>
        </is>
      </c>
      <c r="C19" s="707" t="inlineStr">
        <is>
          <t>私人财富管理专家PWA4-4</t>
        </is>
      </c>
      <c r="D19" s="676" t="n">
        <v>46054</v>
      </c>
      <c r="E19" s="676" t="n">
        <v>46203</v>
      </c>
      <c r="F19" s="707" t="n">
        <v>25870.625</v>
      </c>
      <c r="G19" s="707" t="n">
        <v>33123.192484</v>
      </c>
      <c r="H19" s="707" t="n">
        <v>2686.868248</v>
      </c>
      <c r="I19" s="707" t="n">
        <v>0</v>
      </c>
      <c r="J19" s="707" t="n">
        <v>0</v>
      </c>
      <c r="K19" s="707">
        <f>SUM(H19:J19)</f>
        <v/>
      </c>
      <c r="L19" s="707" t="n">
        <v>1274.903482</v>
      </c>
      <c r="M19" s="707" t="n">
        <v>3566.1951</v>
      </c>
      <c r="N19" s="707" t="n">
        <v>270.289524</v>
      </c>
      <c r="O19" s="707">
        <f>SUM(L19:N19)</f>
        <v/>
      </c>
      <c r="P19" s="707" t="n">
        <v>2660.12632</v>
      </c>
      <c r="Q19" s="707" t="n">
        <v>0</v>
      </c>
      <c r="R19" s="707" t="n">
        <v>331.400492</v>
      </c>
      <c r="S19" s="707">
        <f>SUM(P19:R19)</f>
        <v/>
      </c>
      <c r="T19" s="707" t="n">
        <v>3406.959578</v>
      </c>
      <c r="U19" s="707" t="n">
        <v>14793.1056</v>
      </c>
      <c r="V19" s="707" t="n">
        <v>606.358521</v>
      </c>
      <c r="W19" s="707">
        <f>SUM(T19:V19)</f>
        <v/>
      </c>
      <c r="X19" s="707" t="n">
        <v>3557.362586</v>
      </c>
      <c r="Y19" s="707" t="n">
        <v>0</v>
      </c>
      <c r="Z19" s="707" t="n">
        <v>301.023526</v>
      </c>
      <c r="AA19" s="707">
        <f>SUM(X19:Z19)</f>
        <v/>
      </c>
      <c r="AB19" s="707" t="n">
        <v>8988.571889000001</v>
      </c>
      <c r="AC19" s="714">
        <f>SUM(K19+O19+S19+W19+AA19+AB19)</f>
        <v/>
      </c>
      <c r="AD19" s="326">
        <f>IF(F19=0,"",K19/(F19/((YEAR(E19)*12+MONTH(E19))-(YEAR(D19)*12+MONTH(D19))+1)))</f>
        <v/>
      </c>
      <c r="AE19" s="326">
        <f>G19/F19</f>
        <v/>
      </c>
      <c r="AF19" s="714">
        <f>F19-G19</f>
        <v/>
      </c>
      <c r="AG19" s="513" t="n"/>
      <c r="AH19" s="513" t="n"/>
      <c r="AI19" s="513" t="n"/>
      <c r="AJ19" s="706" t="inlineStr"/>
      <c r="AK19" s="706" t="inlineStr"/>
      <c r="AL19" s="706" t="inlineStr"/>
      <c r="AM19" s="706" t="inlineStr"/>
      <c r="AN19" s="706" t="inlineStr"/>
      <c r="AO19" s="706" t="inlineStr"/>
      <c r="AP19" s="706" t="inlineStr"/>
      <c r="AQ19" s="706" t="inlineStr"/>
      <c r="AR19" s="706" t="inlineStr"/>
      <c r="AS19" s="706" t="inlineStr"/>
      <c r="AT19" s="706" t="inlineStr"/>
      <c r="AU19" s="706" t="inlineStr"/>
      <c r="AV19" s="706" t="inlineStr"/>
      <c r="AW19" s="706" t="inlineStr"/>
      <c r="AX19" s="706" t="inlineStr"/>
      <c r="AY19" s="706" t="inlineStr"/>
      <c r="AZ19" s="706" t="inlineStr"/>
      <c r="BA19" s="706" t="inlineStr"/>
      <c r="BB19" s="706" t="inlineStr"/>
      <c r="BC19" s="706" t="inlineStr"/>
      <c r="BD19" s="706" t="inlineStr"/>
      <c r="BE19" s="706" t="inlineStr"/>
      <c r="BF19" s="706" t="inlineStr"/>
      <c r="BG19" s="706" t="inlineStr"/>
      <c r="BH19" s="706" t="inlineStr"/>
      <c r="BI19" s="706" t="inlineStr"/>
    </row>
    <row r="20" outlineLevel="1" ht="14.25" customFormat="1" customHeight="1" s="483">
      <c r="A20" s="710" t="inlineStr">
        <is>
          <t>合计</t>
        </is>
      </c>
      <c r="B20" s="518" t="n"/>
      <c r="C20" s="518" t="n"/>
      <c r="D20" s="518" t="n"/>
      <c r="E20" s="578" t="n"/>
      <c r="F20" s="333">
        <f>SUM(F16:F19)</f>
        <v/>
      </c>
      <c r="G20" s="710">
        <f>SUM(G16:G19)</f>
        <v/>
      </c>
      <c r="H20" s="710">
        <f>SUM(H16:H19)</f>
        <v/>
      </c>
      <c r="I20" s="710">
        <f>SUM(I16:I19)</f>
        <v/>
      </c>
      <c r="J20" s="710">
        <f>SUM(J16:J19)</f>
        <v/>
      </c>
      <c r="K20" s="710">
        <f>SUM(K16:K19)</f>
        <v/>
      </c>
      <c r="L20" s="710">
        <f>SUM(L16:L19)</f>
        <v/>
      </c>
      <c r="M20" s="710">
        <f>SUM(M16:M19)</f>
        <v/>
      </c>
      <c r="N20" s="710">
        <f>SUM(N16:N19)</f>
        <v/>
      </c>
      <c r="O20" s="710">
        <f>SUM(O16:O19)</f>
        <v/>
      </c>
      <c r="P20" s="710">
        <f>SUM(P16:P19)</f>
        <v/>
      </c>
      <c r="Q20" s="710">
        <f>SUM(Q16:Q19)</f>
        <v/>
      </c>
      <c r="R20" s="710">
        <f>SUM(R16:R19)</f>
        <v/>
      </c>
      <c r="S20" s="710">
        <f>SUM(S16:S19)</f>
        <v/>
      </c>
      <c r="T20" s="710">
        <f>SUM(T16:T19)</f>
        <v/>
      </c>
      <c r="U20" s="710">
        <f>SUM(U16:U19)</f>
        <v/>
      </c>
      <c r="V20" s="710">
        <f>SUM(V16:V19)</f>
        <v/>
      </c>
      <c r="W20" s="710">
        <f>SUM(W16:W19)</f>
        <v/>
      </c>
      <c r="X20" s="710">
        <f>SUM(X16:X19)</f>
        <v/>
      </c>
      <c r="Y20" s="710">
        <f>SUM(Y16:Y19)</f>
        <v/>
      </c>
      <c r="Z20" s="710">
        <f>SUM(Z16:Z19)</f>
        <v/>
      </c>
      <c r="AA20" s="710">
        <f>SUM(AA16:AA19)</f>
        <v/>
      </c>
      <c r="AB20" s="710">
        <f>SUM(AB16:AB19)</f>
        <v/>
      </c>
      <c r="AC20" s="333">
        <f>SUM(K20+O20+S20+W20+AA20+AB20)</f>
        <v/>
      </c>
      <c r="AD20" s="335">
        <f>IF(F20=0,"",K20/(F20/((YEAR(E16)*12+MONTH(E16))-(YEAR(D16)*12+MONTH(D16))+1)))</f>
        <v/>
      </c>
      <c r="AE20" s="336">
        <f>G20/F20</f>
        <v/>
      </c>
      <c r="AF20" s="715">
        <f>F20-G20</f>
        <v/>
      </c>
      <c r="AG20" s="337">
        <f>AG16</f>
        <v/>
      </c>
      <c r="AH20" s="335">
        <f>AC20/AG16</f>
        <v/>
      </c>
      <c r="AI20" s="716">
        <f>AG16-AC20</f>
        <v/>
      </c>
      <c r="AJ20" s="713" t="inlineStr"/>
      <c r="AK20" s="713" t="inlineStr"/>
      <c r="AL20" s="713" t="inlineStr"/>
      <c r="AM20" s="713" t="inlineStr"/>
      <c r="AN20" s="713" t="inlineStr"/>
      <c r="AO20" s="713" t="inlineStr"/>
      <c r="AP20" s="713" t="inlineStr"/>
      <c r="AQ20" s="713" t="inlineStr"/>
      <c r="AR20" s="713" t="inlineStr"/>
      <c r="AS20" s="713" t="inlineStr"/>
      <c r="AT20" s="713" t="inlineStr"/>
      <c r="AU20" s="713" t="inlineStr"/>
      <c r="AV20" s="713" t="inlineStr"/>
      <c r="AW20" s="713" t="inlineStr"/>
      <c r="AX20" s="713" t="inlineStr"/>
      <c r="AY20" s="713" t="inlineStr"/>
      <c r="AZ20" s="713" t="inlineStr"/>
      <c r="BA20" s="713" t="inlineStr"/>
      <c r="BB20" s="713" t="inlineStr"/>
      <c r="BC20" s="713" t="inlineStr"/>
      <c r="BD20" s="713" t="inlineStr"/>
      <c r="BE20" s="713" t="inlineStr"/>
      <c r="BF20" s="713" t="inlineStr"/>
      <c r="BG20" s="713" t="inlineStr"/>
      <c r="BH20" s="713" t="inlineStr"/>
      <c r="BI20" s="713" t="inlineStr"/>
    </row>
    <row r="21" outlineLevel="1" ht="14.25" customFormat="1" customHeight="1" s="483">
      <c r="A21" s="703" t="inlineStr">
        <is>
          <t>理财师016</t>
        </is>
      </c>
      <c r="B21" s="703" t="inlineStr">
        <is>
          <t>理财师028</t>
        </is>
      </c>
      <c r="C21" s="703" t="inlineStr">
        <is>
          <t>私人财富管理专家PWA4-5</t>
        </is>
      </c>
      <c r="D21" s="693" t="n">
        <v>46001</v>
      </c>
      <c r="E21" s="693" t="n">
        <v>46182</v>
      </c>
      <c r="F21" s="703" t="n">
        <v>23502</v>
      </c>
      <c r="G21" s="703" t="n">
        <v>337.57095</v>
      </c>
      <c r="H21" s="703" t="n">
        <v>0</v>
      </c>
      <c r="I21" s="703" t="n">
        <v>0</v>
      </c>
      <c r="J21" s="703" t="n">
        <v>0</v>
      </c>
      <c r="K21" s="703">
        <f>SUM(H21:J21)</f>
        <v/>
      </c>
      <c r="L21" s="703" t="n">
        <v>305.526</v>
      </c>
      <c r="M21" s="703" t="n">
        <v>0</v>
      </c>
      <c r="N21" s="703" t="n">
        <v>0</v>
      </c>
      <c r="O21" s="703">
        <f>SUM(L21:N21)</f>
        <v/>
      </c>
      <c r="P21" s="703" t="n">
        <v>0</v>
      </c>
      <c r="Q21" s="703" t="n">
        <v>0</v>
      </c>
      <c r="R21" s="703" t="n">
        <v>0</v>
      </c>
      <c r="S21" s="703">
        <f>SUM(P21:R21)</f>
        <v/>
      </c>
      <c r="T21" s="703" t="n">
        <v>0</v>
      </c>
      <c r="U21" s="703" t="n">
        <v>0</v>
      </c>
      <c r="V21" s="703" t="n">
        <v>32.04495</v>
      </c>
      <c r="W21" s="703">
        <f>SUM(T21:V21)</f>
        <v/>
      </c>
      <c r="X21" s="703" t="n">
        <v>0</v>
      </c>
      <c r="Y21" s="703" t="n">
        <v>0</v>
      </c>
      <c r="Z21" s="703" t="n">
        <v>0</v>
      </c>
      <c r="AA21" s="703">
        <f>SUM(X21:Z21)</f>
        <v/>
      </c>
      <c r="AB21" s="703" t="n">
        <v>0</v>
      </c>
      <c r="AC21" s="318">
        <f>SUM(K21+O21+S21+W21+AA21+AB21)</f>
        <v/>
      </c>
      <c r="AD21" s="319">
        <f>IF(F21=0,"",K21/(F21/((YEAR(E21)*12+MONTH(E21))-(YEAR(D21)*12+MONTH(D21))+1)))</f>
        <v/>
      </c>
      <c r="AE21" s="319">
        <f>G21/F21</f>
        <v/>
      </c>
      <c r="AF21" s="704">
        <f>F21-G21</f>
        <v/>
      </c>
      <c r="AG21" s="321">
        <f>SUM(F21:F23)</f>
        <v/>
      </c>
      <c r="AH21" s="322">
        <f>AH24</f>
        <v/>
      </c>
      <c r="AI21" s="717">
        <f>AI24</f>
        <v/>
      </c>
      <c r="AJ21" s="706" t="inlineStr"/>
      <c r="AK21" s="706" t="inlineStr"/>
      <c r="AL21" s="706" t="inlineStr"/>
      <c r="AM21" s="706" t="inlineStr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</row>
    <row r="22" outlineLevel="1" ht="14.25" customFormat="1" customHeight="1" s="483">
      <c r="A22" s="500" t="n"/>
      <c r="B22" s="707" t="inlineStr">
        <is>
          <t>理财师015</t>
        </is>
      </c>
      <c r="C22" s="707" t="inlineStr">
        <is>
          <t>私人财富管理资深顾问PWA2-4</t>
        </is>
      </c>
      <c r="D22" s="676" t="n">
        <v>45992</v>
      </c>
      <c r="E22" s="676" t="n">
        <v>46203</v>
      </c>
      <c r="F22" s="707" t="n">
        <v>11461.38</v>
      </c>
      <c r="G22" s="707" t="n">
        <v>5403.554409</v>
      </c>
      <c r="H22" s="707" t="n">
        <v>0</v>
      </c>
      <c r="I22" s="707" t="n">
        <v>0</v>
      </c>
      <c r="J22" s="707" t="n">
        <v>0</v>
      </c>
      <c r="K22" s="707">
        <f>SUM(H22:J22)</f>
        <v/>
      </c>
      <c r="L22" s="707" t="n">
        <v>494.115336</v>
      </c>
      <c r="M22" s="707" t="n">
        <v>0</v>
      </c>
      <c r="N22" s="707" t="n">
        <v>46.211266</v>
      </c>
      <c r="O22" s="707">
        <f>SUM(L22:N22)</f>
        <v/>
      </c>
      <c r="P22" s="707" t="n">
        <v>0</v>
      </c>
      <c r="Q22" s="707" t="n">
        <v>0</v>
      </c>
      <c r="R22" s="707" t="n">
        <v>37.443523</v>
      </c>
      <c r="S22" s="707">
        <f>SUM(P22:R22)</f>
        <v/>
      </c>
      <c r="T22" s="707" t="n">
        <v>198.1746</v>
      </c>
      <c r="U22" s="707" t="n">
        <v>0</v>
      </c>
      <c r="V22" s="707" t="n">
        <v>29.640215</v>
      </c>
      <c r="W22" s="707">
        <f>SUM(T22:V22)</f>
        <v/>
      </c>
      <c r="X22" s="707" t="n">
        <v>0.8469</v>
      </c>
      <c r="Y22" s="707" t="n">
        <v>4558.0158</v>
      </c>
      <c r="Z22" s="707" t="n">
        <v>19.389048</v>
      </c>
      <c r="AA22" s="707">
        <f>SUM(X22:Z22)</f>
        <v/>
      </c>
      <c r="AB22" s="707" t="n">
        <v>21.644177</v>
      </c>
      <c r="AC22" s="271">
        <f>SUM(K22+O22+S22+W22+AA22+AB22)</f>
        <v/>
      </c>
      <c r="AD22" s="326">
        <f>IF(F22=0,"",K22/(F22/((YEAR(E22)*12+MONTH(E22))-(YEAR(D22)*12+MONTH(D22))+1)))</f>
        <v/>
      </c>
      <c r="AE22" s="326">
        <f>G22/F22</f>
        <v/>
      </c>
      <c r="AF22" s="708">
        <f>F22-G22</f>
        <v/>
      </c>
      <c r="AG22" s="500" t="n"/>
      <c r="AH22" s="500" t="n"/>
      <c r="AI22" s="500" t="n"/>
      <c r="AJ22" s="706" t="inlineStr"/>
      <c r="AK22" s="706" t="inlineStr"/>
      <c r="AL22" s="706" t="inlineStr"/>
      <c r="AM22" s="706" t="inlineStr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</row>
    <row r="23" outlineLevel="1" ht="14.25" customFormat="1" customHeight="1" s="483">
      <c r="A23" s="513" t="n"/>
      <c r="B23" s="707" t="inlineStr">
        <is>
          <t>理财师016</t>
        </is>
      </c>
      <c r="C23" s="707" t="inlineStr">
        <is>
          <t>私人财富管理资深顾问PWA2-4</t>
        </is>
      </c>
      <c r="D23" s="676" t="n">
        <v>46023</v>
      </c>
      <c r="E23" s="676" t="n">
        <v>46203</v>
      </c>
      <c r="F23" s="707" t="n">
        <v>8731.32</v>
      </c>
      <c r="G23" s="707" t="n">
        <v>11107.233035</v>
      </c>
      <c r="H23" s="707" t="n">
        <v>146.7765</v>
      </c>
      <c r="I23" s="707" t="n">
        <v>0</v>
      </c>
      <c r="J23" s="707" t="n">
        <v>0</v>
      </c>
      <c r="K23" s="707">
        <f>SUM(H23:J23)</f>
        <v/>
      </c>
      <c r="L23" s="707" t="n">
        <v>2200.72469</v>
      </c>
      <c r="M23" s="707" t="n">
        <v>0</v>
      </c>
      <c r="N23" s="707" t="n">
        <v>126.144002</v>
      </c>
      <c r="O23" s="707">
        <f>SUM(L23:N23)</f>
        <v/>
      </c>
      <c r="P23" s="707" t="n">
        <v>1832.902273</v>
      </c>
      <c r="Q23" s="707" t="n">
        <v>0</v>
      </c>
      <c r="R23" s="707" t="n">
        <v>110.962682</v>
      </c>
      <c r="S23" s="707">
        <f>SUM(P23:R23)</f>
        <v/>
      </c>
      <c r="T23" s="707" t="n">
        <v>220.16475</v>
      </c>
      <c r="U23" s="707" t="n">
        <v>0</v>
      </c>
      <c r="V23" s="707" t="n">
        <v>154.524295</v>
      </c>
      <c r="W23" s="707">
        <f>SUM(T23:V23)</f>
        <v/>
      </c>
      <c r="X23" s="707" t="n">
        <v>3847.561596</v>
      </c>
      <c r="Y23" s="707" t="n">
        <v>0</v>
      </c>
      <c r="Z23" s="707" t="n">
        <v>38.370126</v>
      </c>
      <c r="AA23" s="707">
        <f>SUM(X23:Z23)</f>
        <v/>
      </c>
      <c r="AB23" s="707" t="n">
        <v>2540.064804</v>
      </c>
      <c r="AC23" s="271">
        <f>SUM(K23+O23+S23+W23+AA23+AB23)</f>
        <v/>
      </c>
      <c r="AD23" s="326">
        <f>IF(F23=0,"",K23/(F23/((YEAR(E23)*12+MONTH(E23))-(YEAR(D23)*12+MONTH(D23))+1)))</f>
        <v/>
      </c>
      <c r="AE23" s="326">
        <f>G23/F23</f>
        <v/>
      </c>
      <c r="AF23" s="708">
        <f>F23-G23</f>
        <v/>
      </c>
      <c r="AG23" s="513" t="n"/>
      <c r="AH23" s="513" t="n"/>
      <c r="AI23" s="513" t="n"/>
      <c r="AJ23" s="706" t="inlineStr"/>
      <c r="AK23" s="706" t="inlineStr"/>
      <c r="AL23" s="706" t="inlineStr"/>
      <c r="AM23" s="706" t="inlineStr"/>
      <c r="AN23" s="706" t="inlineStr"/>
      <c r="AO23" s="706" t="inlineStr"/>
      <c r="AP23" s="706" t="inlineStr"/>
      <c r="AQ23" s="706" t="inlineStr"/>
      <c r="AR23" s="706" t="inlineStr"/>
      <c r="AS23" s="706" t="inlineStr"/>
      <c r="AT23" s="706" t="inlineStr"/>
      <c r="AU23" s="706" t="inlineStr"/>
      <c r="AV23" s="706" t="inlineStr"/>
      <c r="AW23" s="706" t="inlineStr"/>
      <c r="AX23" s="706" t="inlineStr"/>
      <c r="AY23" s="706" t="inlineStr"/>
      <c r="AZ23" s="706" t="inlineStr"/>
      <c r="BA23" s="706" t="inlineStr"/>
      <c r="BB23" s="706" t="inlineStr"/>
      <c r="BC23" s="706" t="inlineStr"/>
      <c r="BD23" s="706" t="inlineStr"/>
      <c r="BE23" s="706" t="inlineStr"/>
      <c r="BF23" s="706" t="inlineStr"/>
      <c r="BG23" s="706" t="inlineStr"/>
      <c r="BH23" s="706" t="inlineStr"/>
      <c r="BI23" s="706" t="inlineStr"/>
    </row>
    <row r="24" outlineLevel="1" ht="14.25" customFormat="1" customHeight="1" s="483">
      <c r="A24" s="710" t="inlineStr">
        <is>
          <t>合计</t>
        </is>
      </c>
      <c r="B24" s="518" t="n"/>
      <c r="C24" s="518" t="n"/>
      <c r="D24" s="518" t="n"/>
      <c r="E24" s="578" t="n"/>
      <c r="F24" s="333">
        <f>SUM(F21:F23)</f>
        <v/>
      </c>
      <c r="G24" s="710">
        <f>SUM(G21:G23)</f>
        <v/>
      </c>
      <c r="H24" s="710">
        <f>SUM(H21:H23)</f>
        <v/>
      </c>
      <c r="I24" s="710">
        <f>SUM(I21:I23)</f>
        <v/>
      </c>
      <c r="J24" s="710">
        <f>SUM(J21:J23)</f>
        <v/>
      </c>
      <c r="K24" s="710">
        <f>SUM(K21:K23)</f>
        <v/>
      </c>
      <c r="L24" s="710">
        <f>SUM(L21:L23)</f>
        <v/>
      </c>
      <c r="M24" s="710">
        <f>SUM(M21:M23)</f>
        <v/>
      </c>
      <c r="N24" s="710">
        <f>SUM(N21:N23)</f>
        <v/>
      </c>
      <c r="O24" s="710">
        <f>SUM(O21:O23)</f>
        <v/>
      </c>
      <c r="P24" s="710">
        <f>SUM(P21:P23)</f>
        <v/>
      </c>
      <c r="Q24" s="710">
        <f>SUM(Q21:Q23)</f>
        <v/>
      </c>
      <c r="R24" s="710">
        <f>SUM(R21:R23)</f>
        <v/>
      </c>
      <c r="S24" s="710">
        <f>SUM(S21:S23)</f>
        <v/>
      </c>
      <c r="T24" s="710">
        <f>SUM(T21:T23)</f>
        <v/>
      </c>
      <c r="U24" s="710">
        <f>SUM(U21:U23)</f>
        <v/>
      </c>
      <c r="V24" s="710">
        <f>SUM(V21:V23)</f>
        <v/>
      </c>
      <c r="W24" s="710">
        <f>SUM(W21:W23)</f>
        <v/>
      </c>
      <c r="X24" s="710">
        <f>SUM(X21:X23)</f>
        <v/>
      </c>
      <c r="Y24" s="710">
        <f>SUM(Y21:Y23)</f>
        <v/>
      </c>
      <c r="Z24" s="710">
        <f>SUM(Z21:Z23)</f>
        <v/>
      </c>
      <c r="AA24" s="710">
        <f>SUM(AA21:AA23)</f>
        <v/>
      </c>
      <c r="AB24" s="710">
        <f>SUM(AB21:AB23)</f>
        <v/>
      </c>
      <c r="AC24" s="711">
        <f>SUM(K24+O24+S24+W24+AA24+AB24)</f>
        <v/>
      </c>
      <c r="AD24" s="335">
        <f>IF(F24=0,"",K24/(F24/((YEAR(E21)*12+MONTH(E21))-(YEAR(D21)*12+MONTH(D21))+1)))</f>
        <v/>
      </c>
      <c r="AE24" s="336">
        <f>G24/F24</f>
        <v/>
      </c>
      <c r="AF24" s="711">
        <f>F24-G24</f>
        <v/>
      </c>
      <c r="AG24" s="337">
        <f>AG21</f>
        <v/>
      </c>
      <c r="AH24" s="335">
        <f>AC24/AG21</f>
        <v/>
      </c>
      <c r="AI24" s="718">
        <f>AG21-AC24</f>
        <v/>
      </c>
      <c r="AJ24" s="713" t="inlineStr"/>
      <c r="AK24" s="713" t="inlineStr"/>
      <c r="AL24" s="713" t="inlineStr"/>
      <c r="AM24" s="713" t="inlineStr"/>
      <c r="AN24" s="713" t="inlineStr"/>
      <c r="AO24" s="713" t="inlineStr"/>
      <c r="AP24" s="713" t="inlineStr"/>
      <c r="AQ24" s="713" t="inlineStr"/>
      <c r="AR24" s="713" t="inlineStr"/>
      <c r="AS24" s="713" t="inlineStr"/>
      <c r="AT24" s="713" t="inlineStr"/>
      <c r="AU24" s="713" t="inlineStr"/>
      <c r="AV24" s="713" t="inlineStr"/>
      <c r="AW24" s="713" t="inlineStr"/>
      <c r="AX24" s="713" t="inlineStr"/>
      <c r="AY24" s="713" t="inlineStr"/>
      <c r="AZ24" s="713" t="inlineStr"/>
      <c r="BA24" s="713" t="inlineStr"/>
      <c r="BB24" s="713" t="inlineStr"/>
      <c r="BC24" s="713" t="inlineStr"/>
      <c r="BD24" s="713" t="inlineStr"/>
      <c r="BE24" s="713" t="inlineStr"/>
      <c r="BF24" s="713" t="inlineStr"/>
      <c r="BG24" s="713" t="inlineStr"/>
      <c r="BH24" s="713" t="inlineStr"/>
      <c r="BI24" s="713" t="inlineStr"/>
    </row>
    <row r="25" outlineLevel="1" ht="14.25" customFormat="1" customHeight="1" s="483">
      <c r="A25" s="703" t="inlineStr">
        <is>
          <t>理财师002</t>
        </is>
      </c>
      <c r="B25" s="703" t="inlineStr">
        <is>
          <t>理财师001</t>
        </is>
      </c>
      <c r="C25" s="703" t="inlineStr">
        <is>
          <t>私人财富管理顾问PWA1-2</t>
        </is>
      </c>
      <c r="D25" s="693" t="n">
        <v>46023</v>
      </c>
      <c r="E25" s="693" t="n">
        <v>46203</v>
      </c>
      <c r="F25" s="703" t="n">
        <v>4993.22</v>
      </c>
      <c r="G25" s="703" t="n">
        <v>4434.235609</v>
      </c>
      <c r="H25" s="703" t="n">
        <v>0</v>
      </c>
      <c r="I25" s="703" t="n">
        <v>0</v>
      </c>
      <c r="J25" s="703" t="n">
        <v>0</v>
      </c>
      <c r="K25" s="703">
        <f>SUM(H25:J25)</f>
        <v/>
      </c>
      <c r="L25" s="703" t="n">
        <v>121.826127</v>
      </c>
      <c r="M25" s="703" t="n">
        <v>0</v>
      </c>
      <c r="N25" s="703" t="n">
        <v>638.531805</v>
      </c>
      <c r="O25" s="703">
        <f>SUM(L25:N25)</f>
        <v/>
      </c>
      <c r="P25" s="703" t="n">
        <v>88.54274700000001</v>
      </c>
      <c r="Q25" s="703" t="n">
        <v>0</v>
      </c>
      <c r="R25" s="703" t="n">
        <v>616.124389</v>
      </c>
      <c r="S25" s="703">
        <f>SUM(P25:R25)</f>
        <v/>
      </c>
      <c r="T25" s="703" t="n">
        <v>50.830377</v>
      </c>
      <c r="U25" s="703" t="n">
        <v>0</v>
      </c>
      <c r="V25" s="703" t="n">
        <v>791.318135</v>
      </c>
      <c r="W25" s="703">
        <f>SUM(T25:V25)</f>
        <v/>
      </c>
      <c r="X25" s="703" t="n">
        <v>153.11976</v>
      </c>
      <c r="Y25" s="703" t="n">
        <v>0</v>
      </c>
      <c r="Z25" s="703" t="n">
        <v>560.548117</v>
      </c>
      <c r="AA25" s="703">
        <f>SUM(X25:Z25)</f>
        <v/>
      </c>
      <c r="AB25" s="703" t="n">
        <v>2029.518541</v>
      </c>
      <c r="AC25" s="318">
        <f>SUM(K25+O25+S25+W25+AA25+AB25)</f>
        <v/>
      </c>
      <c r="AD25" s="319">
        <f>IF(F25=0,"",K25/(F25/((YEAR(E25)*12+MONTH(E25))-(YEAR(D25)*12+MONTH(D25))+1)))</f>
        <v/>
      </c>
      <c r="AE25" s="319">
        <f>G25/F25</f>
        <v/>
      </c>
      <c r="AF25" s="704">
        <f>F25-G25</f>
        <v/>
      </c>
      <c r="AG25" s="321">
        <f>SUM(F25:F27)</f>
        <v/>
      </c>
      <c r="AH25" s="322">
        <f>AH28</f>
        <v/>
      </c>
      <c r="AI25" s="717">
        <f>AI28</f>
        <v/>
      </c>
      <c r="AJ25" s="706" t="inlineStr"/>
      <c r="AK25" s="706" t="inlineStr"/>
      <c r="AL25" s="706" t="inlineStr"/>
      <c r="AM25" s="706" t="inlineStr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</row>
    <row r="26" outlineLevel="1" ht="14.25" customFormat="1" customHeight="1" s="483">
      <c r="A26" s="500" t="n"/>
      <c r="B26" s="707" t="inlineStr">
        <is>
          <t>理财师027</t>
        </is>
      </c>
      <c r="C26" s="707" t="inlineStr">
        <is>
          <t>私人财富管理资深顾问PWA2-3</t>
        </is>
      </c>
      <c r="D26" s="676" t="n">
        <v>45943</v>
      </c>
      <c r="E26" s="676" t="n">
        <v>46124</v>
      </c>
      <c r="F26" s="707" t="n">
        <v>6847</v>
      </c>
      <c r="G26" s="707" t="n">
        <v>4823.60902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0</v>
      </c>
      <c r="M26" s="707" t="n">
        <v>0</v>
      </c>
      <c r="N26" s="707" t="n">
        <v>19.121258</v>
      </c>
      <c r="O26" s="707">
        <f>SUM(L26:N26)</f>
        <v/>
      </c>
      <c r="P26" s="707" t="n">
        <v>137.257846</v>
      </c>
      <c r="Q26" s="707" t="n">
        <v>3685.0554</v>
      </c>
      <c r="R26" s="707" t="n">
        <v>14.759064</v>
      </c>
      <c r="S26" s="707">
        <f>SUM(P26:R26)</f>
        <v/>
      </c>
      <c r="T26" s="707" t="n">
        <v>0</v>
      </c>
      <c r="U26" s="707" t="n">
        <v>0</v>
      </c>
      <c r="V26" s="707" t="n">
        <v>2.181886</v>
      </c>
      <c r="W26" s="707">
        <f>SUM(T26:V26)</f>
        <v/>
      </c>
      <c r="X26" s="707" t="n">
        <v>0</v>
      </c>
      <c r="Y26" s="707" t="n">
        <v>0</v>
      </c>
      <c r="Z26" s="707" t="n">
        <v>1.481485</v>
      </c>
      <c r="AA26" s="707">
        <f>SUM(X26:Z26)</f>
        <v/>
      </c>
      <c r="AB26" s="707" t="n">
        <v>66.75825</v>
      </c>
      <c r="AC26" s="271">
        <f>SUM(K26+O26+S26+W26+AA26+AB26)</f>
        <v/>
      </c>
      <c r="AD26" s="326">
        <f>IF(F26=0,"",K26/(F26/((YEAR(E26)*12+MONTH(E26))-(YEAR(D26)*12+MONTH(D26))+1)))</f>
        <v/>
      </c>
      <c r="AE26" s="326">
        <f>G26/F26</f>
        <v/>
      </c>
      <c r="AF26" s="708">
        <f>F26-G26</f>
        <v/>
      </c>
      <c r="AG26" s="500" t="n"/>
      <c r="AH26" s="500" t="n"/>
      <c r="AI26" s="500" t="n"/>
      <c r="AJ26" s="706" t="inlineStr"/>
      <c r="AK26" s="706" t="inlineStr"/>
      <c r="AL26" s="706" t="inlineStr"/>
      <c r="AM26" s="706" t="inlineStr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</row>
    <row r="27" outlineLevel="1" ht="14.25" customFormat="1" customHeight="1" s="483">
      <c r="A27" s="513" t="n"/>
      <c r="B27" s="707" t="inlineStr">
        <is>
          <t>理财师002</t>
        </is>
      </c>
      <c r="C27" s="707" t="inlineStr">
        <is>
          <t>私人财富管理专家PWA4-5</t>
        </is>
      </c>
      <c r="D27" s="676" t="n">
        <v>46023</v>
      </c>
      <c r="E27" s="676" t="n">
        <v>46203</v>
      </c>
      <c r="F27" s="707" t="n">
        <v>24411</v>
      </c>
      <c r="G27" s="707" t="n">
        <v>26227.285163</v>
      </c>
      <c r="H27" s="707" t="n">
        <v>0</v>
      </c>
      <c r="I27" s="707" t="n">
        <v>0</v>
      </c>
      <c r="J27" s="707" t="n">
        <v>0</v>
      </c>
      <c r="K27" s="707">
        <f>SUM(H27:J27)</f>
        <v/>
      </c>
      <c r="L27" s="707" t="n">
        <v>2282.459095</v>
      </c>
      <c r="M27" s="707" t="n">
        <v>0</v>
      </c>
      <c r="N27" s="707" t="n">
        <v>234.231608</v>
      </c>
      <c r="O27" s="707">
        <f>SUM(L27:N27)</f>
        <v/>
      </c>
      <c r="P27" s="707" t="n">
        <v>-6272.243033</v>
      </c>
      <c r="Q27" s="707" t="n">
        <v>0</v>
      </c>
      <c r="R27" s="707" t="n">
        <v>210.102519</v>
      </c>
      <c r="S27" s="707">
        <f>SUM(P27:R27)</f>
        <v/>
      </c>
      <c r="T27" s="707" t="n">
        <v>2164.476574</v>
      </c>
      <c r="U27" s="707" t="n">
        <v>0</v>
      </c>
      <c r="V27" s="707" t="n">
        <v>365.27682</v>
      </c>
      <c r="W27" s="707">
        <f>SUM(T27:V27)</f>
        <v/>
      </c>
      <c r="X27" s="707" t="n">
        <v>2346.171162</v>
      </c>
      <c r="Y27" s="707" t="n">
        <v>0</v>
      </c>
      <c r="Z27" s="707" t="n">
        <v>187.41719</v>
      </c>
      <c r="AA27" s="707">
        <f>SUM(X27:Z27)</f>
        <v/>
      </c>
      <c r="AB27" s="707" t="n">
        <v>24919.495747</v>
      </c>
      <c r="AC27" s="271">
        <f>SUM(K27+O27+S27+W27+AA27+AB27)</f>
        <v/>
      </c>
      <c r="AD27" s="326">
        <f>IF(F27=0,"",K27/(F27/((YEAR(E27)*12+MONTH(E27))-(YEAR(D27)*12+MONTH(D27))+1)))</f>
        <v/>
      </c>
      <c r="AE27" s="326">
        <f>G27/F27</f>
        <v/>
      </c>
      <c r="AF27" s="708">
        <f>F27-G27</f>
        <v/>
      </c>
      <c r="AG27" s="513" t="n"/>
      <c r="AH27" s="513" t="n"/>
      <c r="AI27" s="513" t="n"/>
      <c r="AJ27" s="706" t="inlineStr"/>
      <c r="AK27" s="706" t="inlineStr"/>
      <c r="AL27" s="706" t="inlineStr"/>
      <c r="AM27" s="706" t="inlineStr"/>
      <c r="AN27" s="706" t="inlineStr"/>
      <c r="AO27" s="706" t="inlineStr"/>
      <c r="AP27" s="706" t="inlineStr"/>
      <c r="AQ27" s="706" t="inlineStr"/>
      <c r="AR27" s="706" t="inlineStr"/>
      <c r="AS27" s="706" t="inlineStr"/>
      <c r="AT27" s="706" t="inlineStr"/>
      <c r="AU27" s="706" t="inlineStr"/>
      <c r="AV27" s="706" t="inlineStr"/>
      <c r="AW27" s="706" t="inlineStr"/>
      <c r="AX27" s="706" t="inlineStr"/>
      <c r="AY27" s="706" t="inlineStr"/>
      <c r="AZ27" s="706" t="inlineStr"/>
      <c r="BA27" s="706" t="inlineStr"/>
      <c r="BB27" s="706" t="inlineStr"/>
      <c r="BC27" s="706" t="inlineStr"/>
      <c r="BD27" s="706" t="inlineStr"/>
      <c r="BE27" s="706" t="inlineStr"/>
      <c r="BF27" s="706" t="inlineStr"/>
      <c r="BG27" s="706" t="inlineStr"/>
      <c r="BH27" s="706" t="inlineStr"/>
      <c r="BI27" s="706" t="inlineStr"/>
    </row>
    <row r="28" outlineLevel="1" ht="14.25" customFormat="1" customHeight="1" s="483">
      <c r="A28" s="710" t="inlineStr">
        <is>
          <t>合计</t>
        </is>
      </c>
      <c r="B28" s="518" t="n"/>
      <c r="C28" s="518" t="n"/>
      <c r="D28" s="518" t="n"/>
      <c r="E28" s="578" t="n"/>
      <c r="F28" s="333">
        <f>SUM(F25:F27)</f>
        <v/>
      </c>
      <c r="G28" s="710">
        <f>SUM(G25:G27)</f>
        <v/>
      </c>
      <c r="H28" s="710">
        <f>SUM(H25:H27)</f>
        <v/>
      </c>
      <c r="I28" s="710">
        <f>SUM(I25:I27)</f>
        <v/>
      </c>
      <c r="J28" s="710">
        <f>SUM(J25:J27)</f>
        <v/>
      </c>
      <c r="K28" s="710">
        <f>SUM(K25:K27)</f>
        <v/>
      </c>
      <c r="L28" s="710">
        <f>SUM(L25:L27)</f>
        <v/>
      </c>
      <c r="M28" s="710">
        <f>SUM(M25:M27)</f>
        <v/>
      </c>
      <c r="N28" s="710">
        <f>SUM(N25:N27)</f>
        <v/>
      </c>
      <c r="O28" s="710">
        <f>SUM(O25:O27)</f>
        <v/>
      </c>
      <c r="P28" s="710">
        <f>SUM(P25:P27)</f>
        <v/>
      </c>
      <c r="Q28" s="710">
        <f>SUM(Q25:Q27)</f>
        <v/>
      </c>
      <c r="R28" s="710">
        <f>SUM(R25:R27)</f>
        <v/>
      </c>
      <c r="S28" s="710">
        <f>SUM(S25:S27)</f>
        <v/>
      </c>
      <c r="T28" s="710">
        <f>SUM(T25:T27)</f>
        <v/>
      </c>
      <c r="U28" s="710">
        <f>SUM(U25:U27)</f>
        <v/>
      </c>
      <c r="V28" s="710">
        <f>SUM(V25:V27)</f>
        <v/>
      </c>
      <c r="W28" s="710">
        <f>SUM(W25:W27)</f>
        <v/>
      </c>
      <c r="X28" s="710">
        <f>SUM(X25:X27)</f>
        <v/>
      </c>
      <c r="Y28" s="710">
        <f>SUM(Y25:Y27)</f>
        <v/>
      </c>
      <c r="Z28" s="710">
        <f>SUM(Z25:Z27)</f>
        <v/>
      </c>
      <c r="AA28" s="710">
        <f>SUM(AA25:AA27)</f>
        <v/>
      </c>
      <c r="AB28" s="710">
        <f>SUM(AB25:AB27)</f>
        <v/>
      </c>
      <c r="AC28" s="711">
        <f>SUM(K28+O28+S28+W28+AA28+AB28)</f>
        <v/>
      </c>
      <c r="AD28" s="335">
        <f>IF(F28=0,"",K28/(F28/((YEAR(E25)*12+MONTH(E25))-(YEAR(D25)*12+MONTH(D25))+1)))</f>
        <v/>
      </c>
      <c r="AE28" s="336">
        <f>G28/F28</f>
        <v/>
      </c>
      <c r="AF28" s="711">
        <f>F28-G28</f>
        <v/>
      </c>
      <c r="AG28" s="337">
        <f>AG25</f>
        <v/>
      </c>
      <c r="AH28" s="335">
        <f>AC28/AG25</f>
        <v/>
      </c>
      <c r="AI28" s="718">
        <f>AG25-AC28</f>
        <v/>
      </c>
      <c r="AJ28" s="713" t="inlineStr"/>
      <c r="AK28" s="713" t="inlineStr"/>
      <c r="AL28" s="713" t="inlineStr"/>
      <c r="AM28" s="713" t="inlineStr"/>
      <c r="AN28" s="713" t="inlineStr"/>
      <c r="AO28" s="713" t="inlineStr"/>
      <c r="AP28" s="713" t="inlineStr"/>
      <c r="AQ28" s="713" t="inlineStr"/>
      <c r="AR28" s="713" t="inlineStr"/>
      <c r="AS28" s="713" t="inlineStr"/>
      <c r="AT28" s="713" t="inlineStr"/>
      <c r="AU28" s="713" t="inlineStr"/>
      <c r="AV28" s="713" t="inlineStr"/>
      <c r="AW28" s="713" t="inlineStr"/>
      <c r="AX28" s="713" t="inlineStr"/>
      <c r="AY28" s="713" t="inlineStr"/>
      <c r="AZ28" s="713" t="inlineStr"/>
      <c r="BA28" s="713" t="inlineStr"/>
      <c r="BB28" s="713" t="inlineStr"/>
      <c r="BC28" s="713" t="inlineStr"/>
      <c r="BD28" s="713" t="inlineStr"/>
      <c r="BE28" s="713" t="inlineStr"/>
      <c r="BF28" s="713" t="inlineStr"/>
      <c r="BG28" s="713" t="inlineStr"/>
      <c r="BH28" s="713" t="inlineStr"/>
      <c r="BI28" s="713" t="inlineStr"/>
    </row>
    <row r="29" outlineLevel="1" ht="14.25" customFormat="1" customHeight="1" s="483">
      <c r="A29" s="703" t="inlineStr">
        <is>
          <t>理财师009</t>
        </is>
      </c>
      <c r="B29" s="703" t="inlineStr">
        <is>
          <t>理财师048</t>
        </is>
      </c>
      <c r="C29" s="703" t="inlineStr">
        <is>
          <t>观察期PWA0-1</t>
        </is>
      </c>
      <c r="D29" s="693" t="n">
        <v>46082</v>
      </c>
      <c r="E29" s="693" t="n">
        <v>46234</v>
      </c>
      <c r="F29" s="703" t="n">
        <v>3056.1223</v>
      </c>
      <c r="G29" s="703" t="n">
        <v>306.531549</v>
      </c>
      <c r="H29" s="703" t="n">
        <v>129.52368</v>
      </c>
      <c r="I29" s="703" t="n">
        <v>0</v>
      </c>
      <c r="J29" s="703" t="n">
        <v>0</v>
      </c>
      <c r="K29" s="703">
        <f>SUM(H29:J29)</f>
        <v/>
      </c>
      <c r="L29" s="703" t="n">
        <v>0</v>
      </c>
      <c r="M29" s="703" t="n">
        <v>0</v>
      </c>
      <c r="N29" s="703" t="n">
        <v>26.609284</v>
      </c>
      <c r="O29" s="703">
        <f>SUM(L29:N29)</f>
        <v/>
      </c>
      <c r="P29" s="703" t="n">
        <v>0</v>
      </c>
      <c r="Q29" s="703" t="n">
        <v>0</v>
      </c>
      <c r="R29" s="703" t="n">
        <v>25.715569</v>
      </c>
      <c r="S29" s="703">
        <f>SUM(P29:R29)</f>
        <v/>
      </c>
      <c r="T29" s="703" t="n">
        <v>103.23148</v>
      </c>
      <c r="U29" s="703" t="n">
        <v>0</v>
      </c>
      <c r="V29" s="703" t="n">
        <v>47.167105</v>
      </c>
      <c r="W29" s="703">
        <f>SUM(T29:V29)</f>
        <v/>
      </c>
      <c r="X29" s="703" t="n">
        <v>51.706393</v>
      </c>
      <c r="Y29" s="703" t="n">
        <v>90.204069</v>
      </c>
      <c r="Z29" s="703" t="n">
        <v>16.925117</v>
      </c>
      <c r="AA29" s="703">
        <f>SUM(X29:Z29)</f>
        <v/>
      </c>
      <c r="AB29" s="703" t="n">
        <v>193.330405</v>
      </c>
      <c r="AC29" s="318">
        <f>SUM(K29+O29+S29+W29+AA29+AB29)</f>
        <v/>
      </c>
      <c r="AD29" s="319">
        <f>IF(F29=0,"",K29/(F29/((YEAR(E29)*12+MONTH(E29))-(YEAR(D29)*12+MONTH(D29))+1)))</f>
        <v/>
      </c>
      <c r="AE29" s="319">
        <f>G29/F29</f>
        <v/>
      </c>
      <c r="AF29" s="704">
        <f>F29-G29</f>
        <v/>
      </c>
      <c r="AG29" s="321">
        <f>SUM(F29:F31)</f>
        <v/>
      </c>
      <c r="AH29" s="322">
        <f>AH32</f>
        <v/>
      </c>
      <c r="AI29" s="717">
        <f>AI32</f>
        <v/>
      </c>
      <c r="AJ29" s="706" t="inlineStr"/>
      <c r="AK29" s="706" t="inlineStr"/>
      <c r="AL29" s="706" t="inlineStr"/>
      <c r="AM29" s="706" t="inlineStr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</row>
    <row r="30" outlineLevel="1" ht="14.25" customFormat="1" customHeight="1" s="483">
      <c r="A30" s="500" t="n"/>
      <c r="B30" s="707" t="inlineStr">
        <is>
          <t>理财师009</t>
        </is>
      </c>
      <c r="C30" s="707" t="inlineStr">
        <is>
          <t>私人财富管理专家PWA4-1</t>
        </is>
      </c>
      <c r="D30" s="676" t="n">
        <v>46023</v>
      </c>
      <c r="E30" s="676" t="n">
        <v>46203</v>
      </c>
      <c r="F30" s="707" t="n">
        <v>28282.8</v>
      </c>
      <c r="G30" s="707" t="n">
        <v>33745.320362</v>
      </c>
      <c r="H30" s="707" t="n">
        <v>894.348</v>
      </c>
      <c r="I30" s="707" t="n">
        <v>0</v>
      </c>
      <c r="J30" s="707" t="n">
        <v>0</v>
      </c>
      <c r="K30" s="707">
        <f>SUM(H30:J30)</f>
        <v/>
      </c>
      <c r="L30" s="707" t="n">
        <v>536.6088</v>
      </c>
      <c r="M30" s="707" t="n">
        <v>0</v>
      </c>
      <c r="N30" s="707" t="n">
        <v>313.323811</v>
      </c>
      <c r="O30" s="707">
        <f>SUM(L30:N30)</f>
        <v/>
      </c>
      <c r="P30" s="707" t="n">
        <v>1351.820914</v>
      </c>
      <c r="Q30" s="707" t="n">
        <v>20570.004</v>
      </c>
      <c r="R30" s="707" t="n">
        <v>654.353493</v>
      </c>
      <c r="S30" s="707">
        <f>SUM(P30:R30)</f>
        <v/>
      </c>
      <c r="T30" s="707" t="n">
        <v>3314.503374</v>
      </c>
      <c r="U30" s="707" t="n">
        <v>0</v>
      </c>
      <c r="V30" s="707" t="n">
        <v>699.48968</v>
      </c>
      <c r="W30" s="707">
        <f>SUM(T30:V30)</f>
        <v/>
      </c>
      <c r="X30" s="707" t="n">
        <v>4769.379014</v>
      </c>
      <c r="Y30" s="707" t="n">
        <v>0</v>
      </c>
      <c r="Z30" s="707" t="n">
        <v>225.874626</v>
      </c>
      <c r="AA30" s="707">
        <f>SUM(X30:Z30)</f>
        <v/>
      </c>
      <c r="AB30" s="707" t="n">
        <v>1069.968142</v>
      </c>
      <c r="AC30" s="271">
        <f>SUM(K30+O30+S30+W30+AA30+AB30)</f>
        <v/>
      </c>
      <c r="AD30" s="326">
        <f>IF(F30=0,"",K30/(F30/((YEAR(E30)*12+MONTH(E30))-(YEAR(D30)*12+MONTH(D30))+1)))</f>
        <v/>
      </c>
      <c r="AE30" s="326">
        <f>G30/F30</f>
        <v/>
      </c>
      <c r="AF30" s="708">
        <f>F30-G30</f>
        <v/>
      </c>
      <c r="AG30" s="500" t="n"/>
      <c r="AH30" s="500" t="n"/>
      <c r="AI30" s="500" t="n"/>
      <c r="AJ30" s="706" t="inlineStr"/>
      <c r="AK30" s="706" t="inlineStr"/>
      <c r="AL30" s="706" t="inlineStr"/>
      <c r="AM30" s="706" t="inlineStr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</row>
    <row r="31" outlineLevel="1" ht="14.25" customFormat="1" customHeight="1" s="483">
      <c r="A31" s="513" t="n"/>
      <c r="B31" s="707" t="inlineStr">
        <is>
          <t>理财师010</t>
        </is>
      </c>
      <c r="C31" s="707" t="inlineStr">
        <is>
          <t>观察期PWA0-2</t>
        </is>
      </c>
      <c r="D31" s="676" t="n">
        <v>46023</v>
      </c>
      <c r="E31" s="676" t="n">
        <v>46203</v>
      </c>
      <c r="F31" s="707" t="n">
        <v>4868.16</v>
      </c>
      <c r="G31" s="707" t="n">
        <v>14411.422944</v>
      </c>
      <c r="H31" s="707" t="n">
        <v>0</v>
      </c>
      <c r="I31" s="707" t="n">
        <v>0</v>
      </c>
      <c r="J31" s="707" t="n">
        <v>0</v>
      </c>
      <c r="K31" s="707">
        <f>SUM(H31:J31)</f>
        <v/>
      </c>
      <c r="L31" s="707" t="n">
        <v>994.77807</v>
      </c>
      <c r="M31" s="707" t="n">
        <v>0</v>
      </c>
      <c r="N31" s="707" t="n">
        <v>185.511372</v>
      </c>
      <c r="O31" s="707">
        <f>SUM(L31:N31)</f>
        <v/>
      </c>
      <c r="P31" s="707" t="n">
        <v>949.2912</v>
      </c>
      <c r="Q31" s="707" t="n">
        <v>0</v>
      </c>
      <c r="R31" s="707" t="n">
        <v>144.291309</v>
      </c>
      <c r="S31" s="707">
        <f>SUM(P31:R31)</f>
        <v/>
      </c>
      <c r="T31" s="707" t="n">
        <v>2158.292651</v>
      </c>
      <c r="U31" s="707" t="n">
        <v>8187.6366</v>
      </c>
      <c r="V31" s="707" t="n">
        <v>194.447373</v>
      </c>
      <c r="W31" s="707">
        <f>SUM(T31:V31)</f>
        <v/>
      </c>
      <c r="X31" s="707" t="n">
        <v>474.6456</v>
      </c>
      <c r="Y31" s="707" t="n">
        <v>0</v>
      </c>
      <c r="Z31" s="707" t="n">
        <v>122.035472</v>
      </c>
      <c r="AA31" s="707">
        <f>SUM(X31:Z31)</f>
        <v/>
      </c>
      <c r="AB31" s="707" t="n">
        <v>1144.784607</v>
      </c>
      <c r="AC31" s="271">
        <f>SUM(K31+O31+S31+W31+AA31+AB31)</f>
        <v/>
      </c>
      <c r="AD31" s="326">
        <f>IF(F31=0,"",K31/(F31/((YEAR(E31)*12+MONTH(E31))-(YEAR(D31)*12+MONTH(D31))+1)))</f>
        <v/>
      </c>
      <c r="AE31" s="326">
        <f>G31/F31</f>
        <v/>
      </c>
      <c r="AF31" s="708">
        <f>F31-G31</f>
        <v/>
      </c>
      <c r="AG31" s="513" t="n"/>
      <c r="AH31" s="513" t="n"/>
      <c r="AI31" s="513" t="n"/>
      <c r="AJ31" s="706" t="inlineStr"/>
      <c r="AK31" s="706" t="inlineStr"/>
      <c r="AL31" s="706" t="inlineStr"/>
      <c r="AM31" s="706" t="inlineStr"/>
      <c r="AN31" s="706" t="inlineStr"/>
      <c r="AO31" s="706" t="inlineStr"/>
      <c r="AP31" s="706" t="inlineStr"/>
      <c r="AQ31" s="706" t="inlineStr"/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</row>
    <row r="32" outlineLevel="1" ht="14.25" customFormat="1" customHeight="1" s="483">
      <c r="A32" s="710" t="inlineStr">
        <is>
          <t>合计</t>
        </is>
      </c>
      <c r="B32" s="518" t="n"/>
      <c r="C32" s="518" t="n"/>
      <c r="D32" s="518" t="n"/>
      <c r="E32" s="578" t="n"/>
      <c r="F32" s="333">
        <f>SUM(F29:F31)</f>
        <v/>
      </c>
      <c r="G32" s="710">
        <f>SUM(G29:G31)</f>
        <v/>
      </c>
      <c r="H32" s="710">
        <f>SUM(H29:H31)</f>
        <v/>
      </c>
      <c r="I32" s="710">
        <f>SUM(I29:I31)</f>
        <v/>
      </c>
      <c r="J32" s="710">
        <f>SUM(J29:J31)</f>
        <v/>
      </c>
      <c r="K32" s="710">
        <f>SUM(K29:K31)</f>
        <v/>
      </c>
      <c r="L32" s="710">
        <f>SUM(L29:L31)</f>
        <v/>
      </c>
      <c r="M32" s="710">
        <f>SUM(M29:M31)</f>
        <v/>
      </c>
      <c r="N32" s="710">
        <f>SUM(N29:N31)</f>
        <v/>
      </c>
      <c r="O32" s="710">
        <f>SUM(O29:O31)</f>
        <v/>
      </c>
      <c r="P32" s="710">
        <f>SUM(P29:P31)</f>
        <v/>
      </c>
      <c r="Q32" s="710">
        <f>SUM(Q29:Q31)</f>
        <v/>
      </c>
      <c r="R32" s="710">
        <f>SUM(R29:R31)</f>
        <v/>
      </c>
      <c r="S32" s="710">
        <f>SUM(S29:S31)</f>
        <v/>
      </c>
      <c r="T32" s="710">
        <f>SUM(T29:T31)</f>
        <v/>
      </c>
      <c r="U32" s="710">
        <f>SUM(U29:U31)</f>
        <v/>
      </c>
      <c r="V32" s="710">
        <f>SUM(V29:V31)</f>
        <v/>
      </c>
      <c r="W32" s="710">
        <f>SUM(W29:W31)</f>
        <v/>
      </c>
      <c r="X32" s="710">
        <f>SUM(X29:X31)</f>
        <v/>
      </c>
      <c r="Y32" s="710">
        <f>SUM(Y29:Y31)</f>
        <v/>
      </c>
      <c r="Z32" s="710">
        <f>SUM(Z29:Z31)</f>
        <v/>
      </c>
      <c r="AA32" s="710">
        <f>SUM(AA29:AA31)</f>
        <v/>
      </c>
      <c r="AB32" s="710">
        <f>SUM(AB29:AB31)</f>
        <v/>
      </c>
      <c r="AC32" s="711">
        <f>SUM(K32+O32+S32+W32+AA32+AB32)</f>
        <v/>
      </c>
      <c r="AD32" s="335">
        <f>IF(F32=0,"",K32/(F32/((YEAR(E29)*12+MONTH(E29))-(YEAR(D29)*12+MONTH(D29))+1)))</f>
        <v/>
      </c>
      <c r="AE32" s="336">
        <f>G32/F32</f>
        <v/>
      </c>
      <c r="AF32" s="711">
        <f>F32-G32</f>
        <v/>
      </c>
      <c r="AG32" s="337">
        <f>AG29</f>
        <v/>
      </c>
      <c r="AH32" s="335">
        <f>AC32/AG29</f>
        <v/>
      </c>
      <c r="AI32" s="718">
        <f>AG29-AC32</f>
        <v/>
      </c>
      <c r="AJ32" s="713" t="inlineStr"/>
      <c r="AK32" s="713" t="inlineStr"/>
      <c r="AL32" s="713" t="inlineStr"/>
      <c r="AM32" s="713" t="inlineStr"/>
      <c r="AN32" s="713" t="inlineStr"/>
      <c r="AO32" s="713" t="inlineStr"/>
      <c r="AP32" s="713" t="inlineStr"/>
      <c r="AQ32" s="713" t="inlineStr"/>
      <c r="AR32" s="713" t="inlineStr"/>
      <c r="AS32" s="713" t="inlineStr"/>
      <c r="AT32" s="713" t="inlineStr"/>
      <c r="AU32" s="713" t="inlineStr"/>
      <c r="AV32" s="713" t="inlineStr"/>
      <c r="AW32" s="713" t="inlineStr"/>
      <c r="AX32" s="713" t="inlineStr"/>
      <c r="AY32" s="713" t="inlineStr"/>
      <c r="AZ32" s="713" t="inlineStr"/>
      <c r="BA32" s="713" t="inlineStr"/>
      <c r="BB32" s="713" t="inlineStr"/>
      <c r="BC32" s="713" t="inlineStr"/>
      <c r="BD32" s="713" t="inlineStr"/>
      <c r="BE32" s="713" t="inlineStr"/>
      <c r="BF32" s="713" t="inlineStr"/>
      <c r="BG32" s="713" t="inlineStr"/>
      <c r="BH32" s="713" t="inlineStr"/>
      <c r="BI32" s="713" t="inlineStr"/>
    </row>
    <row r="33" outlineLevel="1" ht="14.25" customFormat="1" customHeight="1" s="483">
      <c r="A33" s="703" t="inlineStr">
        <is>
          <t>理财师020</t>
        </is>
      </c>
      <c r="B33" s="703" t="inlineStr">
        <is>
          <t>理财师032</t>
        </is>
      </c>
      <c r="C33" s="703" t="inlineStr">
        <is>
          <t>C3</t>
        </is>
      </c>
      <c r="D33" s="693" t="n">
        <v>46049</v>
      </c>
      <c r="E33" s="693" t="n">
        <v>46229</v>
      </c>
      <c r="F33" s="703" t="n">
        <v>7912.17</v>
      </c>
      <c r="G33" s="703" t="n">
        <v>5718.903107</v>
      </c>
      <c r="H33" s="703" t="n">
        <v>0</v>
      </c>
      <c r="I33" s="703" t="n">
        <v>0</v>
      </c>
      <c r="J33" s="703" t="n">
        <v>0</v>
      </c>
      <c r="K33" s="703">
        <f>SUM(H33:J33)</f>
        <v/>
      </c>
      <c r="L33" s="703" t="n">
        <v>1610.465688</v>
      </c>
      <c r="M33" s="703" t="n">
        <v>110.192882</v>
      </c>
      <c r="N33" s="703" t="n">
        <v>23.921364</v>
      </c>
      <c r="O33" s="703">
        <f>SUM(L33:N33)</f>
        <v/>
      </c>
      <c r="P33" s="703" t="n">
        <v>1008.99006</v>
      </c>
      <c r="Q33" s="703" t="n">
        <v>0</v>
      </c>
      <c r="R33" s="703" t="n">
        <v>42.539952</v>
      </c>
      <c r="S33" s="703">
        <f>SUM(P33:R33)</f>
        <v/>
      </c>
      <c r="T33" s="703" t="n">
        <v>0</v>
      </c>
      <c r="U33" s="703" t="n">
        <v>342.296351</v>
      </c>
      <c r="V33" s="703" t="n">
        <v>99.729601</v>
      </c>
      <c r="W33" s="703">
        <f>SUM(T33:V33)</f>
        <v/>
      </c>
      <c r="X33" s="703" t="n">
        <v>440.8209</v>
      </c>
      <c r="Y33" s="703" t="n">
        <v>0</v>
      </c>
      <c r="Z33" s="703" t="n">
        <v>27.757259</v>
      </c>
      <c r="AA33" s="703">
        <f>SUM(X33:Z33)</f>
        <v/>
      </c>
      <c r="AB33" s="703" t="n">
        <v>1313.905711</v>
      </c>
      <c r="AC33" s="318">
        <f>SUM(K33+O33+S33+W33+AA33+AB33)</f>
        <v/>
      </c>
      <c r="AD33" s="319">
        <f>IF(F33=0,"",K33/(F33/((YEAR(E33)*12+MONTH(E33))-(YEAR(D33)*12+MONTH(D33))+1)))</f>
        <v/>
      </c>
      <c r="AE33" s="319">
        <f>G33/F33</f>
        <v/>
      </c>
      <c r="AF33" s="704">
        <f>F33-G33</f>
        <v/>
      </c>
      <c r="AG33" s="321">
        <f>SUM(F33:F34)</f>
        <v/>
      </c>
      <c r="AH33" s="322">
        <f>AH35</f>
        <v/>
      </c>
      <c r="AI33" s="717">
        <f>AI35</f>
        <v/>
      </c>
      <c r="AJ33" s="706" t="inlineStr"/>
      <c r="AK33" s="706" t="inlineStr"/>
      <c r="AL33" s="706" t="inlineStr"/>
      <c r="AM33" s="706" t="inlineStr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</row>
    <row r="34" outlineLevel="1" ht="14.25" customFormat="1" customHeight="1" s="483">
      <c r="A34" s="513" t="n"/>
      <c r="B34" s="707" t="inlineStr">
        <is>
          <t>理财师020</t>
        </is>
      </c>
      <c r="C34" s="707" t="inlineStr">
        <is>
          <t>私人财富管理资深顾问PWA2-5</t>
        </is>
      </c>
      <c r="D34" s="676" t="n">
        <v>46023</v>
      </c>
      <c r="E34" s="676" t="n">
        <v>46203</v>
      </c>
      <c r="F34" s="707" t="n">
        <v>15907.32</v>
      </c>
      <c r="G34" s="707" t="n">
        <v>42611.979974</v>
      </c>
      <c r="H34" s="707" t="n">
        <v>2436.422976</v>
      </c>
      <c r="I34" s="707" t="n">
        <v>0</v>
      </c>
      <c r="J34" s="707" t="n">
        <v>0</v>
      </c>
      <c r="K34" s="707">
        <f>SUM(H34:J34)</f>
        <v/>
      </c>
      <c r="L34" s="707" t="n">
        <v>8333.122670999999</v>
      </c>
      <c r="M34" s="707" t="n">
        <v>0</v>
      </c>
      <c r="N34" s="707" t="n">
        <v>299.634617</v>
      </c>
      <c r="O34" s="707">
        <f>SUM(L34:N34)</f>
        <v/>
      </c>
      <c r="P34" s="707" t="n">
        <v>1259.210798</v>
      </c>
      <c r="Q34" s="707" t="n">
        <v>3101.9274</v>
      </c>
      <c r="R34" s="707" t="n">
        <v>318.667286</v>
      </c>
      <c r="S34" s="707">
        <f>SUM(P34:R34)</f>
        <v/>
      </c>
      <c r="T34" s="707" t="n">
        <v>10803.329409</v>
      </c>
      <c r="U34" s="707" t="n">
        <v>0</v>
      </c>
      <c r="V34" s="707" t="n">
        <v>396.373158</v>
      </c>
      <c r="W34" s="707">
        <f>SUM(T34:V34)</f>
        <v/>
      </c>
      <c r="X34" s="707" t="n">
        <v>6594.535422</v>
      </c>
      <c r="Y34" s="707" t="n">
        <v>0</v>
      </c>
      <c r="Z34" s="707" t="n">
        <v>271.914403</v>
      </c>
      <c r="AA34" s="707">
        <f>SUM(X34:Z34)</f>
        <v/>
      </c>
      <c r="AB34" s="707" t="n">
        <v>9115.509121999999</v>
      </c>
      <c r="AC34" s="271">
        <f>SUM(K34+O34+S34+W34+AA34+AB34)</f>
        <v/>
      </c>
      <c r="AD34" s="326">
        <f>IF(F34=0,"",K34/(F34/((YEAR(E34)*12+MONTH(E34))-(YEAR(D34)*12+MONTH(D34))+1)))</f>
        <v/>
      </c>
      <c r="AE34" s="326">
        <f>G34/F34</f>
        <v/>
      </c>
      <c r="AF34" s="708">
        <f>F34-G34</f>
        <v/>
      </c>
      <c r="AG34" s="513" t="n"/>
      <c r="AH34" s="513" t="n"/>
      <c r="AI34" s="513" t="n"/>
      <c r="AJ34" s="706" t="inlineStr"/>
      <c r="AK34" s="706" t="inlineStr"/>
      <c r="AL34" s="706" t="inlineStr"/>
      <c r="AM34" s="706" t="inlineStr"/>
      <c r="AN34" s="706" t="inlineStr"/>
      <c r="AO34" s="706" t="inlineStr"/>
      <c r="AP34" s="706" t="inlineStr"/>
      <c r="AQ34" s="706" t="inlineStr"/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</row>
    <row r="35" outlineLevel="1" ht="14.25" customFormat="1" customHeight="1" s="483">
      <c r="A35" s="710" t="inlineStr">
        <is>
          <t>合计</t>
        </is>
      </c>
      <c r="B35" s="518" t="n"/>
      <c r="C35" s="518" t="n"/>
      <c r="D35" s="518" t="n"/>
      <c r="E35" s="578" t="n"/>
      <c r="F35" s="333">
        <f>SUM(F33:F34)</f>
        <v/>
      </c>
      <c r="G35" s="710">
        <f>SUM(G33:G34)</f>
        <v/>
      </c>
      <c r="H35" s="710">
        <f>SUM(H33:H34)</f>
        <v/>
      </c>
      <c r="I35" s="710">
        <f>SUM(I33:I34)</f>
        <v/>
      </c>
      <c r="J35" s="710">
        <f>SUM(J33:J34)</f>
        <v/>
      </c>
      <c r="K35" s="710">
        <f>SUM(K33:K34)</f>
        <v/>
      </c>
      <c r="L35" s="710">
        <f>SUM(L33:L34)</f>
        <v/>
      </c>
      <c r="M35" s="710">
        <f>SUM(M33:M34)</f>
        <v/>
      </c>
      <c r="N35" s="710">
        <f>SUM(N33:N34)</f>
        <v/>
      </c>
      <c r="O35" s="710">
        <f>SUM(O33:O34)</f>
        <v/>
      </c>
      <c r="P35" s="710">
        <f>SUM(P33:P34)</f>
        <v/>
      </c>
      <c r="Q35" s="710">
        <f>SUM(Q33:Q34)</f>
        <v/>
      </c>
      <c r="R35" s="710">
        <f>SUM(R33:R34)</f>
        <v/>
      </c>
      <c r="S35" s="710">
        <f>SUM(S33:S34)</f>
        <v/>
      </c>
      <c r="T35" s="710">
        <f>SUM(T33:T34)</f>
        <v/>
      </c>
      <c r="U35" s="710">
        <f>SUM(U33:U34)</f>
        <v/>
      </c>
      <c r="V35" s="710">
        <f>SUM(V33:V34)</f>
        <v/>
      </c>
      <c r="W35" s="710">
        <f>SUM(W33:W34)</f>
        <v/>
      </c>
      <c r="X35" s="710">
        <f>SUM(X33:X34)</f>
        <v/>
      </c>
      <c r="Y35" s="710">
        <f>SUM(Y33:Y34)</f>
        <v/>
      </c>
      <c r="Z35" s="710">
        <f>SUM(Z33:Z34)</f>
        <v/>
      </c>
      <c r="AA35" s="710">
        <f>SUM(AA33:AA34)</f>
        <v/>
      </c>
      <c r="AB35" s="710">
        <f>SUM(AB33:AB34)</f>
        <v/>
      </c>
      <c r="AC35" s="711">
        <f>SUM(K35+O35+S35+W35+AA35+AB35)</f>
        <v/>
      </c>
      <c r="AD35" s="335">
        <f>IF(F35=0,"",K35/(F35/((YEAR(E33)*12+MONTH(E33))-(YEAR(D33)*12+MONTH(D33))+1)))</f>
        <v/>
      </c>
      <c r="AE35" s="336">
        <f>G35/F35</f>
        <v/>
      </c>
      <c r="AF35" s="711">
        <f>F35-G35</f>
        <v/>
      </c>
      <c r="AG35" s="337">
        <f>AG33</f>
        <v/>
      </c>
      <c r="AH35" s="335">
        <f>AC35/AG33</f>
        <v/>
      </c>
      <c r="AI35" s="718">
        <f>AG33-AC35</f>
        <v/>
      </c>
      <c r="AJ35" s="713" t="inlineStr"/>
      <c r="AK35" s="713" t="inlineStr"/>
      <c r="AL35" s="713" t="inlineStr"/>
      <c r="AM35" s="713" t="inlineStr"/>
      <c r="AN35" s="713" t="inlineStr"/>
      <c r="AO35" s="713" t="inlineStr"/>
      <c r="AP35" s="713" t="inlineStr"/>
      <c r="AQ35" s="713" t="inlineStr"/>
      <c r="AR35" s="713" t="inlineStr"/>
      <c r="AS35" s="713" t="inlineStr"/>
      <c r="AT35" s="713" t="inlineStr"/>
      <c r="AU35" s="713" t="inlineStr"/>
      <c r="AV35" s="713" t="inlineStr"/>
      <c r="AW35" s="713" t="inlineStr"/>
      <c r="AX35" s="713" t="inlineStr"/>
      <c r="AY35" s="713" t="inlineStr"/>
      <c r="AZ35" s="713" t="inlineStr"/>
      <c r="BA35" s="713" t="inlineStr"/>
      <c r="BB35" s="713" t="inlineStr"/>
      <c r="BC35" s="713" t="inlineStr"/>
      <c r="BD35" s="713" t="inlineStr"/>
      <c r="BE35" s="713" t="inlineStr"/>
      <c r="BF35" s="713" t="inlineStr"/>
      <c r="BG35" s="713" t="inlineStr"/>
      <c r="BH35" s="713" t="inlineStr"/>
      <c r="BI35" s="713" t="inlineStr"/>
    </row>
    <row r="36" outlineLevel="1" ht="14.25" customFormat="1" customHeight="1" s="483">
      <c r="A36" s="703" t="inlineStr">
        <is>
          <t>理财师005</t>
        </is>
      </c>
      <c r="B36" s="703" t="inlineStr">
        <is>
          <t>理财师026</t>
        </is>
      </c>
      <c r="C36" s="703" t="inlineStr">
        <is>
          <t>观察期PWA0-1</t>
        </is>
      </c>
      <c r="D36" s="693" t="n">
        <v>46113</v>
      </c>
      <c r="E36" s="693" t="n">
        <v>46203</v>
      </c>
      <c r="F36" s="703" t="n">
        <v>1943.13</v>
      </c>
      <c r="G36" s="703" t="n">
        <v>570.037988</v>
      </c>
      <c r="H36" s="703" t="n">
        <v>0</v>
      </c>
      <c r="I36" s="703" t="n">
        <v>0</v>
      </c>
      <c r="J36" s="703" t="n">
        <v>0</v>
      </c>
      <c r="K36" s="703">
        <f>SUM(H36:J36)</f>
        <v/>
      </c>
      <c r="L36" s="703" t="n">
        <v>114.611359</v>
      </c>
      <c r="M36" s="703" t="n">
        <v>0</v>
      </c>
      <c r="N36" s="703" t="n">
        <v>18.055825</v>
      </c>
      <c r="O36" s="703">
        <f>SUM(L36:N36)</f>
        <v/>
      </c>
      <c r="P36" s="703" t="n">
        <v>437.370804</v>
      </c>
      <c r="Q36" s="703" t="n">
        <v>0</v>
      </c>
      <c r="R36" s="703" t="n">
        <v>14.547451</v>
      </c>
      <c r="S36" s="703">
        <f>SUM(P36:R36)</f>
        <v/>
      </c>
      <c r="T36" s="703" t="n">
        <v>809.929895</v>
      </c>
      <c r="U36" s="703" t="n">
        <v>0</v>
      </c>
      <c r="V36" s="703" t="n">
        <v>47.501776</v>
      </c>
      <c r="W36" s="703">
        <f>SUM(T36:V36)</f>
        <v/>
      </c>
      <c r="X36" s="703" t="n">
        <v>176.20858</v>
      </c>
      <c r="Y36" s="703" t="n">
        <v>0</v>
      </c>
      <c r="Z36" s="703" t="n">
        <v>11.404098</v>
      </c>
      <c r="AA36" s="703">
        <f>SUM(X36:Z36)</f>
        <v/>
      </c>
      <c r="AB36" s="703" t="n">
        <v>12.282809</v>
      </c>
      <c r="AC36" s="318">
        <f>SUM(K36+O36+S36+W36+AA36+AB36)</f>
        <v/>
      </c>
      <c r="AD36" s="319">
        <f>IF(F36=0,"",K36/(F36/((YEAR(E36)*12+MONTH(E36))-(YEAR(D36)*12+MONTH(D36))+1)))</f>
        <v/>
      </c>
      <c r="AE36" s="319">
        <f>G36/F36</f>
        <v/>
      </c>
      <c r="AF36" s="704">
        <f>F36-G36</f>
        <v/>
      </c>
      <c r="AG36" s="321">
        <f>SUM(F36:F37)</f>
        <v/>
      </c>
      <c r="AH36" s="322">
        <f>AH38</f>
        <v/>
      </c>
      <c r="AI36" s="717">
        <f>AI38</f>
        <v/>
      </c>
      <c r="AJ36" s="706" t="inlineStr"/>
      <c r="AK36" s="706" t="inlineStr"/>
      <c r="AL36" s="706" t="inlineStr"/>
      <c r="AM36" s="706" t="inlineStr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10469.213994</v>
      </c>
      <c r="H37" s="707" t="n">
        <v>0</v>
      </c>
      <c r="I37" s="707" t="n">
        <v>0</v>
      </c>
      <c r="J37" s="707" t="n">
        <v>0</v>
      </c>
      <c r="K37" s="707">
        <f>SUM(H37:J37)</f>
        <v/>
      </c>
      <c r="L37" s="707" t="n">
        <v>907.591957</v>
      </c>
      <c r="M37" s="707" t="n">
        <v>0</v>
      </c>
      <c r="N37" s="707" t="n">
        <v>315.666967</v>
      </c>
      <c r="O37" s="707">
        <f>SUM(L37:N37)</f>
        <v/>
      </c>
      <c r="P37" s="707" t="n">
        <v>1870.349984</v>
      </c>
      <c r="Q37" s="707" t="n">
        <v>2312.474666</v>
      </c>
      <c r="R37" s="707" t="n">
        <v>319.48223</v>
      </c>
      <c r="S37" s="707">
        <f>SUM(P37:R37)</f>
        <v/>
      </c>
      <c r="T37" s="707" t="n">
        <v>731.292658</v>
      </c>
      <c r="U37" s="707" t="n">
        <v>1925.150771</v>
      </c>
      <c r="V37" s="707" t="n">
        <v>383.775324</v>
      </c>
      <c r="W37" s="707">
        <f>SUM(T37:V37)</f>
        <v/>
      </c>
      <c r="X37" s="707" t="n">
        <v>1738.204897</v>
      </c>
      <c r="Y37" s="707" t="n">
        <v>0</v>
      </c>
      <c r="Z37" s="707" t="n">
        <v>284.706769</v>
      </c>
      <c r="AA37" s="707">
        <f>SUM(X37:Z37)</f>
        <v/>
      </c>
      <c r="AB37" s="707" t="n">
        <v>1538.392041</v>
      </c>
      <c r="AC37" s="271">
        <f>SUM(K37+O37+S37+W37+AA37+AB37)</f>
        <v/>
      </c>
      <c r="AD37" s="326">
        <f>IF(F37=0,"",K37/(F37/((YEAR(E37)*12+MONTH(E37))-(YEAR(D37)*12+MONTH(D37))+1)))</f>
        <v/>
      </c>
      <c r="AE37" s="326">
        <f>G37/F37</f>
        <v/>
      </c>
      <c r="AF37" s="708">
        <f>F37-G37</f>
        <v/>
      </c>
      <c r="AG37" s="513" t="n"/>
      <c r="AH37" s="513" t="n"/>
      <c r="AI37" s="513" t="n"/>
      <c r="AJ37" s="706" t="inlineStr"/>
      <c r="AK37" s="706" t="inlineStr"/>
      <c r="AL37" s="706" t="inlineStr"/>
      <c r="AM37" s="706" t="inlineStr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SUM(F36:F37)</f>
        <v/>
      </c>
      <c r="G38" s="710">
        <f>SUM(G36:G37)</f>
        <v/>
      </c>
      <c r="H38" s="710">
        <f>SUM(H36:H37)</f>
        <v/>
      </c>
      <c r="I38" s="710">
        <f>SUM(I36:I37)</f>
        <v/>
      </c>
      <c r="J38" s="710">
        <f>SUM(J36:J37)</f>
        <v/>
      </c>
      <c r="K38" s="710">
        <f>SUM(K36:K37)</f>
        <v/>
      </c>
      <c r="L38" s="710">
        <f>SUM(L36:L37)</f>
        <v/>
      </c>
      <c r="M38" s="710">
        <f>SUM(M36:M37)</f>
        <v/>
      </c>
      <c r="N38" s="710">
        <f>SUM(N36:N37)</f>
        <v/>
      </c>
      <c r="O38" s="710">
        <f>SUM(O36:O37)</f>
        <v/>
      </c>
      <c r="P38" s="710">
        <f>SUM(P36:P37)</f>
        <v/>
      </c>
      <c r="Q38" s="710">
        <f>SUM(Q36:Q37)</f>
        <v/>
      </c>
      <c r="R38" s="710">
        <f>SUM(R36:R37)</f>
        <v/>
      </c>
      <c r="S38" s="710">
        <f>SUM(S36:S37)</f>
        <v/>
      </c>
      <c r="T38" s="710">
        <f>SUM(T36:T37)</f>
        <v/>
      </c>
      <c r="U38" s="710">
        <f>SUM(U36:U37)</f>
        <v/>
      </c>
      <c r="V38" s="710">
        <f>SUM(V36:V37)</f>
        <v/>
      </c>
      <c r="W38" s="710">
        <f>SUM(W36:W37)</f>
        <v/>
      </c>
      <c r="X38" s="710">
        <f>SUM(X36:X37)</f>
        <v/>
      </c>
      <c r="Y38" s="710">
        <f>SUM(Y36:Y37)</f>
        <v/>
      </c>
      <c r="Z38" s="710">
        <f>SUM(Z36:Z37)</f>
        <v/>
      </c>
      <c r="AA38" s="710">
        <f>SUM(AA36:AA37)</f>
        <v/>
      </c>
      <c r="AB38" s="710">
        <f>SUM(AB36:AB37)</f>
        <v/>
      </c>
      <c r="AC38" s="711">
        <f>SUM(K38+O38+S38+W38+AA38+AB38)</f>
        <v/>
      </c>
      <c r="AD38" s="335">
        <f>IF(F38=0,"",K38/(F38/((YEAR(E36)*12+MONTH(E36))-(YEAR(D36)*12+MONTH(D36))+1)))</f>
        <v/>
      </c>
      <c r="AE38" s="336">
        <f>G38/F38</f>
        <v/>
      </c>
      <c r="AF38" s="711">
        <f>F38-G38</f>
        <v/>
      </c>
      <c r="AG38" s="337">
        <f>AG36</f>
        <v/>
      </c>
      <c r="AH38" s="335">
        <f>AC38/AG36</f>
        <v/>
      </c>
      <c r="AI38" s="718">
        <f>AG36-AC38</f>
        <v/>
      </c>
      <c r="AJ38" s="713" t="inlineStr"/>
      <c r="AK38" s="713" t="inlineStr"/>
      <c r="AL38" s="713" t="inlineStr"/>
      <c r="AM38" s="713" t="inlineStr"/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4433.898556</v>
      </c>
      <c r="H39" s="703" t="n">
        <v>564.94934</v>
      </c>
      <c r="I39" s="703" t="n">
        <v>0</v>
      </c>
      <c r="J39" s="703" t="n">
        <v>0</v>
      </c>
      <c r="K39" s="703">
        <f>SUM(H39:J39)</f>
        <v/>
      </c>
      <c r="L39" s="703" t="n">
        <v>0</v>
      </c>
      <c r="M39" s="703" t="n">
        <v>3092.4036</v>
      </c>
      <c r="N39" s="703" t="n">
        <v>1.356844</v>
      </c>
      <c r="O39" s="703">
        <f>SUM(L39:N39)</f>
        <v/>
      </c>
      <c r="P39" s="703" t="n">
        <v>178.04748</v>
      </c>
      <c r="Q39" s="703" t="n">
        <v>0</v>
      </c>
      <c r="R39" s="703" t="n">
        <v>32.11807</v>
      </c>
      <c r="S39" s="703">
        <f>SUM(P39:R39)</f>
        <v/>
      </c>
      <c r="T39" s="703" t="n">
        <v>47.229437</v>
      </c>
      <c r="U39" s="703" t="n">
        <v>0</v>
      </c>
      <c r="V39" s="703" t="n">
        <v>24.120644</v>
      </c>
      <c r="W39" s="703">
        <f>SUM(T39:V39)</f>
        <v/>
      </c>
      <c r="X39" s="703" t="n">
        <v>524.574731</v>
      </c>
      <c r="Y39" s="703" t="n">
        <v>0</v>
      </c>
      <c r="Z39" s="703" t="n">
        <v>1.216481</v>
      </c>
      <c r="AA39" s="703">
        <f>SUM(X39:Z39)</f>
        <v/>
      </c>
      <c r="AB39" s="703" t="n">
        <v>0</v>
      </c>
      <c r="AC39" s="318">
        <f>SUM(K39+O39+S39+W39+AA39+AB39)</f>
        <v/>
      </c>
      <c r="AD39" s="319">
        <f>IF(F39=0,"",K39/(F39/((YEAR(E39)*12+MONTH(E39))-(YEAR(D39)*12+MONTH(D39))+1)))</f>
        <v/>
      </c>
      <c r="AE39" s="319">
        <f>G39/F39</f>
        <v/>
      </c>
      <c r="AF39" s="704">
        <f>F39-G39</f>
        <v/>
      </c>
      <c r="AG39" s="321">
        <f>SUM(F39:F40)</f>
        <v/>
      </c>
      <c r="AH39" s="322">
        <f>AH41</f>
        <v/>
      </c>
      <c r="AI39" s="717">
        <f>AI41</f>
        <v/>
      </c>
      <c r="AJ39" s="706" t="inlineStr"/>
      <c r="AK39" s="706" t="inlineStr"/>
      <c r="AL39" s="706" t="inlineStr"/>
      <c r="AM39" s="706" t="inlineStr"/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29993.902696</v>
      </c>
      <c r="H40" s="707" t="n">
        <v>3874.376797</v>
      </c>
      <c r="I40" s="707" t="n">
        <v>0</v>
      </c>
      <c r="J40" s="707" t="n">
        <v>0</v>
      </c>
      <c r="K40" s="707">
        <f>SUM(H40:J40)</f>
        <v/>
      </c>
      <c r="L40" s="707" t="n">
        <v>5263.972173</v>
      </c>
      <c r="M40" s="707" t="n">
        <v>1110.4548</v>
      </c>
      <c r="N40" s="707" t="n">
        <v>213.797407</v>
      </c>
      <c r="O40" s="707">
        <f>SUM(L40:N40)</f>
        <v/>
      </c>
      <c r="P40" s="707" t="n">
        <v>3533.62581</v>
      </c>
      <c r="Q40" s="707" t="n">
        <v>2435.06874</v>
      </c>
      <c r="R40" s="707" t="n">
        <v>188.462147</v>
      </c>
      <c r="S40" s="707">
        <f>SUM(P40:R40)</f>
        <v/>
      </c>
      <c r="T40" s="707" t="n">
        <v>9546.464904</v>
      </c>
      <c r="U40" s="707" t="n">
        <v>0</v>
      </c>
      <c r="V40" s="707" t="n">
        <v>401.214551</v>
      </c>
      <c r="W40" s="707">
        <f>SUM(T40:V40)</f>
        <v/>
      </c>
      <c r="X40" s="707" t="n">
        <v>1081.878995</v>
      </c>
      <c r="Y40" s="707" t="n">
        <v>523.50012</v>
      </c>
      <c r="Z40" s="707" t="n">
        <v>135.589522</v>
      </c>
      <c r="AA40" s="707">
        <f>SUM(X40:Z40)</f>
        <v/>
      </c>
      <c r="AB40" s="707" t="n">
        <v>1873.958877</v>
      </c>
      <c r="AC40" s="271">
        <f>SUM(K40+O40+S40+W40+AA40+AB40)</f>
        <v/>
      </c>
      <c r="AD40" s="326">
        <f>IF(F40=0,"",K40/(F40/((YEAR(E40)*12+MONTH(E40))-(YEAR(D40)*12+MONTH(D40))+1)))</f>
        <v/>
      </c>
      <c r="AE40" s="326">
        <f>G40/F40</f>
        <v/>
      </c>
      <c r="AF40" s="708">
        <f>F40-G40</f>
        <v/>
      </c>
      <c r="AG40" s="513" t="n"/>
      <c r="AH40" s="513" t="n"/>
      <c r="AI40" s="513" t="n"/>
      <c r="AJ40" s="706" t="inlineStr"/>
      <c r="AK40" s="706" t="inlineStr"/>
      <c r="AL40" s="706" t="inlineStr"/>
      <c r="AM40" s="706" t="inlineStr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1">
        <f>SUM(K41+O41+S41+W41+AA41+AB41)</f>
        <v/>
      </c>
      <c r="AD41" s="335">
        <f>IF(F41=0,"",K41/(F41/((YEAR(E39)*12+MONTH(E39))-(YEAR(D39)*12+MONTH(D39))+1)))</f>
        <v/>
      </c>
      <c r="AE41" s="336">
        <f>G41/F41</f>
        <v/>
      </c>
      <c r="AF41" s="711">
        <f>F41-G41</f>
        <v/>
      </c>
      <c r="AG41" s="337">
        <f>AG39</f>
        <v/>
      </c>
      <c r="AH41" s="335">
        <f>AC41/AG39</f>
        <v/>
      </c>
      <c r="AI41" s="718">
        <f>AG39-AC41</f>
        <v/>
      </c>
      <c r="AJ41" s="713" t="inlineStr"/>
      <c r="AK41" s="713" t="inlineStr"/>
      <c r="AL41" s="713" t="inlineStr"/>
      <c r="AM41" s="713" t="inlineStr"/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17354.789071</v>
      </c>
      <c r="H42" s="703" t="n">
        <v>1334.561202</v>
      </c>
      <c r="I42" s="703" t="n">
        <v>0</v>
      </c>
      <c r="J42" s="703" t="n">
        <v>0</v>
      </c>
      <c r="K42" s="703">
        <f>SUM(H42:J42)</f>
        <v/>
      </c>
      <c r="L42" s="703" t="n">
        <v>3248.580913</v>
      </c>
      <c r="M42" s="703" t="n">
        <v>241.63794</v>
      </c>
      <c r="N42" s="703" t="n">
        <v>423.133041</v>
      </c>
      <c r="O42" s="703">
        <f>SUM(L42:N42)</f>
        <v/>
      </c>
      <c r="P42" s="703" t="n">
        <v>1492.14231</v>
      </c>
      <c r="Q42" s="703" t="n">
        <v>0</v>
      </c>
      <c r="R42" s="703" t="n">
        <v>381.121236</v>
      </c>
      <c r="S42" s="703">
        <f>SUM(P42:R42)</f>
        <v/>
      </c>
      <c r="T42" s="703" t="n">
        <v>2747.788321</v>
      </c>
      <c r="U42" s="703" t="n">
        <v>0</v>
      </c>
      <c r="V42" s="703" t="n">
        <v>613.27548</v>
      </c>
      <c r="W42" s="703">
        <f>SUM(T42:V42)</f>
        <v/>
      </c>
      <c r="X42" s="703" t="n">
        <v>1566.390968</v>
      </c>
      <c r="Y42" s="703" t="n">
        <v>1037.679365</v>
      </c>
      <c r="Z42" s="703" t="n">
        <v>313.732955</v>
      </c>
      <c r="AA42" s="703">
        <f>SUM(X42:Z42)</f>
        <v/>
      </c>
      <c r="AB42" s="703" t="n">
        <v>4335.866577</v>
      </c>
      <c r="AC42" s="318">
        <f>SUM(K42+O42+S42+W42+AA42+AB42)</f>
        <v/>
      </c>
      <c r="AD42" s="319">
        <f>IF(F42=0,"",K42/(F42/((YEAR(E42)*12+MONTH(E42))-(YEAR(D42)*12+MONTH(D42))+1)))</f>
        <v/>
      </c>
      <c r="AE42" s="319">
        <f>G42/F42</f>
        <v/>
      </c>
      <c r="AF42" s="704">
        <f>F42-G42</f>
        <v/>
      </c>
      <c r="AG42" s="321">
        <f>SUM(F42:F46)</f>
        <v/>
      </c>
      <c r="AH42" s="322">
        <f>AH47</f>
        <v/>
      </c>
      <c r="AI42" s="717">
        <f>AI47</f>
        <v/>
      </c>
      <c r="AJ42" s="706" t="inlineStr"/>
      <c r="AK42" s="706" t="inlineStr"/>
      <c r="AL42" s="706" t="inlineStr"/>
      <c r="AM42" s="706" t="inlineStr"/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13740.62964</v>
      </c>
      <c r="H43" s="707" t="n">
        <v>475.364822</v>
      </c>
      <c r="I43" s="707" t="n">
        <v>0</v>
      </c>
      <c r="J43" s="707" t="n">
        <v>0</v>
      </c>
      <c r="K43" s="707">
        <f>SUM(H43:J43)</f>
        <v/>
      </c>
      <c r="L43" s="707" t="n">
        <v>2575.907016</v>
      </c>
      <c r="M43" s="707" t="n">
        <v>2029.71366</v>
      </c>
      <c r="N43" s="707" t="n">
        <v>1483.741412</v>
      </c>
      <c r="O43" s="707">
        <f>SUM(L43:N43)</f>
        <v/>
      </c>
      <c r="P43" s="707" t="n">
        <v>567.268131</v>
      </c>
      <c r="Q43" s="707" t="n">
        <v>0</v>
      </c>
      <c r="R43" s="707" t="n">
        <v>1668.680328</v>
      </c>
      <c r="S43" s="707">
        <f>SUM(P43:R43)</f>
        <v/>
      </c>
      <c r="T43" s="707" t="n">
        <v>1550.383391</v>
      </c>
      <c r="U43" s="707" t="n">
        <v>0</v>
      </c>
      <c r="V43" s="707" t="n">
        <v>2273.498356</v>
      </c>
      <c r="W43" s="707">
        <f>SUM(T43:V43)</f>
        <v/>
      </c>
      <c r="X43" s="707" t="n">
        <v>1396.194268</v>
      </c>
      <c r="Y43" s="707" t="n">
        <v>0</v>
      </c>
      <c r="Z43" s="707" t="n">
        <v>1388.558583</v>
      </c>
      <c r="AA43" s="707">
        <f>SUM(X43:Z43)</f>
        <v/>
      </c>
      <c r="AB43" s="707" t="n">
        <v>7202.586607</v>
      </c>
      <c r="AC43" s="271">
        <f>SUM(K43+O43+S43+W43+AA43+AB43)</f>
        <v/>
      </c>
      <c r="AD43" s="326">
        <f>IF(F43=0,"",K43/(F43/((YEAR(E43)*12+MONTH(E43))-(YEAR(D43)*12+MONTH(D43))+1)))</f>
        <v/>
      </c>
      <c r="AE43" s="326">
        <f>G43/F43</f>
        <v/>
      </c>
      <c r="AF43" s="708">
        <f>F43-G43</f>
        <v/>
      </c>
      <c r="AG43" s="500" t="n"/>
      <c r="AH43" s="500" t="n"/>
      <c r="AI43" s="500" t="n"/>
      <c r="AJ43" s="706" t="inlineStr"/>
      <c r="AK43" s="706" t="inlineStr"/>
      <c r="AL43" s="706" t="inlineStr"/>
      <c r="AM43" s="706" t="inlineStr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506.403343</v>
      </c>
      <c r="H44" s="707" t="n">
        <v>0</v>
      </c>
      <c r="I44" s="707" t="n">
        <v>64.736256</v>
      </c>
      <c r="J44" s="707" t="n">
        <v>0</v>
      </c>
      <c r="K44" s="707">
        <f>SUM(H44:J44)</f>
        <v/>
      </c>
      <c r="L44" s="707" t="n">
        <v>0</v>
      </c>
      <c r="M44" s="707" t="n">
        <v>0</v>
      </c>
      <c r="N44" s="707" t="n">
        <v>20.217377</v>
      </c>
      <c r="O44" s="707">
        <f>SUM(L44:N44)</f>
        <v/>
      </c>
      <c r="P44" s="707" t="n">
        <v>410.9235</v>
      </c>
      <c r="Q44" s="707" t="n">
        <v>0</v>
      </c>
      <c r="R44" s="707" t="n">
        <v>4.340061</v>
      </c>
      <c r="S44" s="707">
        <f>SUM(P44:R44)</f>
        <v/>
      </c>
      <c r="T44" s="707" t="n">
        <v>0</v>
      </c>
      <c r="U44" s="707" t="n">
        <v>0</v>
      </c>
      <c r="V44" s="707" t="n">
        <v>5.058234</v>
      </c>
      <c r="W44" s="707">
        <f>SUM(T44:V44)</f>
        <v/>
      </c>
      <c r="X44" s="707" t="n">
        <v>0</v>
      </c>
      <c r="Y44" s="707" t="n">
        <v>0</v>
      </c>
      <c r="Z44" s="707" t="n">
        <v>1.127915</v>
      </c>
      <c r="AA44" s="707">
        <f>SUM(X44:Z44)</f>
        <v/>
      </c>
      <c r="AB44" s="707" t="n">
        <v>0</v>
      </c>
      <c r="AC44" s="271">
        <f>SUM(K44+O44+S44+W44+AA44+AB44)</f>
        <v/>
      </c>
      <c r="AD44" s="326">
        <f>IF(F44=0,"",K44/(F44/((YEAR(E44)*12+MONTH(E44))-(YEAR(D44)*12+MONTH(D44))+1)))</f>
        <v/>
      </c>
      <c r="AE44" s="326">
        <f>G44/F44</f>
        <v/>
      </c>
      <c r="AF44" s="708">
        <f>F44-G44</f>
        <v/>
      </c>
      <c r="AG44" s="500" t="n"/>
      <c r="AH44" s="500" t="n"/>
      <c r="AI44" s="500" t="n"/>
      <c r="AJ44" s="706" t="inlineStr"/>
      <c r="AK44" s="706" t="inlineStr"/>
      <c r="AL44" s="706" t="inlineStr"/>
      <c r="AM44" s="706" t="inlineStr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248.1336</v>
      </c>
      <c r="I45" s="707" t="n">
        <v>0</v>
      </c>
      <c r="J45" s="707" t="n">
        <v>0</v>
      </c>
      <c r="K45" s="707">
        <f>SUM(H45:J45)</f>
        <v/>
      </c>
      <c r="L45" s="707" t="n">
        <v>2310.349392</v>
      </c>
      <c r="M45" s="707" t="n">
        <v>0</v>
      </c>
      <c r="N45" s="707" t="n">
        <v>582.016803</v>
      </c>
      <c r="O45" s="707">
        <f>SUM(L45:N45)</f>
        <v/>
      </c>
      <c r="P45" s="707" t="n">
        <v>753.431552</v>
      </c>
      <c r="Q45" s="707" t="n">
        <v>0</v>
      </c>
      <c r="R45" s="707" t="n">
        <v>581.619744</v>
      </c>
      <c r="S45" s="707">
        <f>SUM(P45:R45)</f>
        <v/>
      </c>
      <c r="T45" s="707" t="n">
        <v>1958.298381</v>
      </c>
      <c r="U45" s="707" t="n">
        <v>0</v>
      </c>
      <c r="V45" s="707" t="n">
        <v>662.594343</v>
      </c>
      <c r="W45" s="707">
        <f>SUM(T45:V45)</f>
        <v/>
      </c>
      <c r="X45" s="707" t="n">
        <v>2837.047697</v>
      </c>
      <c r="Y45" s="707" t="n">
        <v>0</v>
      </c>
      <c r="Z45" s="707" t="n">
        <v>463.983498</v>
      </c>
      <c r="AA45" s="707">
        <f>SUM(X45:Z45)</f>
        <v/>
      </c>
      <c r="AB45" s="707" t="n">
        <v>2545.018293</v>
      </c>
      <c r="AC45" s="271">
        <f>SUM(K45+O45+S45+W45+AA45+AB45)</f>
        <v/>
      </c>
      <c r="AD45" s="326">
        <f>IF(F45=0,"",K45/(F45/MAX(1,(YEAR(E45)*12+MONTH(E45))-(YEAR(D45)*12+MONTH(D45))+1)))</f>
        <v/>
      </c>
      <c r="AE45" s="326">
        <f>G45/F45</f>
        <v/>
      </c>
      <c r="AF45" s="708">
        <f>F45-G45</f>
        <v/>
      </c>
      <c r="AG45" s="500" t="n"/>
      <c r="AH45" s="500" t="n"/>
      <c r="AI45" s="500" t="n"/>
      <c r="AJ45" s="706" t="inlineStr"/>
      <c r="AK45" s="706" t="inlineStr"/>
      <c r="AL45" s="706" t="inlineStr"/>
      <c r="AM45" s="706" t="inlineStr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25824.720257</v>
      </c>
      <c r="H46" s="707" t="n">
        <v>2478.629345</v>
      </c>
      <c r="I46" s="707" t="n">
        <v>0</v>
      </c>
      <c r="J46" s="707" t="n">
        <v>0</v>
      </c>
      <c r="K46" s="707">
        <f>SUM(H46:J46)</f>
        <v/>
      </c>
      <c r="L46" s="707" t="n">
        <v>5097.989714</v>
      </c>
      <c r="M46" s="707" t="n">
        <v>0</v>
      </c>
      <c r="N46" s="707" t="n">
        <v>856.473493</v>
      </c>
      <c r="O46" s="707">
        <f>SUM(L46:N46)</f>
        <v/>
      </c>
      <c r="P46" s="707" t="n">
        <v>937.141286</v>
      </c>
      <c r="Q46" s="707" t="n">
        <v>0</v>
      </c>
      <c r="R46" s="707" t="n">
        <v>1775.786688</v>
      </c>
      <c r="S46" s="707">
        <f>SUM(P46:R46)</f>
        <v/>
      </c>
      <c r="T46" s="707" t="n">
        <v>3160.387028</v>
      </c>
      <c r="U46" s="707" t="n">
        <v>0</v>
      </c>
      <c r="V46" s="707" t="n">
        <v>3880.484178</v>
      </c>
      <c r="W46" s="707">
        <f>SUM(T46:V46)</f>
        <v/>
      </c>
      <c r="X46" s="707" t="n">
        <v>3065.24731</v>
      </c>
      <c r="Y46" s="707" t="n">
        <v>0</v>
      </c>
      <c r="Z46" s="707" t="n">
        <v>1466.609142</v>
      </c>
      <c r="AA46" s="707">
        <f>SUM(X46:Z46)</f>
        <v/>
      </c>
      <c r="AB46" s="707" t="n">
        <v>4881.758761</v>
      </c>
      <c r="AC46" s="271">
        <f>SUM(K46+O46+S46+W46+AA46+AB46)</f>
        <v/>
      </c>
      <c r="AD46" s="326">
        <f>IF(F46=0,"",K46/(F46/((YEAR(E46)*12+MONTH(E46))-(YEAR(D46)*12+MONTH(D46))+1)))</f>
        <v/>
      </c>
      <c r="AE46" s="326">
        <f>G46/F46</f>
        <v/>
      </c>
      <c r="AF46" s="708">
        <f>F46-G46</f>
        <v/>
      </c>
      <c r="AG46" s="513" t="n"/>
      <c r="AH46" s="513" t="n"/>
      <c r="AI46" s="513" t="n"/>
      <c r="AJ46" s="706" t="inlineStr"/>
      <c r="AK46" s="706" t="inlineStr"/>
      <c r="AL46" s="706" t="inlineStr"/>
      <c r="AM46" s="706" t="inlineStr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SUM(K47+O47+S47+W47+AA47+AB47)</f>
        <v/>
      </c>
      <c r="AD47" s="335">
        <f>IF(F47=0,"",K47/(F47/((YEAR(E42)*12+MONTH(E42))-(YEAR(D42)*12+MONTH(D42))+1)))</f>
        <v/>
      </c>
      <c r="AE47" s="336">
        <f>G47/F47</f>
        <v/>
      </c>
      <c r="AF47" s="710">
        <f>F47-G47</f>
        <v/>
      </c>
      <c r="AG47" s="337">
        <f>AG42</f>
        <v/>
      </c>
      <c r="AH47" s="335">
        <f>AC47/AG42</f>
        <v/>
      </c>
      <c r="AI47" s="712">
        <f>AG42-AC47</f>
        <v/>
      </c>
      <c r="AJ47" s="713" t="inlineStr"/>
      <c r="AK47" s="713" t="inlineStr"/>
      <c r="AL47" s="713" t="inlineStr"/>
      <c r="AM47" s="713" t="inlineStr"/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</row>
    <row r="48" ht="14.25" customFormat="1" customHeight="1" s="483">
      <c r="A48" s="703" t="inlineStr">
        <is>
          <t>其他团队</t>
        </is>
      </c>
      <c r="B48" s="703" t="inlineStr">
        <is>
          <t>理财师033</t>
        </is>
      </c>
      <c r="C48" s="703" t="inlineStr"/>
      <c r="D48" s="693" t="inlineStr"/>
      <c r="E48" s="693" t="inlineStr"/>
      <c r="F48" s="703" t="n">
        <v>0</v>
      </c>
      <c r="G48" s="703" t="n">
        <v>1844.2008</v>
      </c>
      <c r="H48" s="703" t="n">
        <v>0</v>
      </c>
      <c r="I48" s="703" t="n">
        <v>0</v>
      </c>
      <c r="J48" s="703" t="n">
        <v>0</v>
      </c>
      <c r="K48" s="703">
        <f>SUM(H48:J48)</f>
        <v/>
      </c>
      <c r="L48" s="703" t="n">
        <v>0</v>
      </c>
      <c r="M48" s="703" t="n">
        <v>1844.2008</v>
      </c>
      <c r="N48" s="703" t="n">
        <v>0</v>
      </c>
      <c r="O48" s="703">
        <f>SUM(L48:N48)</f>
        <v/>
      </c>
      <c r="P48" s="703" t="n">
        <v>0</v>
      </c>
      <c r="Q48" s="703" t="n">
        <v>0</v>
      </c>
      <c r="R48" s="703" t="n">
        <v>0</v>
      </c>
      <c r="S48" s="703">
        <f>SUM(P48:R48)</f>
        <v/>
      </c>
      <c r="T48" s="703" t="n">
        <v>0</v>
      </c>
      <c r="U48" s="703" t="n">
        <v>0</v>
      </c>
      <c r="V48" s="703" t="n">
        <v>0</v>
      </c>
      <c r="W48" s="703">
        <f>SUM(T48:V48)</f>
        <v/>
      </c>
      <c r="X48" s="703" t="n">
        <v>0</v>
      </c>
      <c r="Y48" s="703" t="n">
        <v>0</v>
      </c>
      <c r="Z48" s="703" t="n">
        <v>0</v>
      </c>
      <c r="AA48" s="703">
        <f>SUM(X48:Z48)</f>
        <v/>
      </c>
      <c r="AB48" s="703" t="n">
        <v>0</v>
      </c>
      <c r="AC48" s="703">
        <f>SUM(K48+O48+S48+W48+AA48+AB48)</f>
        <v/>
      </c>
      <c r="AD48" s="319">
        <f>IF(F48=0,"",K48/(F48/MAX(1,(YEAR(E48)*12+MONTH(E48))-(YEAR(D48)*12+MONTH(D48))+1)))</f>
        <v/>
      </c>
      <c r="AE48" s="319">
        <f>G48/F48</f>
        <v/>
      </c>
      <c r="AF48" s="703">
        <f>F48-G48</f>
        <v/>
      </c>
      <c r="AG48" s="321">
        <f>SUM(F48:F50)</f>
        <v/>
      </c>
      <c r="AH48" s="322">
        <f>AH51</f>
        <v/>
      </c>
      <c r="AI48" s="717">
        <f>AI51</f>
        <v/>
      </c>
      <c r="AJ48" s="706" t="inlineStr"/>
      <c r="AK48" s="706" t="inlineStr"/>
      <c r="AL48" s="706" t="inlineStr"/>
      <c r="AM48" s="706" t="inlineStr"/>
      <c r="AN48" s="706" t="inlineStr"/>
      <c r="AO48" s="706" t="inlineStr"/>
      <c r="AP48" s="706" t="inlineStr"/>
      <c r="AQ48" s="706" t="inlineStr"/>
      <c r="AR48" s="706" t="inlineStr"/>
      <c r="AS48" s="706" t="inlineStr"/>
      <c r="AT48" s="706" t="inlineStr"/>
      <c r="AU48" s="706" t="inlineStr"/>
      <c r="AV48" s="706" t="inlineStr"/>
      <c r="AW48" s="706" t="inlineStr"/>
      <c r="AX48" s="706" t="inlineStr"/>
      <c r="AY48" s="706" t="inlineStr"/>
      <c r="AZ48" s="706" t="inlineStr"/>
      <c r="BA48" s="706" t="inlineStr"/>
      <c r="BB48" s="706" t="inlineStr"/>
      <c r="BC48" s="706" t="inlineStr"/>
      <c r="BD48" s="706" t="inlineStr"/>
      <c r="BE48" s="706" t="inlineStr"/>
      <c r="BF48" s="706" t="inlineStr"/>
      <c r="BG48" s="706" t="inlineStr"/>
      <c r="BH48" s="706" t="inlineStr"/>
      <c r="BI48" s="706" t="inlineStr"/>
    </row>
    <row r="49" ht="14.25" customFormat="1" customHeight="1" s="483">
      <c r="A49" s="500" t="n"/>
      <c r="B49" s="707" t="inlineStr">
        <is>
          <t>理财师037</t>
        </is>
      </c>
      <c r="C49" s="707" t="inlineStr"/>
      <c r="D49" s="707" t="inlineStr"/>
      <c r="E49" s="707" t="inlineStr"/>
      <c r="F49" s="707" t="n">
        <v>0</v>
      </c>
      <c r="G49" s="707" t="n">
        <v>0</v>
      </c>
      <c r="H49" s="707" t="n">
        <v>0</v>
      </c>
      <c r="I49" s="707" t="n">
        <v>0</v>
      </c>
      <c r="J49" s="707" t="n">
        <v>0</v>
      </c>
      <c r="K49" s="707">
        <f>SUM(H49:J49)</f>
        <v/>
      </c>
      <c r="L49" s="707" t="n">
        <v>0</v>
      </c>
      <c r="M49" s="707" t="n">
        <v>0</v>
      </c>
      <c r="N49" s="707" t="n">
        <v>0</v>
      </c>
      <c r="O49" s="707">
        <f>SUM(L49:N49)</f>
        <v/>
      </c>
      <c r="P49" s="707" t="n">
        <v>0</v>
      </c>
      <c r="Q49" s="707" t="n">
        <v>0</v>
      </c>
      <c r="R49" s="707" t="n">
        <v>0</v>
      </c>
      <c r="S49" s="707">
        <f>SUM(P49:R49)</f>
        <v/>
      </c>
      <c r="T49" s="707" t="n">
        <v>0</v>
      </c>
      <c r="U49" s="707" t="n">
        <v>0</v>
      </c>
      <c r="V49" s="707" t="n">
        <v>0</v>
      </c>
      <c r="W49" s="707">
        <f>SUM(T49:V49)</f>
        <v/>
      </c>
      <c r="X49" s="707" t="n">
        <v>0</v>
      </c>
      <c r="Y49" s="707" t="n">
        <v>0</v>
      </c>
      <c r="Z49" s="707" t="n">
        <v>0</v>
      </c>
      <c r="AA49" s="707">
        <f>SUM(X49:Z49)</f>
        <v/>
      </c>
      <c r="AB49" s="707" t="n">
        <v>0</v>
      </c>
      <c r="AC49" s="707">
        <f>SUM(K49+O49+S49+W49+AA49+AB49)</f>
        <v/>
      </c>
      <c r="AD49" s="326">
        <f>IF(F49=0,"",K49/(F49/MAX(1,(YEAR(E49)*12+MONTH(E49))-(YEAR(D49)*12+MONTH(D49))+1)))</f>
        <v/>
      </c>
      <c r="AE49" s="326">
        <f>G49/F49</f>
        <v/>
      </c>
      <c r="AF49" s="707">
        <f>F49-G49</f>
        <v/>
      </c>
      <c r="AG49" s="500" t="n"/>
      <c r="AH49" s="500" t="n"/>
      <c r="AI49" s="500" t="n"/>
      <c r="AJ49" s="706" t="inlineStr"/>
      <c r="AK49" s="706" t="inlineStr"/>
      <c r="AL49" s="706" t="inlineStr"/>
      <c r="AM49" s="706" t="inlineStr"/>
      <c r="AN49" s="706" t="inlineStr"/>
      <c r="AO49" s="706" t="inlineStr"/>
      <c r="AP49" s="706" t="inlineStr"/>
      <c r="AQ49" s="706" t="inlineStr"/>
      <c r="AR49" s="706" t="inlineStr"/>
      <c r="AS49" s="706" t="inlineStr"/>
      <c r="AT49" s="706" t="inlineStr"/>
      <c r="AU49" s="706" t="inlineStr"/>
      <c r="AV49" s="706" t="inlineStr"/>
      <c r="AW49" s="706" t="inlineStr"/>
      <c r="AX49" s="706" t="inlineStr"/>
      <c r="AY49" s="706" t="inlineStr"/>
      <c r="AZ49" s="706" t="inlineStr"/>
      <c r="BA49" s="706" t="inlineStr"/>
      <c r="BB49" s="706" t="inlineStr"/>
      <c r="BC49" s="706" t="inlineStr"/>
      <c r="BD49" s="706" t="inlineStr"/>
      <c r="BE49" s="706" t="inlineStr"/>
      <c r="BF49" s="706" t="inlineStr"/>
      <c r="BG49" s="706" t="inlineStr"/>
      <c r="BH49" s="706" t="inlineStr"/>
      <c r="BI49" s="706" t="inlineStr"/>
    </row>
    <row r="50" ht="35.1" customFormat="1" customHeight="1" s="483">
      <c r="A50" s="513" t="n"/>
      <c r="B50" s="707" t="inlineStr">
        <is>
          <t>理财师036</t>
        </is>
      </c>
      <c r="C50" s="707" t="inlineStr"/>
      <c r="D50" s="707" t="inlineStr"/>
      <c r="E50" s="707" t="inlineStr"/>
      <c r="F50" s="707" t="n">
        <v>0</v>
      </c>
      <c r="G50" s="707" t="n">
        <v>824.728839</v>
      </c>
      <c r="H50" s="707" t="n">
        <v>0</v>
      </c>
      <c r="I50" s="707" t="n">
        <v>0</v>
      </c>
      <c r="J50" s="707" t="n">
        <v>0</v>
      </c>
      <c r="K50" s="707">
        <f>SUM(H50:J50)</f>
        <v/>
      </c>
      <c r="L50" s="707" t="n">
        <v>0</v>
      </c>
      <c r="M50" s="707" t="n">
        <v>0</v>
      </c>
      <c r="N50" s="707" t="n">
        <v>17.966443</v>
      </c>
      <c r="O50" s="707">
        <f>SUM(L50:N50)</f>
        <v/>
      </c>
      <c r="P50" s="707" t="n">
        <v>0</v>
      </c>
      <c r="Q50" s="707" t="n">
        <v>0</v>
      </c>
      <c r="R50" s="707" t="n">
        <v>17.297678</v>
      </c>
      <c r="S50" s="707">
        <f>SUM(P50:R50)</f>
        <v/>
      </c>
      <c r="T50" s="707" t="n">
        <v>0</v>
      </c>
      <c r="U50" s="707" t="n">
        <v>0</v>
      </c>
      <c r="V50" s="707" t="n">
        <v>18.131765</v>
      </c>
      <c r="W50" s="707">
        <f>SUM(T50:V50)</f>
        <v/>
      </c>
      <c r="X50" s="707" t="n">
        <v>0</v>
      </c>
      <c r="Y50" s="707" t="n">
        <v>0</v>
      </c>
      <c r="Z50" s="707" t="n">
        <v>15.942032</v>
      </c>
      <c r="AA50" s="707">
        <f>SUM(X50:Z50)</f>
        <v/>
      </c>
      <c r="AB50" s="707" t="n">
        <v>236.299733</v>
      </c>
      <c r="AC50" s="707">
        <f>SUM(K50+O50+S50+W50+AA50+AB50)</f>
        <v/>
      </c>
      <c r="AD50" s="326">
        <f>IF(F50=0,"",K50/(F50/MAX(1,(YEAR(E50)*12+MONTH(E50))-(YEAR(D50)*12+MONTH(D50))+1)))</f>
        <v/>
      </c>
      <c r="AE50" s="326">
        <f>G50/F50</f>
        <v/>
      </c>
      <c r="AF50" s="707">
        <f>F50-G50</f>
        <v/>
      </c>
      <c r="AG50" s="513" t="n"/>
      <c r="AH50" s="513" t="n"/>
      <c r="AI50" s="513" t="n"/>
      <c r="AJ50" s="706" t="inlineStr"/>
      <c r="AK50" s="706" t="inlineStr"/>
      <c r="AL50" s="706" t="inlineStr"/>
      <c r="AM50" s="706" t="inlineStr"/>
      <c r="AN50" s="706" t="inlineStr"/>
      <c r="AO50" s="706" t="inlineStr"/>
      <c r="AP50" s="706" t="inlineStr"/>
      <c r="AQ50" s="706" t="inlineStr"/>
      <c r="AR50" s="706" t="inlineStr"/>
      <c r="AS50" s="706" t="inlineStr"/>
      <c r="AT50" s="706" t="inlineStr"/>
      <c r="AU50" s="706" t="inlineStr"/>
      <c r="AV50" s="706" t="inlineStr"/>
      <c r="AW50" s="706" t="inlineStr"/>
      <c r="AX50" s="706" t="inlineStr"/>
      <c r="AY50" s="706" t="inlineStr"/>
      <c r="AZ50" s="706" t="inlineStr"/>
      <c r="BA50" s="706" t="inlineStr"/>
      <c r="BB50" s="706" t="inlineStr"/>
      <c r="BC50" s="706" t="inlineStr"/>
      <c r="BD50" s="706" t="inlineStr"/>
      <c r="BE50" s="706" t="inlineStr"/>
      <c r="BF50" s="706" t="inlineStr"/>
      <c r="BG50" s="706" t="inlineStr"/>
      <c r="BH50" s="706" t="inlineStr"/>
      <c r="BI50" s="706" t="inlineStr"/>
    </row>
    <row r="51" ht="24" customFormat="1" customHeight="1" s="483">
      <c r="A51" s="710" t="inlineStr">
        <is>
          <t>合计</t>
        </is>
      </c>
      <c r="B51" s="518" t="n"/>
      <c r="C51" s="518" t="n"/>
      <c r="D51" s="518" t="n"/>
      <c r="E51" s="578" t="n"/>
      <c r="F51" s="333">
        <f>SUM(F48:F50)</f>
        <v/>
      </c>
      <c r="G51" s="710">
        <f>SUM(G48:G50)</f>
        <v/>
      </c>
      <c r="H51" s="710">
        <f>SUM(H48:H50)</f>
        <v/>
      </c>
      <c r="I51" s="710">
        <f>SUM(I48:I50)</f>
        <v/>
      </c>
      <c r="J51" s="710">
        <f>SUM(J48:J50)</f>
        <v/>
      </c>
      <c r="K51" s="710">
        <f>SUM(K48:K50)</f>
        <v/>
      </c>
      <c r="L51" s="710">
        <f>SUM(L48:L50)</f>
        <v/>
      </c>
      <c r="M51" s="710">
        <f>SUM(M48:M50)</f>
        <v/>
      </c>
      <c r="N51" s="710">
        <f>SUM(N48:N50)</f>
        <v/>
      </c>
      <c r="O51" s="710">
        <f>SUM(O48:O50)</f>
        <v/>
      </c>
      <c r="P51" s="710">
        <f>SUM(P48:P50)</f>
        <v/>
      </c>
      <c r="Q51" s="710">
        <f>SUM(Q48:Q50)</f>
        <v/>
      </c>
      <c r="R51" s="710">
        <f>SUM(R48:R50)</f>
        <v/>
      </c>
      <c r="S51" s="710">
        <f>SUM(S48:S50)</f>
        <v/>
      </c>
      <c r="T51" s="710">
        <f>SUM(T48:T50)</f>
        <v/>
      </c>
      <c r="U51" s="710">
        <f>SUM(U48:U50)</f>
        <v/>
      </c>
      <c r="V51" s="710">
        <f>SUM(V48:V50)</f>
        <v/>
      </c>
      <c r="W51" s="710">
        <f>SUM(W48:W50)</f>
        <v/>
      </c>
      <c r="X51" s="710">
        <f>SUM(X48:X50)</f>
        <v/>
      </c>
      <c r="Y51" s="710">
        <f>SUM(Y48:Y50)</f>
        <v/>
      </c>
      <c r="Z51" s="710">
        <f>SUM(Z48:Z50)</f>
        <v/>
      </c>
      <c r="AA51" s="710">
        <f>SUM(AA48:AA50)</f>
        <v/>
      </c>
      <c r="AB51" s="710">
        <f>SUM(AB48:AB50)</f>
        <v/>
      </c>
      <c r="AC51" s="710">
        <f>SUM(K51+O51+S51+W51+AA51+AB51)</f>
        <v/>
      </c>
      <c r="AD51" s="335">
        <f>IF(F51=0,"",K51/(F51/((YEAR(E48)*12+MONTH(E48))-(YEAR(D48)*12+MONTH(D48))+1)))</f>
        <v/>
      </c>
      <c r="AE51" s="336">
        <f>G51/F51</f>
        <v/>
      </c>
      <c r="AF51" s="710">
        <f>F51-G51</f>
        <v/>
      </c>
      <c r="AG51" s="337">
        <f>AG48</f>
        <v/>
      </c>
      <c r="AH51" s="335">
        <f>AC51/AG48</f>
        <v/>
      </c>
      <c r="AI51" s="712">
        <f>AG48-AC51</f>
        <v/>
      </c>
      <c r="AJ51" s="713" t="inlineStr"/>
      <c r="AK51" s="713" t="inlineStr"/>
      <c r="AL51" s="713" t="inlineStr"/>
      <c r="AM51" s="713" t="inlineStr"/>
      <c r="AN51" s="713" t="inlineStr"/>
      <c r="AO51" s="713" t="inlineStr"/>
      <c r="AP51" s="713" t="inlineStr"/>
      <c r="AQ51" s="713" t="inlineStr"/>
      <c r="AR51" s="713" t="inlineStr"/>
      <c r="AS51" s="713" t="inlineStr"/>
      <c r="AT51" s="713" t="inlineStr"/>
      <c r="AU51" s="713" t="inlineStr"/>
      <c r="AV51" s="713" t="inlineStr"/>
      <c r="AW51" s="713" t="inlineStr"/>
      <c r="AX51" s="713" t="inlineStr"/>
      <c r="AY51" s="713" t="inlineStr"/>
      <c r="AZ51" s="713" t="inlineStr"/>
      <c r="BA51" s="713" t="inlineStr"/>
      <c r="BB51" s="713" t="inlineStr"/>
      <c r="BC51" s="713" t="inlineStr"/>
      <c r="BD51" s="713" t="inlineStr"/>
      <c r="BE51" s="713" t="inlineStr"/>
      <c r="BF51" s="713" t="inlineStr"/>
      <c r="BG51" s="713" t="inlineStr"/>
      <c r="BH51" s="713" t="inlineStr"/>
      <c r="BI51" s="713" t="inlineStr"/>
    </row>
    <row r="52" ht="17.55" customFormat="1" customHeight="1" s="483">
      <c r="A52" s="719" t="inlineStr">
        <is>
          <t>合计</t>
        </is>
      </c>
      <c r="B52" s="518" t="n"/>
      <c r="C52" s="518" t="n"/>
      <c r="D52" s="518" t="n"/>
      <c r="E52" s="578" t="n"/>
      <c r="F52" s="720">
        <f>F9+F15+F20+F24+F28+F32+F35+F38+F41+F47+F51</f>
        <v/>
      </c>
      <c r="G52" s="720">
        <f>G9+G15+G20+G24+G28+G32+G35+G38+G41+G47+G51</f>
        <v/>
      </c>
      <c r="H52" s="720">
        <f>H9+H15+H20+H24+H28+H32+H35+H38+H41+H47+H51</f>
        <v/>
      </c>
      <c r="I52" s="720">
        <f>I9+I15+I20+I24+I28+I32+I35+I38+I41+I47+I51</f>
        <v/>
      </c>
      <c r="J52" s="720">
        <f>J9+J15+J20+J24+J28+J32+J35+J38+J41+J47+J51</f>
        <v/>
      </c>
      <c r="K52" s="720">
        <f>K9+K15+K20+K24+K28+K32+K35+K38+K41+K47+K51</f>
        <v/>
      </c>
      <c r="L52" s="720">
        <f>L9+L15+L20+L24+L28+L32+L35+L38+L41+L47+L51</f>
        <v/>
      </c>
      <c r="M52" s="720">
        <f>M9+M15+M20+M24+M28+M32+M35+M38+M41+M47+M51</f>
        <v/>
      </c>
      <c r="N52" s="720">
        <f>N9+N15+N20+N24+N28+N32+N35+N38+N41+N47+N51</f>
        <v/>
      </c>
      <c r="O52" s="720">
        <f>O9+O15+O20+O24+O28+O32+O35+O38+O41+O47+O51</f>
        <v/>
      </c>
      <c r="P52" s="720">
        <f>P9+P15+P20+P24+P28+P32+P35+P38+P41+P47+P51</f>
        <v/>
      </c>
      <c r="Q52" s="720">
        <f>Q9+Q15+Q20+Q24+Q28+Q32+Q35+Q38+Q41+Q47+Q51</f>
        <v/>
      </c>
      <c r="R52" s="720">
        <f>R9+R15+R20+R24+R28+R32+R35+R38+R41+R47+R51</f>
        <v/>
      </c>
      <c r="S52" s="720">
        <f>S9+S15+S20+S24+S28+S32+S35+S38+S41+S47+S51</f>
        <v/>
      </c>
      <c r="T52" s="720">
        <f>T9+T15+T20+T24+T28+T32+T35+T38+T41+T47+T51</f>
        <v/>
      </c>
      <c r="U52" s="720">
        <f>U9+U15+U20+U24+U28+U32+U35+U38+U41+U47+U51</f>
        <v/>
      </c>
      <c r="V52" s="720">
        <f>V9+V15+V20+V24+V28+V32+V35+V38+V41+V47+V51</f>
        <v/>
      </c>
      <c r="W52" s="720">
        <f>W9+W15+W20+W24+W28+W32+W35+W38+W41+W47+W51</f>
        <v/>
      </c>
      <c r="X52" s="720">
        <f>X9+X15+X20+X24+X28+X32+X35+X38+X41+X47+X51</f>
        <v/>
      </c>
      <c r="Y52" s="720">
        <f>Y9+Y15+Y20+Y24+Y28+Y32+Y35+Y38+Y41+Y47+Y51</f>
        <v/>
      </c>
      <c r="Z52" s="720">
        <f>Z9+Z15+Z20+Z24+Z28+Z32+Z35+Z38+Z41+Z47+Z51</f>
        <v/>
      </c>
      <c r="AA52" s="720">
        <f>AA9+AA15+AA20+AA24+AA28+AA32+AA35+AA38+AA41+AA47+AA51</f>
        <v/>
      </c>
      <c r="AB52" s="720">
        <f>AB9+AB15+AB20+AB24+AB28+AB32+AB35+AB38+AB41+AB47+AB51</f>
        <v/>
      </c>
      <c r="AC52" s="726">
        <f>AC9+AC15+AC20+AC24+AC28+AC32+AC35+AC38+AC41+AC47+AC51</f>
        <v/>
      </c>
      <c r="AD52" s="350">
        <f>K52/(F52/((YEAR(E4)*12+MONTH(E4))-(YEAR(D4)*12+MONTH(D4))+1))</f>
        <v/>
      </c>
      <c r="AE52" s="350">
        <f>G52/F52</f>
        <v/>
      </c>
      <c r="AF52" s="720">
        <f>F52-G52</f>
        <v/>
      </c>
      <c r="AG52" s="352">
        <f>AG9+AG15+AG20+AG24+AG28+AG32+AG35+AG38+AG41+AG47+AG51</f>
        <v/>
      </c>
      <c r="AH52" s="353">
        <f>AC52/AG52</f>
        <v/>
      </c>
      <c r="AI52" s="720">
        <f>AG52-AC52</f>
        <v/>
      </c>
      <c r="AJ52" s="723" t="inlineStr"/>
      <c r="AK52" s="723" t="inlineStr"/>
      <c r="AL52" s="723" t="inlineStr"/>
      <c r="AM52" s="723" t="inlineStr"/>
      <c r="AN52" s="723" t="inlineStr"/>
      <c r="AO52" s="723" t="inlineStr"/>
      <c r="AP52" s="723" t="inlineStr"/>
      <c r="AQ52" s="723" t="inlineStr"/>
      <c r="AR52" s="723" t="inlineStr"/>
      <c r="AS52" s="723" t="inlineStr"/>
      <c r="AT52" s="723" t="inlineStr"/>
      <c r="AU52" s="723" t="inlineStr"/>
      <c r="AV52" s="723" t="inlineStr"/>
      <c r="AW52" s="723" t="inlineStr"/>
      <c r="AX52" s="723" t="inlineStr"/>
      <c r="AY52" s="723" t="inlineStr"/>
      <c r="AZ52" s="723" t="inlineStr"/>
      <c r="BA52" s="723" t="inlineStr"/>
      <c r="BB52" s="723" t="inlineStr"/>
      <c r="BC52" s="723" t="inlineStr"/>
      <c r="BD52" s="723" t="inlineStr"/>
      <c r="BE52" s="723" t="inlineStr"/>
      <c r="BF52" s="723" t="inlineStr"/>
      <c r="BG52" s="723" t="inlineStr"/>
      <c r="BH52" s="723" t="inlineStr"/>
      <c r="BI52" s="727" t="inlineStr"/>
    </row>
    <row r="53">
      <c r="AF53" s="633" t="inlineStr">
        <is>
          <t>公司目标</t>
        </is>
      </c>
      <c r="AG53" s="633" t="n">
        <v>930486.542524</v>
      </c>
      <c r="AH53" s="252">
        <f>IF(AG53&lt;&gt;0,AC52/AG53,"")</f>
        <v/>
      </c>
      <c r="AI53" s="663">
        <f>AG53-AC52</f>
        <v/>
      </c>
    </row>
  </sheetData>
  <mergeCells count="92">
    <mergeCell ref="A21:A23"/>
    <mergeCell ref="AI4:AI8"/>
    <mergeCell ref="AH33:AH34"/>
    <mergeCell ref="A4:A8"/>
    <mergeCell ref="A29:A31"/>
    <mergeCell ref="AI21:AI23"/>
    <mergeCell ref="U2:U3"/>
    <mergeCell ref="A2:A3"/>
    <mergeCell ref="C2:C3"/>
    <mergeCell ref="AG16:AG19"/>
    <mergeCell ref="E2:E3"/>
    <mergeCell ref="AI16:AI19"/>
    <mergeCell ref="W2:W3"/>
    <mergeCell ref="AH39:AH40"/>
    <mergeCell ref="AI10:AI14"/>
    <mergeCell ref="AH21:AH23"/>
    <mergeCell ref="A33:A34"/>
    <mergeCell ref="AG25:AG27"/>
    <mergeCell ref="AA2:AA3"/>
    <mergeCell ref="AC2:AC3"/>
    <mergeCell ref="A52:E52"/>
    <mergeCell ref="V2:V3"/>
    <mergeCell ref="X2:X3"/>
    <mergeCell ref="A42:A46"/>
    <mergeCell ref="N2:N3"/>
    <mergeCell ref="F2:F3"/>
    <mergeCell ref="P2:P3"/>
    <mergeCell ref="H2:H3"/>
    <mergeCell ref="AI48:AI50"/>
    <mergeCell ref="AH25:AH27"/>
    <mergeCell ref="AG29:AG31"/>
    <mergeCell ref="AI29:AI31"/>
    <mergeCell ref="AF2:AF3"/>
    <mergeCell ref="K2:K3"/>
    <mergeCell ref="AH2:AH3"/>
    <mergeCell ref="O2:O3"/>
    <mergeCell ref="AG21:AG23"/>
    <mergeCell ref="A32:E32"/>
    <mergeCell ref="Q2:Q3"/>
    <mergeCell ref="AH36:AH37"/>
    <mergeCell ref="AI2:AI3"/>
    <mergeCell ref="AH42:AH46"/>
    <mergeCell ref="A38:E38"/>
    <mergeCell ref="A25:A27"/>
    <mergeCell ref="A39:A40"/>
    <mergeCell ref="AG33:AG34"/>
    <mergeCell ref="AH4:AH8"/>
    <mergeCell ref="AI33:AI34"/>
    <mergeCell ref="AH10:AH14"/>
    <mergeCell ref="S2:S3"/>
    <mergeCell ref="AI25:AI27"/>
    <mergeCell ref="A24:E24"/>
    <mergeCell ref="A36:A37"/>
    <mergeCell ref="B2:B3"/>
    <mergeCell ref="D2:D3"/>
    <mergeCell ref="AG36:AG37"/>
    <mergeCell ref="AI36:AI37"/>
    <mergeCell ref="A10:A14"/>
    <mergeCell ref="Z2:Z3"/>
    <mergeCell ref="AG42:AG46"/>
    <mergeCell ref="AB2:AB3"/>
    <mergeCell ref="AI42:AI46"/>
    <mergeCell ref="AD2:AD3"/>
    <mergeCell ref="T2:T3"/>
    <mergeCell ref="AG4:AG8"/>
    <mergeCell ref="A47:E47"/>
    <mergeCell ref="AG39:AG40"/>
    <mergeCell ref="A20:E20"/>
    <mergeCell ref="AI39:AI40"/>
    <mergeCell ref="A28:E28"/>
    <mergeCell ref="AG48:AG50"/>
    <mergeCell ref="G2:G3"/>
    <mergeCell ref="I2:I3"/>
    <mergeCell ref="A15:E15"/>
    <mergeCell ref="AG1:AH1"/>
    <mergeCell ref="AH48:AH50"/>
    <mergeCell ref="A51:E51"/>
    <mergeCell ref="M2:M3"/>
    <mergeCell ref="AE2:AE3"/>
    <mergeCell ref="A16:A19"/>
    <mergeCell ref="AG2:AG3"/>
    <mergeCell ref="Y2:Y3"/>
    <mergeCell ref="A41:E41"/>
    <mergeCell ref="A48:A50"/>
    <mergeCell ref="AG10:AG14"/>
    <mergeCell ref="AH29:AH31"/>
    <mergeCell ref="R2:R3"/>
    <mergeCell ref="J2:J3"/>
    <mergeCell ref="L2:L3"/>
    <mergeCell ref="A35:E35"/>
    <mergeCell ref="AH16:AH19"/>
    <mergeCell ref="A9:E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I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hidden="1" width="9" customWidth="1" style="533" min="27" max="61"/>
  </cols>
  <sheetData>
    <row r="1" ht="20.25" customFormat="1" customHeight="1" s="483">
      <c r="A1" s="754" t="inlineStr">
        <is>
          <t>私人财富管理部折标销售进度表-截止20260618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552" t="inlineStr">
        <is>
          <t>上半年时间进度</t>
        </is>
      </c>
      <c r="AI1" s="70">
        <f>AN7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传统202606</t>
        </is>
      </c>
      <c r="I2" s="541" t="inlineStr">
        <is>
          <t>保险202606</t>
        </is>
      </c>
      <c r="J2" s="541" t="inlineStr">
        <is>
          <t>管理费202606</t>
        </is>
      </c>
      <c r="K2" s="669" t="inlineStr">
        <is>
          <t>2026年
6月折标</t>
        </is>
      </c>
      <c r="L2" s="541" t="inlineStr">
        <is>
          <t>传统202605</t>
        </is>
      </c>
      <c r="M2" s="541" t="inlineStr">
        <is>
          <t>保险202605</t>
        </is>
      </c>
      <c r="N2" s="541" t="inlineStr">
        <is>
          <t>管理费202605</t>
        </is>
      </c>
      <c r="O2" s="669" t="inlineStr">
        <is>
          <t>2026年
5月折标</t>
        </is>
      </c>
      <c r="P2" s="541" t="inlineStr">
        <is>
          <t>传统202604</t>
        </is>
      </c>
      <c r="Q2" s="541" t="inlineStr">
        <is>
          <t>保险202604</t>
        </is>
      </c>
      <c r="R2" s="541" t="inlineStr">
        <is>
          <t>管理费202604</t>
        </is>
      </c>
      <c r="S2" s="669" t="inlineStr">
        <is>
          <t>2026年
4月折标</t>
        </is>
      </c>
      <c r="T2" s="541" t="inlineStr">
        <is>
          <t>传统202603</t>
        </is>
      </c>
      <c r="U2" s="541" t="inlineStr">
        <is>
          <t>保险202603</t>
        </is>
      </c>
      <c r="V2" s="541" t="inlineStr">
        <is>
          <t>管理费202603</t>
        </is>
      </c>
      <c r="W2" s="669" t="inlineStr">
        <is>
          <t>2026年
3月折标</t>
        </is>
      </c>
      <c r="X2" s="541" t="inlineStr">
        <is>
          <t>传统202602</t>
        </is>
      </c>
      <c r="Y2" s="541" t="inlineStr">
        <is>
          <t>保险202602</t>
        </is>
      </c>
      <c r="Z2" s="541" t="inlineStr">
        <is>
          <t>管理费202602</t>
        </is>
      </c>
      <c r="AA2" s="669" t="inlineStr">
        <is>
          <t>2026年
2月折标</t>
        </is>
      </c>
      <c r="AB2" s="669" t="inlineStr">
        <is>
          <t>2026年
1月折标</t>
        </is>
      </c>
      <c r="AC2" s="670" t="inlineStr">
        <is>
          <t>2026年YTD折标</t>
        </is>
      </c>
      <c r="AD2" s="671" t="inlineStr">
        <is>
          <t>月度
完成率</t>
        </is>
      </c>
      <c r="AE2" s="666" t="inlineStr">
        <is>
          <t>考核期完成率（累计）</t>
        </is>
      </c>
      <c r="AF2" s="560" t="inlineStr">
        <is>
          <t>考核期差距</t>
        </is>
      </c>
      <c r="AG2" s="561" t="inlineStr">
        <is>
          <t>财富中心
上半年年任务</t>
        </is>
      </c>
      <c r="AH2" s="79" t="inlineStr">
        <is>
          <t>财富中心
上半年任务完成率</t>
        </is>
      </c>
      <c r="AI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21685.498829</v>
      </c>
      <c r="H4" s="703" t="n">
        <v>193.539216</v>
      </c>
      <c r="I4" s="703" t="n">
        <v>0</v>
      </c>
      <c r="J4" s="703" t="n">
        <v>0</v>
      </c>
      <c r="K4" s="703">
        <f>SUM(H4:J4)</f>
        <v/>
      </c>
      <c r="L4" s="703" t="n">
        <v>1183.338361</v>
      </c>
      <c r="M4" s="703" t="n">
        <v>0</v>
      </c>
      <c r="N4" s="703" t="n">
        <v>627.793934</v>
      </c>
      <c r="O4" s="703">
        <f>SUM(L4:N4)</f>
        <v/>
      </c>
      <c r="P4" s="703" t="n">
        <v>3163.949074</v>
      </c>
      <c r="Q4" s="703" t="n">
        <v>0</v>
      </c>
      <c r="R4" s="703" t="n">
        <v>535.227607</v>
      </c>
      <c r="S4" s="703">
        <f>SUM(P4:R4)</f>
        <v/>
      </c>
      <c r="T4" s="703" t="n">
        <v>8704.796721000001</v>
      </c>
      <c r="U4" s="703" t="n">
        <v>0</v>
      </c>
      <c r="V4" s="703" t="n">
        <v>1242.252932</v>
      </c>
      <c r="W4" s="703">
        <f>SUM(T4:V4)</f>
        <v/>
      </c>
      <c r="X4" s="703" t="n">
        <v>1402.304143</v>
      </c>
      <c r="Y4" s="703" t="n">
        <v>742.65048</v>
      </c>
      <c r="Z4" s="703" t="n">
        <v>430.381249</v>
      </c>
      <c r="AA4" s="703">
        <f>SUM(X4:Z4)</f>
        <v/>
      </c>
      <c r="AB4" s="703" t="n">
        <v>3459.265113</v>
      </c>
      <c r="AC4" s="318">
        <f>SUM(K4+O4+S4+W4+AA4+AB4)</f>
        <v/>
      </c>
      <c r="AD4" s="319">
        <f>IF(F4=0,"",K4/(F4/((YEAR(E4)*12+MONTH(E4))-(YEAR(D4)*12+MONTH(D4))+1)))</f>
        <v/>
      </c>
      <c r="AE4" s="319">
        <f>G4/F4</f>
        <v/>
      </c>
      <c r="AF4" s="704">
        <f>F4-G4</f>
        <v/>
      </c>
      <c r="AG4" s="321">
        <f>SUM(F4:F8)</f>
        <v/>
      </c>
      <c r="AH4" s="322">
        <f>AH9</f>
        <v/>
      </c>
      <c r="AI4" s="705">
        <f>AI9</f>
        <v/>
      </c>
      <c r="AJ4" s="706" t="inlineStr"/>
      <c r="AK4" s="706" t="inlineStr"/>
      <c r="AL4" s="706" t="inlineStr">
        <is>
          <t>开始日期</t>
        </is>
      </c>
      <c r="AM4" s="706" t="inlineStr">
        <is>
          <t>结束日期</t>
        </is>
      </c>
      <c r="AN4" s="706" t="inlineStr"/>
      <c r="AO4" s="706" t="inlineStr"/>
      <c r="AP4" s="706" t="inlineStr"/>
      <c r="AQ4" s="706" t="inlineStr"/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16981.460234</v>
      </c>
      <c r="H5" s="707" t="n">
        <v>574.665062</v>
      </c>
      <c r="I5" s="707" t="n">
        <v>0</v>
      </c>
      <c r="J5" s="707" t="n">
        <v>0</v>
      </c>
      <c r="K5" s="707">
        <f>SUM(H5:J5)</f>
        <v/>
      </c>
      <c r="L5" s="707" t="n">
        <v>593.9975920000001</v>
      </c>
      <c r="M5" s="707" t="n">
        <v>0</v>
      </c>
      <c r="N5" s="707" t="n">
        <v>191.489795</v>
      </c>
      <c r="O5" s="707">
        <f>SUM(L5:N5)</f>
        <v/>
      </c>
      <c r="P5" s="707" t="n">
        <v>249.800095</v>
      </c>
      <c r="Q5" s="707" t="n">
        <v>5040.9216</v>
      </c>
      <c r="R5" s="707" t="n">
        <v>342.801462</v>
      </c>
      <c r="S5" s="707">
        <f>SUM(P5:R5)</f>
        <v/>
      </c>
      <c r="T5" s="707" t="n">
        <v>1613.445926</v>
      </c>
      <c r="U5" s="707" t="n">
        <v>0</v>
      </c>
      <c r="V5" s="707" t="n">
        <v>488.407071</v>
      </c>
      <c r="W5" s="707">
        <f>SUM(T5:V5)</f>
        <v/>
      </c>
      <c r="X5" s="707" t="n">
        <v>454.800547</v>
      </c>
      <c r="Y5" s="707" t="n">
        <v>0</v>
      </c>
      <c r="Z5" s="707" t="n">
        <v>289.117436</v>
      </c>
      <c r="AA5" s="707">
        <f>SUM(X5:Z5)</f>
        <v/>
      </c>
      <c r="AB5" s="707" t="n">
        <v>3311.566531</v>
      </c>
      <c r="AC5" s="271">
        <f>SUM(K5+O5+S5+W5+AA5+AB5)</f>
        <v/>
      </c>
      <c r="AD5" s="326">
        <f>IF(F5=0,"",K5/(F5/((YEAR(E5)*12+MONTH(E5))-(YEAR(D5)*12+MONTH(D5))+1)))</f>
        <v/>
      </c>
      <c r="AE5" s="326">
        <f>G5/F5</f>
        <v/>
      </c>
      <c r="AF5" s="708">
        <f>F5-G5</f>
        <v/>
      </c>
      <c r="AG5" s="500" t="n"/>
      <c r="AH5" s="500" t="n"/>
      <c r="AI5" s="500" t="n"/>
      <c r="AJ5" s="706" t="inlineStr"/>
      <c r="AK5" s="706" t="inlineStr"/>
      <c r="AL5" s="328" t="n">
        <v>46023</v>
      </c>
      <c r="AM5" s="328" t="n">
        <v>46203</v>
      </c>
      <c r="AN5" s="706" t="inlineStr"/>
      <c r="AO5" s="706" t="inlineStr"/>
      <c r="AP5" s="706" t="inlineStr"/>
      <c r="AQ5" s="706" t="inlineStr"/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45962</v>
      </c>
      <c r="E6" s="676" t="n">
        <v>46173</v>
      </c>
      <c r="F6" s="707" t="n">
        <v>54394.9714</v>
      </c>
      <c r="G6" s="707" t="n">
        <v>129768.875643</v>
      </c>
      <c r="H6" s="707" t="n">
        <v>0</v>
      </c>
      <c r="I6" s="707" t="n">
        <v>0</v>
      </c>
      <c r="J6" s="707" t="n">
        <v>0</v>
      </c>
      <c r="K6" s="707">
        <f>SUM(H6:J6)</f>
        <v/>
      </c>
      <c r="L6" s="707" t="n">
        <v>15008.571418</v>
      </c>
      <c r="M6" s="707" t="n">
        <v>71693.622</v>
      </c>
      <c r="N6" s="707" t="n">
        <v>1121.931402</v>
      </c>
      <c r="O6" s="707">
        <f>SUM(L6:N6)</f>
        <v/>
      </c>
      <c r="P6" s="707" t="n">
        <v>3788.477067</v>
      </c>
      <c r="Q6" s="707" t="n">
        <v>0</v>
      </c>
      <c r="R6" s="707" t="n">
        <v>1122.243766</v>
      </c>
      <c r="S6" s="707">
        <f>SUM(P6:R6)</f>
        <v/>
      </c>
      <c r="T6" s="707" t="n">
        <v>1444.66245</v>
      </c>
      <c r="U6" s="707" t="n">
        <v>0</v>
      </c>
      <c r="V6" s="707" t="n">
        <v>1063.763858</v>
      </c>
      <c r="W6" s="707">
        <f>SUM(T6:V6)</f>
        <v/>
      </c>
      <c r="X6" s="707" t="n">
        <v>9688.821542</v>
      </c>
      <c r="Y6" s="707" t="n">
        <v>0</v>
      </c>
      <c r="Z6" s="707" t="n">
        <v>606.6776630000001</v>
      </c>
      <c r="AA6" s="707">
        <f>SUM(X6:Z6)</f>
        <v/>
      </c>
      <c r="AB6" s="707" t="n">
        <v>13116.995922</v>
      </c>
      <c r="AC6" s="271">
        <f>SUM(K6+O6+S6+W6+AA6+AB6)</f>
        <v/>
      </c>
      <c r="AD6" s="326">
        <f>IF(F6=0,"",K6/(F6/((YEAR(E6)*12+MONTH(E6))-(YEAR(D6)*12+MONTH(D6))+1)))</f>
        <v/>
      </c>
      <c r="AE6" s="326">
        <f>G6/F6</f>
        <v/>
      </c>
      <c r="AF6" s="708">
        <f>F6-G6</f>
        <v/>
      </c>
      <c r="AG6" s="500" t="n"/>
      <c r="AH6" s="500" t="n"/>
      <c r="AI6" s="500" t="n"/>
      <c r="AJ6" s="706" t="inlineStr"/>
      <c r="AK6" s="706" t="inlineStr"/>
      <c r="AL6" s="706" t="inlineStr">
        <is>
          <t>计算日期</t>
        </is>
      </c>
      <c r="AM6" s="706">
        <f>W5-V5</f>
        <v/>
      </c>
      <c r="AN6" s="706" t="inlineStr">
        <is>
          <t>时间进度</t>
        </is>
      </c>
      <c r="AO6" s="706" t="inlineStr"/>
      <c r="AP6" s="706" t="inlineStr"/>
      <c r="AQ6" s="706" t="inlineStr"/>
      <c r="AR6" s="706" t="inlineStr"/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3672.329022</v>
      </c>
      <c r="H7" s="707" t="n">
        <v>125.538504</v>
      </c>
      <c r="I7" s="707" t="n">
        <v>0</v>
      </c>
      <c r="J7" s="707" t="n">
        <v>0</v>
      </c>
      <c r="K7" s="707">
        <f>SUM(H7:J7)</f>
        <v/>
      </c>
      <c r="L7" s="707" t="n">
        <v>66.7758</v>
      </c>
      <c r="M7" s="707" t="n">
        <v>0</v>
      </c>
      <c r="N7" s="707" t="n">
        <v>22.323011</v>
      </c>
      <c r="O7" s="707">
        <f>SUM(L7:N7)</f>
        <v/>
      </c>
      <c r="P7" s="707" t="n">
        <v>133.5516</v>
      </c>
      <c r="Q7" s="707" t="n">
        <v>0</v>
      </c>
      <c r="R7" s="707" t="n">
        <v>22.107856</v>
      </c>
      <c r="S7" s="707">
        <f>SUM(P7:R7)</f>
        <v/>
      </c>
      <c r="T7" s="707" t="n">
        <v>500.150742</v>
      </c>
      <c r="U7" s="707" t="n">
        <v>0</v>
      </c>
      <c r="V7" s="707" t="n">
        <v>157.397938</v>
      </c>
      <c r="W7" s="707">
        <f>SUM(T7:V7)</f>
        <v/>
      </c>
      <c r="X7" s="707" t="n">
        <v>267.1032</v>
      </c>
      <c r="Y7" s="707" t="n">
        <v>0</v>
      </c>
      <c r="Z7" s="707" t="n">
        <v>25.494675</v>
      </c>
      <c r="AA7" s="707">
        <f>SUM(X7:Z7)</f>
        <v/>
      </c>
      <c r="AB7" s="707" t="n">
        <v>2351.885696</v>
      </c>
      <c r="AC7" s="271">
        <f>SUM(K7+O7+S7+W7+AA7+AB7)</f>
        <v/>
      </c>
      <c r="AD7" s="326">
        <f>IF(F7=0,"",K7/(F7/((YEAR(E7)*12+MONTH(E7))-(YEAR(D7)*12+MONTH(D7))+1)))</f>
        <v/>
      </c>
      <c r="AE7" s="326">
        <f>G7/F7</f>
        <v/>
      </c>
      <c r="AF7" s="708">
        <f>F7-G7</f>
        <v/>
      </c>
      <c r="AG7" s="500" t="n"/>
      <c r="AH7" s="500" t="n"/>
      <c r="AI7" s="500" t="n"/>
      <c r="AJ7" s="706" t="inlineStr"/>
      <c r="AK7" s="706" t="inlineStr"/>
      <c r="AL7" s="709" t="n">
        <v>46191</v>
      </c>
      <c r="AM7" s="330">
        <f>AM5-AL5+1</f>
        <v/>
      </c>
      <c r="AN7" s="331">
        <f>(AL7-AL5+1)/AM7</f>
        <v/>
      </c>
      <c r="AO7" s="706" t="inlineStr"/>
      <c r="AP7" s="706" t="inlineStr"/>
      <c r="AQ7" s="706" t="inlineStr"/>
      <c r="AR7" s="706" t="inlineStr"/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45916</v>
      </c>
      <c r="E8" s="676" t="n">
        <v>46096</v>
      </c>
      <c r="F8" s="707" t="n">
        <v>31752</v>
      </c>
      <c r="G8" s="707" t="n">
        <v>26388.759988</v>
      </c>
      <c r="H8" s="707" t="n">
        <v>0</v>
      </c>
      <c r="I8" s="707" t="n">
        <v>264.17664</v>
      </c>
      <c r="J8" s="707" t="n">
        <v>0</v>
      </c>
      <c r="K8" s="707">
        <f>SUM(H8:J8)</f>
        <v/>
      </c>
      <c r="L8" s="707" t="n">
        <v>130.02444</v>
      </c>
      <c r="M8" s="707" t="n">
        <v>0</v>
      </c>
      <c r="N8" s="707" t="n">
        <v>16.066547</v>
      </c>
      <c r="O8" s="707">
        <f>SUM(L8:N8)</f>
        <v/>
      </c>
      <c r="P8" s="707" t="n">
        <v>0</v>
      </c>
      <c r="Q8" s="707" t="n">
        <v>0</v>
      </c>
      <c r="R8" s="707" t="n">
        <v>12.779778</v>
      </c>
      <c r="S8" s="707">
        <f>SUM(P8:R8)</f>
        <v/>
      </c>
      <c r="T8" s="707" t="n">
        <v>0</v>
      </c>
      <c r="U8" s="707" t="n">
        <v>25509.5568</v>
      </c>
      <c r="V8" s="707" t="n">
        <v>13.774172</v>
      </c>
      <c r="W8" s="707">
        <f>SUM(T8:V8)</f>
        <v/>
      </c>
      <c r="X8" s="707" t="n">
        <v>41.2776</v>
      </c>
      <c r="Y8" s="707" t="n">
        <v>0</v>
      </c>
      <c r="Z8" s="707" t="n">
        <v>18.646322</v>
      </c>
      <c r="AA8" s="707">
        <f>SUM(X8:Z8)</f>
        <v/>
      </c>
      <c r="AB8" s="707" t="n">
        <v>683.02396</v>
      </c>
      <c r="AC8" s="271">
        <f>SUM(K8+O8+S8+W8+AA8+AB8)</f>
        <v/>
      </c>
      <c r="AD8" s="326">
        <f>IF(F8=0,"",K8/(F8/((YEAR(E8)*12+MONTH(E8))-(YEAR(D8)*12+MONTH(D8))+1)))</f>
        <v/>
      </c>
      <c r="AE8" s="326">
        <f>G8/F8</f>
        <v/>
      </c>
      <c r="AF8" s="708">
        <f>F8-G8</f>
        <v/>
      </c>
      <c r="AG8" s="513" t="n"/>
      <c r="AH8" s="513" t="n"/>
      <c r="AI8" s="513" t="n"/>
      <c r="AJ8" s="706" t="inlineStr"/>
      <c r="AK8" s="706" t="inlineStr"/>
      <c r="AL8" s="706" t="inlineStr"/>
      <c r="AM8" s="706" t="inlineStr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1">
        <f>SUM(K9+O9+S9+W9+AA9+AB9)</f>
        <v/>
      </c>
      <c r="AD9" s="335">
        <f>IF(F9=0,"",K9/(F9/((YEAR(E4)*12+MONTH(E4))-(YEAR(D4)*12+MONTH(D4))+1)))</f>
        <v/>
      </c>
      <c r="AE9" s="336">
        <f>G9/F9</f>
        <v/>
      </c>
      <c r="AF9" s="711">
        <f>F9-G9</f>
        <v/>
      </c>
      <c r="AG9" s="337">
        <f>AG4</f>
        <v/>
      </c>
      <c r="AH9" s="335">
        <f>AC9/AG4</f>
        <v/>
      </c>
      <c r="AI9" s="712">
        <f>AG4-AC9</f>
        <v/>
      </c>
      <c r="AJ9" s="713" t="inlineStr"/>
      <c r="AK9" s="713" t="inlineStr"/>
      <c r="AL9" s="340" t="n">
        <v>46136</v>
      </c>
      <c r="AM9" s="713" t="inlineStr"/>
      <c r="AN9" s="341">
        <f>(AD10-DATE(YEAR(AD10),1,1)+1)/AE9</f>
        <v/>
      </c>
      <c r="AO9" s="713" t="inlineStr"/>
      <c r="AP9" s="713" t="inlineStr"/>
      <c r="AQ9" s="713" t="inlineStr"/>
      <c r="AR9" s="713" t="inlineStr"/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22818.807505</v>
      </c>
      <c r="H10" s="703" t="n">
        <v>1682.965203</v>
      </c>
      <c r="I10" s="703" t="n">
        <v>0</v>
      </c>
      <c r="J10" s="703" t="n">
        <v>0</v>
      </c>
      <c r="K10" s="703">
        <f>SUM(H10:J10)</f>
        <v/>
      </c>
      <c r="L10" s="703" t="n">
        <v>4233.38058</v>
      </c>
      <c r="M10" s="703" t="n">
        <v>0</v>
      </c>
      <c r="N10" s="703" t="n">
        <v>103.388547</v>
      </c>
      <c r="O10" s="703">
        <f>SUM(L10:N10)</f>
        <v/>
      </c>
      <c r="P10" s="703" t="n">
        <v>2418.943367</v>
      </c>
      <c r="Q10" s="703" t="n">
        <v>2443.706261</v>
      </c>
      <c r="R10" s="703" t="n">
        <v>88.105912</v>
      </c>
      <c r="S10" s="703">
        <f>SUM(P10:R10)</f>
        <v/>
      </c>
      <c r="T10" s="703" t="n">
        <v>2574.496213</v>
      </c>
      <c r="U10" s="703" t="n">
        <v>2927.70165</v>
      </c>
      <c r="V10" s="703" t="n">
        <v>154.748145</v>
      </c>
      <c r="W10" s="703">
        <f>SUM(T10:V10)</f>
        <v/>
      </c>
      <c r="X10" s="703" t="n">
        <v>745.691219</v>
      </c>
      <c r="Y10" s="703" t="n">
        <v>2330.36622</v>
      </c>
      <c r="Z10" s="703" t="n">
        <v>72.478376</v>
      </c>
      <c r="AA10" s="703">
        <f>SUM(X10:Z10)</f>
        <v/>
      </c>
      <c r="AB10" s="703" t="n">
        <v>3042.835811</v>
      </c>
      <c r="AC10" s="318">
        <f>SUM(K10+O10+S10+W10+AA10+AB10)</f>
        <v/>
      </c>
      <c r="AD10" s="319">
        <f>IF(F10=0,"",K10/(F10/((YEAR(E10)*12+MONTH(E10))-(YEAR(D10)*12+MONTH(D10))+1)))</f>
        <v/>
      </c>
      <c r="AE10" s="319">
        <f>G10/F10</f>
        <v/>
      </c>
      <c r="AF10" s="704">
        <f>F10-G10</f>
        <v/>
      </c>
      <c r="AG10" s="321">
        <f>SUM(F10:F14)</f>
        <v/>
      </c>
      <c r="AH10" s="322">
        <f>AH15</f>
        <v/>
      </c>
      <c r="AI10" s="705">
        <f>AI15</f>
        <v/>
      </c>
      <c r="AJ10" s="706" t="inlineStr"/>
      <c r="AK10" s="706" t="inlineStr"/>
      <c r="AL10" s="706" t="inlineStr"/>
      <c r="AM10" s="706" t="inlineStr"/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私人财富管理总监PWA3-1</t>
        </is>
      </c>
      <c r="D11" s="676" t="n">
        <v>45792</v>
      </c>
      <c r="E11" s="676" t="n">
        <v>45976</v>
      </c>
      <c r="F11" s="707" t="n">
        <v>8248.780000000001</v>
      </c>
      <c r="G11" s="707" t="n">
        <v>0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139.11456</v>
      </c>
      <c r="M11" s="707" t="n">
        <v>2956.1844</v>
      </c>
      <c r="N11" s="707" t="n">
        <v>14.716853</v>
      </c>
      <c r="O11" s="707">
        <f>SUM(L11:N11)</f>
        <v/>
      </c>
      <c r="P11" s="707" t="n">
        <v>280.185418</v>
      </c>
      <c r="Q11" s="707" t="n">
        <v>773.505646</v>
      </c>
      <c r="R11" s="707" t="n">
        <v>3.573146</v>
      </c>
      <c r="S11" s="707">
        <f>SUM(P11:R11)</f>
        <v/>
      </c>
      <c r="T11" s="707" t="n">
        <v>43.4733</v>
      </c>
      <c r="U11" s="707" t="n">
        <v>0</v>
      </c>
      <c r="V11" s="707" t="n">
        <v>10.334614</v>
      </c>
      <c r="W11" s="707">
        <f>SUM(T11:V11)</f>
        <v/>
      </c>
      <c r="X11" s="707" t="n">
        <v>0</v>
      </c>
      <c r="Y11" s="707" t="n">
        <v>0</v>
      </c>
      <c r="Z11" s="707" t="n">
        <v>0</v>
      </c>
      <c r="AA11" s="707">
        <f>SUM(X11:Z11)</f>
        <v/>
      </c>
      <c r="AB11" s="707" t="n">
        <v>0</v>
      </c>
      <c r="AC11" s="271">
        <f>SUM(K11+O11+S11+W11+AA11+AB11)</f>
        <v/>
      </c>
      <c r="AD11" s="326">
        <f>IF(F11=0,"",K11/(F11/((YEAR(E11)*12+MONTH(E11))-(YEAR(D11)*12+MONTH(D11))+1)))</f>
        <v/>
      </c>
      <c r="AE11" s="326">
        <f>G11/F11</f>
        <v/>
      </c>
      <c r="AF11" s="708">
        <f>F11-G11</f>
        <v/>
      </c>
      <c r="AG11" s="500" t="n"/>
      <c r="AH11" s="500" t="n"/>
      <c r="AI11" s="500" t="n"/>
      <c r="AJ11" s="706" t="inlineStr"/>
      <c r="AK11" s="706" t="inlineStr"/>
      <c r="AL11" s="706" t="inlineStr"/>
      <c r="AM11" s="706" t="inlineStr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21764.340451</v>
      </c>
      <c r="H12" s="707" t="n">
        <v>5138.663789</v>
      </c>
      <c r="I12" s="707" t="n">
        <v>0</v>
      </c>
      <c r="J12" s="707" t="n">
        <v>0</v>
      </c>
      <c r="K12" s="707">
        <f>SUM(H12:J12)</f>
        <v/>
      </c>
      <c r="L12" s="707" t="n">
        <v>527.86032</v>
      </c>
      <c r="M12" s="707" t="n">
        <v>0</v>
      </c>
      <c r="N12" s="707" t="n">
        <v>176.99322</v>
      </c>
      <c r="O12" s="707">
        <f>SUM(L12:N12)</f>
        <v/>
      </c>
      <c r="P12" s="707" t="n">
        <v>5719.894428</v>
      </c>
      <c r="Q12" s="707" t="n">
        <v>0</v>
      </c>
      <c r="R12" s="707" t="n">
        <v>170.991639</v>
      </c>
      <c r="S12" s="707">
        <f>SUM(P12:R12)</f>
        <v/>
      </c>
      <c r="T12" s="707" t="n">
        <v>2659.960961</v>
      </c>
      <c r="U12" s="707" t="n">
        <v>0</v>
      </c>
      <c r="V12" s="707" t="n">
        <v>743.622962</v>
      </c>
      <c r="W12" s="707">
        <f>SUM(T12:V12)</f>
        <v/>
      </c>
      <c r="X12" s="707" t="n">
        <v>0</v>
      </c>
      <c r="Y12" s="707" t="n">
        <v>0</v>
      </c>
      <c r="Z12" s="707" t="n">
        <v>144.157177</v>
      </c>
      <c r="AA12" s="707">
        <f>SUM(X12:Z12)</f>
        <v/>
      </c>
      <c r="AB12" s="707" t="n">
        <v>6482.195956</v>
      </c>
      <c r="AC12" s="271">
        <f>SUM(K12+O12+S12+W12+AA12+AB12)</f>
        <v/>
      </c>
      <c r="AD12" s="326">
        <f>IF(F12=0,"",K12/(F12/((YEAR(E12)*12+MONTH(E12))-(YEAR(D12)*12+MONTH(D12))+1)))</f>
        <v/>
      </c>
      <c r="AE12" s="326">
        <f>G12/F12</f>
        <v/>
      </c>
      <c r="AF12" s="708">
        <f>F12-G12</f>
        <v/>
      </c>
      <c r="AG12" s="500" t="n"/>
      <c r="AH12" s="500" t="n"/>
      <c r="AI12" s="500" t="n"/>
      <c r="AJ12" s="706" t="inlineStr"/>
      <c r="AK12" s="706" t="inlineStr"/>
      <c r="AL12" s="706" t="inlineStr"/>
      <c r="AM12" s="706" t="inlineStr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</row>
    <row r="13" outlineLevel="1" ht="14.25" customFormat="1" customHeight="1" s="483">
      <c r="A13" s="500" t="n"/>
      <c r="B13" s="707" t="inlineStr">
        <is>
          <t>理财师188</t>
        </is>
      </c>
      <c r="C13" s="707" t="inlineStr">
        <is>
          <t>C1</t>
        </is>
      </c>
      <c r="D13" s="676" t="n">
        <v>46048</v>
      </c>
      <c r="E13" s="676" t="n">
        <v>46228</v>
      </c>
      <c r="F13" s="707" t="n">
        <v>2877.38</v>
      </c>
      <c r="G13" s="707" t="n">
        <v>1009.96038</v>
      </c>
      <c r="H13" s="707" t="n">
        <v>0</v>
      </c>
      <c r="I13" s="707" t="n">
        <v>0</v>
      </c>
      <c r="J13" s="707" t="n">
        <v>0</v>
      </c>
      <c r="K13" s="707">
        <f>SUM(H13:J13)</f>
        <v/>
      </c>
      <c r="L13" s="707" t="n">
        <v>153.0243</v>
      </c>
      <c r="M13" s="707" t="n">
        <v>0</v>
      </c>
      <c r="N13" s="707" t="n">
        <v>0</v>
      </c>
      <c r="O13" s="707">
        <f>SUM(L13:N13)</f>
        <v/>
      </c>
      <c r="P13" s="707" t="n">
        <v>0</v>
      </c>
      <c r="Q13" s="707" t="n">
        <v>0</v>
      </c>
      <c r="R13" s="707" t="n">
        <v>0</v>
      </c>
      <c r="S13" s="707">
        <f>SUM(P13:R13)</f>
        <v/>
      </c>
      <c r="T13" s="707" t="n">
        <v>0</v>
      </c>
      <c r="U13" s="707" t="n">
        <v>856.9360799999999</v>
      </c>
      <c r="V13" s="707" t="n">
        <v>0</v>
      </c>
      <c r="W13" s="707">
        <f>SUM(T13:V13)</f>
        <v/>
      </c>
      <c r="X13" s="707" t="n">
        <v>0</v>
      </c>
      <c r="Y13" s="707" t="n">
        <v>0</v>
      </c>
      <c r="Z13" s="707" t="n">
        <v>0</v>
      </c>
      <c r="AA13" s="707">
        <f>SUM(X13:Z13)</f>
        <v/>
      </c>
      <c r="AB13" s="707" t="n">
        <v>0</v>
      </c>
      <c r="AC13" s="271">
        <f>SUM(K13+O13+S13+W13+AA13+AB13)</f>
        <v/>
      </c>
      <c r="AD13" s="326">
        <f>IF(F13=0,"",K13/(F13/((YEAR(E13)*12+MONTH(E13))-(YEAR(D13)*12+MONTH(D13))+1)))</f>
        <v/>
      </c>
      <c r="AE13" s="326">
        <f>G13/F13</f>
        <v/>
      </c>
      <c r="AF13" s="708">
        <f>F13-G13</f>
        <v/>
      </c>
      <c r="AG13" s="500" t="n"/>
      <c r="AH13" s="500" t="n"/>
      <c r="AI13" s="500" t="n"/>
      <c r="AJ13" s="706" t="inlineStr"/>
      <c r="AK13" s="706" t="inlineStr"/>
      <c r="AL13" s="706" t="inlineStr"/>
      <c r="AM13" s="706" t="inlineStr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</row>
    <row r="14" outlineLevel="1" ht="14.25" customFormat="1" customHeight="1" s="483">
      <c r="A14" s="513" t="n"/>
      <c r="B14" s="707" t="inlineStr">
        <is>
          <t>理财师024</t>
        </is>
      </c>
      <c r="C14" s="707" t="inlineStr">
        <is>
          <t>私人财富管理总监PWA3-4</t>
        </is>
      </c>
      <c r="D14" s="676" t="n">
        <v>46054</v>
      </c>
      <c r="E14" s="676" t="n">
        <v>46203</v>
      </c>
      <c r="F14" s="707" t="n">
        <v>17115.15</v>
      </c>
      <c r="G14" s="707" t="n">
        <v>10719.572481</v>
      </c>
      <c r="H14" s="707" t="n">
        <v>801.786024</v>
      </c>
      <c r="I14" s="707" t="n">
        <v>0</v>
      </c>
      <c r="J14" s="707" t="n">
        <v>0</v>
      </c>
      <c r="K14" s="707">
        <f>SUM(H14:J14)</f>
        <v/>
      </c>
      <c r="L14" s="707" t="n">
        <v>1000.951193</v>
      </c>
      <c r="M14" s="707" t="n">
        <v>0</v>
      </c>
      <c r="N14" s="707" t="n">
        <v>154.671299</v>
      </c>
      <c r="O14" s="707">
        <f>SUM(L14:N14)</f>
        <v/>
      </c>
      <c r="P14" s="707" t="n">
        <v>3291.566745</v>
      </c>
      <c r="Q14" s="707" t="n">
        <v>0</v>
      </c>
      <c r="R14" s="707" t="n">
        <v>242.965979</v>
      </c>
      <c r="S14" s="707">
        <f>SUM(P14:R14)</f>
        <v/>
      </c>
      <c r="T14" s="707" t="n">
        <v>3556.620439</v>
      </c>
      <c r="U14" s="707" t="n">
        <v>0</v>
      </c>
      <c r="V14" s="707" t="n">
        <v>446.103228</v>
      </c>
      <c r="W14" s="707">
        <f>SUM(T14:V14)</f>
        <v/>
      </c>
      <c r="X14" s="707" t="n">
        <v>1054.327266</v>
      </c>
      <c r="Y14" s="707" t="n">
        <v>0</v>
      </c>
      <c r="Z14" s="707" t="n">
        <v>170.580309</v>
      </c>
      <c r="AA14" s="707">
        <f>SUM(X14:Z14)</f>
        <v/>
      </c>
      <c r="AB14" s="707" t="n">
        <v>692.512431</v>
      </c>
      <c r="AC14" s="271">
        <f>SUM(K14+O14+S14+W14+AA14+AB14)</f>
        <v/>
      </c>
      <c r="AD14" s="326">
        <f>IF(F14=0,"",K14/(F14/((YEAR(E14)*12+MONTH(E14))-(YEAR(D14)*12+MONTH(D14))+1)))</f>
        <v/>
      </c>
      <c r="AE14" s="326">
        <f>G14/F14</f>
        <v/>
      </c>
      <c r="AF14" s="708">
        <f>F14-G14</f>
        <v/>
      </c>
      <c r="AG14" s="513" t="n"/>
      <c r="AH14" s="513" t="n"/>
      <c r="AI14" s="513" t="n"/>
      <c r="AJ14" s="706" t="inlineStr"/>
      <c r="AK14" s="706" t="inlineStr"/>
      <c r="AL14" s="706" t="inlineStr"/>
      <c r="AM14" s="706" t="inlineStr"/>
      <c r="AN14" s="706" t="inlineStr"/>
      <c r="AO14" s="706" t="inlineStr"/>
      <c r="AP14" s="706" t="inlineStr"/>
      <c r="AQ14" s="706" t="inlineStr"/>
      <c r="AR14" s="706" t="inlineStr"/>
      <c r="AS14" s="706" t="inlineStr"/>
      <c r="AT14" s="706" t="inlineStr"/>
      <c r="AU14" s="706" t="inlineStr"/>
      <c r="AV14" s="706" t="inlineStr"/>
      <c r="AW14" s="706" t="inlineStr"/>
      <c r="AX14" s="706" t="inlineStr"/>
      <c r="AY14" s="706" t="inlineStr"/>
      <c r="AZ14" s="706" t="inlineStr"/>
      <c r="BA14" s="706" t="inlineStr"/>
      <c r="BB14" s="706" t="inlineStr"/>
      <c r="BC14" s="706" t="inlineStr"/>
      <c r="BD14" s="706" t="inlineStr"/>
      <c r="BE14" s="706" t="inlineStr"/>
      <c r="BF14" s="706" t="inlineStr"/>
      <c r="BG14" s="706" t="inlineStr"/>
      <c r="BH14" s="706" t="inlineStr"/>
      <c r="BI14" s="706" t="inlineStr"/>
    </row>
    <row r="15" outlineLevel="1" ht="14.25" customFormat="1" customHeight="1" s="483">
      <c r="A15" s="710" t="inlineStr">
        <is>
          <t>合计</t>
        </is>
      </c>
      <c r="B15" s="518" t="n"/>
      <c r="C15" s="518" t="n"/>
      <c r="D15" s="518" t="n"/>
      <c r="E15" s="578" t="n"/>
      <c r="F15" s="333">
        <f>SUM(F10:F14)</f>
        <v/>
      </c>
      <c r="G15" s="710">
        <f>SUM(G10:G14)</f>
        <v/>
      </c>
      <c r="H15" s="710">
        <f>SUM(H10:H14)</f>
        <v/>
      </c>
      <c r="I15" s="710">
        <f>SUM(I10:I14)</f>
        <v/>
      </c>
      <c r="J15" s="710">
        <f>SUM(J10:J14)</f>
        <v/>
      </c>
      <c r="K15" s="710">
        <f>SUM(K10:K14)</f>
        <v/>
      </c>
      <c r="L15" s="710">
        <f>SUM(L10:L14)</f>
        <v/>
      </c>
      <c r="M15" s="710">
        <f>SUM(M10:M14)</f>
        <v/>
      </c>
      <c r="N15" s="710">
        <f>SUM(N10:N14)</f>
        <v/>
      </c>
      <c r="O15" s="710">
        <f>SUM(O10:O14)</f>
        <v/>
      </c>
      <c r="P15" s="710">
        <f>SUM(P10:P14)</f>
        <v/>
      </c>
      <c r="Q15" s="710">
        <f>SUM(Q10:Q14)</f>
        <v/>
      </c>
      <c r="R15" s="710">
        <f>SUM(R10:R14)</f>
        <v/>
      </c>
      <c r="S15" s="710">
        <f>SUM(S10:S14)</f>
        <v/>
      </c>
      <c r="T15" s="710">
        <f>SUM(T10:T14)</f>
        <v/>
      </c>
      <c r="U15" s="710">
        <f>SUM(U10:U14)</f>
        <v/>
      </c>
      <c r="V15" s="710">
        <f>SUM(V10:V14)</f>
        <v/>
      </c>
      <c r="W15" s="710">
        <f>SUM(W10:W14)</f>
        <v/>
      </c>
      <c r="X15" s="710">
        <f>SUM(X10:X14)</f>
        <v/>
      </c>
      <c r="Y15" s="710">
        <f>SUM(Y10:Y14)</f>
        <v/>
      </c>
      <c r="Z15" s="710">
        <f>SUM(Z10:Z14)</f>
        <v/>
      </c>
      <c r="AA15" s="710">
        <f>SUM(AA10:AA14)</f>
        <v/>
      </c>
      <c r="AB15" s="710">
        <f>SUM(AB10:AB14)</f>
        <v/>
      </c>
      <c r="AC15" s="711">
        <f>SUM(K15+O15+S15+W15+AA15+AB15)</f>
        <v/>
      </c>
      <c r="AD15" s="335">
        <f>IF(F15=0,"",K15/(F15/((YEAR(E10)*12+MONTH(E10))-(YEAR(D10)*12+MONTH(D10))+1)))</f>
        <v/>
      </c>
      <c r="AE15" s="336">
        <f>G15/F15</f>
        <v/>
      </c>
      <c r="AF15" s="711">
        <f>F15-G15</f>
        <v/>
      </c>
      <c r="AG15" s="337">
        <f>AG10</f>
        <v/>
      </c>
      <c r="AH15" s="335">
        <f>AC15/AG10</f>
        <v/>
      </c>
      <c r="AI15" s="712">
        <f>AG10-AC15</f>
        <v/>
      </c>
      <c r="AJ15" s="713" t="inlineStr"/>
      <c r="AK15" s="713" t="inlineStr"/>
      <c r="AL15" s="713" t="inlineStr"/>
      <c r="AM15" s="713" t="inlineStr"/>
      <c r="AN15" s="713" t="inlineStr"/>
      <c r="AO15" s="713" t="inlineStr"/>
      <c r="AP15" s="713" t="inlineStr"/>
      <c r="AQ15" s="713" t="inlineStr"/>
      <c r="AR15" s="713" t="inlineStr"/>
      <c r="AS15" s="713" t="inlineStr"/>
      <c r="AT15" s="713" t="inlineStr"/>
      <c r="AU15" s="713" t="inlineStr"/>
      <c r="AV15" s="713" t="inlineStr"/>
      <c r="AW15" s="713" t="inlineStr"/>
      <c r="AX15" s="713" t="inlineStr"/>
      <c r="AY15" s="713" t="inlineStr"/>
      <c r="AZ15" s="713" t="inlineStr"/>
      <c r="BA15" s="713" t="inlineStr"/>
      <c r="BB15" s="713" t="inlineStr"/>
      <c r="BC15" s="713" t="inlineStr"/>
      <c r="BD15" s="713" t="inlineStr"/>
      <c r="BE15" s="713" t="inlineStr"/>
      <c r="BF15" s="713" t="inlineStr"/>
      <c r="BG15" s="713" t="inlineStr"/>
      <c r="BH15" s="713" t="inlineStr"/>
      <c r="BI15" s="713" t="inlineStr"/>
    </row>
    <row r="16" outlineLevel="1" ht="14.25" customFormat="1" customHeight="1" s="483">
      <c r="A16" s="703" t="inlineStr">
        <is>
          <t>理财师007</t>
        </is>
      </c>
      <c r="B16" s="703" t="inlineStr">
        <is>
          <t>理财师023</t>
        </is>
      </c>
      <c r="C16" s="703" t="inlineStr">
        <is>
          <t>私人财富管理资深顾问PWA2-4</t>
        </is>
      </c>
      <c r="D16" s="693" t="n">
        <v>46023</v>
      </c>
      <c r="E16" s="693" t="n">
        <v>46203</v>
      </c>
      <c r="F16" s="703" t="n">
        <v>15648.4</v>
      </c>
      <c r="G16" s="703" t="n">
        <v>10696.470658</v>
      </c>
      <c r="H16" s="703" t="n">
        <v>1519.142625</v>
      </c>
      <c r="I16" s="703" t="n">
        <v>0</v>
      </c>
      <c r="J16" s="703" t="n">
        <v>0</v>
      </c>
      <c r="K16" s="703">
        <f>SUM(H16:J16)</f>
        <v/>
      </c>
      <c r="L16" s="703" t="n">
        <v>1775.62125</v>
      </c>
      <c r="M16" s="703" t="n">
        <v>0</v>
      </c>
      <c r="N16" s="703" t="n">
        <v>63.897673</v>
      </c>
      <c r="O16" s="703">
        <f>SUM(L16:N16)</f>
        <v/>
      </c>
      <c r="P16" s="703" t="n">
        <v>2171.402323</v>
      </c>
      <c r="Q16" s="703" t="n">
        <v>0</v>
      </c>
      <c r="R16" s="703" t="n">
        <v>14.593625</v>
      </c>
      <c r="S16" s="703">
        <f>SUM(P16:R16)</f>
        <v/>
      </c>
      <c r="T16" s="703" t="n">
        <v>1305.1575</v>
      </c>
      <c r="U16" s="703" t="n">
        <v>1178.4864</v>
      </c>
      <c r="V16" s="703" t="n">
        <v>22.441342</v>
      </c>
      <c r="W16" s="703">
        <f>SUM(T16:V16)</f>
        <v/>
      </c>
      <c r="X16" s="703" t="n">
        <v>0</v>
      </c>
      <c r="Y16" s="703" t="n">
        <v>0</v>
      </c>
      <c r="Z16" s="703" t="n">
        <v>15.177921</v>
      </c>
      <c r="AA16" s="703">
        <f>SUM(X16:Z16)</f>
        <v/>
      </c>
      <c r="AB16" s="703" t="n">
        <v>2630.55</v>
      </c>
      <c r="AC16" s="318">
        <f>SUM(K16+O16+S16+W16+AA16+AB16)</f>
        <v/>
      </c>
      <c r="AD16" s="319">
        <f>IF(F16=0,"",K16/(F16/((YEAR(E16)*12+MONTH(E16))-(YEAR(D16)*12+MONTH(D16))+1)))</f>
        <v/>
      </c>
      <c r="AE16" s="319">
        <f>G16/F16</f>
        <v/>
      </c>
      <c r="AF16" s="704">
        <f>F16-G16</f>
        <v/>
      </c>
      <c r="AG16" s="321">
        <f>SUM(F16:F19)</f>
        <v/>
      </c>
      <c r="AH16" s="322">
        <f>AH20</f>
        <v/>
      </c>
      <c r="AI16" s="705">
        <f>AI20</f>
        <v/>
      </c>
      <c r="AJ16" s="706" t="inlineStr"/>
      <c r="AK16" s="706" t="inlineStr"/>
      <c r="AL16" s="706" t="inlineStr"/>
      <c r="AM16" s="706" t="inlineStr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</row>
    <row r="17" outlineLevel="1" ht="14.25" customFormat="1" customHeight="1" s="483">
      <c r="A17" s="500" t="n"/>
      <c r="B17" s="707" t="inlineStr">
        <is>
          <t>理财师091</t>
        </is>
      </c>
      <c r="C17" s="707" t="inlineStr">
        <is>
          <t>C3</t>
        </is>
      </c>
      <c r="D17" s="676" t="n">
        <v>45866</v>
      </c>
      <c r="E17" s="676" t="n">
        <v>46049</v>
      </c>
      <c r="F17" s="707" t="n">
        <v>4042.08</v>
      </c>
      <c r="G17" s="707" t="n">
        <v>1691.696497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0</v>
      </c>
      <c r="M17" s="707" t="n">
        <v>0</v>
      </c>
      <c r="N17" s="707" t="n">
        <v>2.157894</v>
      </c>
      <c r="O17" s="707">
        <f>SUM(L17:N17)</f>
        <v/>
      </c>
      <c r="P17" s="707" t="n">
        <v>0</v>
      </c>
      <c r="Q17" s="707" t="n">
        <v>0</v>
      </c>
      <c r="R17" s="707" t="n">
        <v>2.058637</v>
      </c>
      <c r="S17" s="707">
        <f>SUM(P17:R17)</f>
        <v/>
      </c>
      <c r="T17" s="707" t="n">
        <v>0</v>
      </c>
      <c r="U17" s="707" t="n">
        <v>0</v>
      </c>
      <c r="V17" s="707" t="n">
        <v>3.23046</v>
      </c>
      <c r="W17" s="707">
        <f>SUM(T17:V17)</f>
        <v/>
      </c>
      <c r="X17" s="707" t="n">
        <v>25.0224</v>
      </c>
      <c r="Y17" s="707" t="n">
        <v>1050.9408</v>
      </c>
      <c r="Z17" s="707" t="n">
        <v>3.667668</v>
      </c>
      <c r="AA17" s="707">
        <f>SUM(X17:Z17)</f>
        <v/>
      </c>
      <c r="AB17" s="707" t="n">
        <v>125.112</v>
      </c>
      <c r="AC17" s="271">
        <f>SUM(K17+O17+S17+W17+AA17+AB17)</f>
        <v/>
      </c>
      <c r="AD17" s="326">
        <f>IF(F17=0,"",K17/(F17/((YEAR(E17)*12+MONTH(E17))-(YEAR(D17)*12+MONTH(D17))+1)))</f>
        <v/>
      </c>
      <c r="AE17" s="326">
        <f>G17/F17</f>
        <v/>
      </c>
      <c r="AF17" s="708">
        <f>F17-G17</f>
        <v/>
      </c>
      <c r="AG17" s="500" t="n"/>
      <c r="AH17" s="500" t="n"/>
      <c r="AI17" s="500" t="n"/>
      <c r="AJ17" s="706" t="inlineStr"/>
      <c r="AK17" s="706" t="inlineStr"/>
      <c r="AL17" s="706" t="inlineStr"/>
      <c r="AM17" s="706" t="inlineStr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</row>
    <row r="18" outlineLevel="1" ht="14.25" customFormat="1" customHeight="1" s="483">
      <c r="A18" s="500" t="n"/>
      <c r="B18" s="707" t="inlineStr">
        <is>
          <t>理财师035</t>
        </is>
      </c>
      <c r="C18" s="707" t="inlineStr"/>
      <c r="D18" s="707" t="inlineStr"/>
      <c r="E18" s="707" t="inlineStr"/>
      <c r="F18" s="707" t="n">
        <v>0</v>
      </c>
      <c r="G18" s="707" t="n">
        <v>4641.751751</v>
      </c>
      <c r="H18" s="707" t="n">
        <v>224.412396</v>
      </c>
      <c r="I18" s="707" t="n">
        <v>0</v>
      </c>
      <c r="J18" s="707" t="n">
        <v>0</v>
      </c>
      <c r="K18" s="707">
        <f>SUM(H18:J18)</f>
        <v/>
      </c>
      <c r="L18" s="707" t="n">
        <v>539.9043</v>
      </c>
      <c r="M18" s="707" t="n">
        <v>1859.14872</v>
      </c>
      <c r="N18" s="707" t="n">
        <v>20.425227</v>
      </c>
      <c r="O18" s="707">
        <f>SUM(L18:N18)</f>
        <v/>
      </c>
      <c r="P18" s="707" t="n">
        <v>0</v>
      </c>
      <c r="Q18" s="707" t="n">
        <v>0</v>
      </c>
      <c r="R18" s="707" t="n">
        <v>43.453355</v>
      </c>
      <c r="S18" s="707">
        <f>SUM(P18:R18)</f>
        <v/>
      </c>
      <c r="T18" s="707" t="n">
        <v>0</v>
      </c>
      <c r="U18" s="707" t="n">
        <v>1943.65548</v>
      </c>
      <c r="V18" s="707" t="n">
        <v>10.752272</v>
      </c>
      <c r="W18" s="707">
        <f>SUM(T18:V18)</f>
        <v/>
      </c>
      <c r="X18" s="707" t="n">
        <v>0</v>
      </c>
      <c r="Y18" s="707" t="n">
        <v>0</v>
      </c>
      <c r="Z18" s="707" t="n">
        <v>0</v>
      </c>
      <c r="AA18" s="707">
        <f>SUM(X18:Z18)</f>
        <v/>
      </c>
      <c r="AB18" s="707" t="n">
        <v>0</v>
      </c>
      <c r="AC18" s="271">
        <f>SUM(K18+O18+S18+W18+AA18+AB18)</f>
        <v/>
      </c>
      <c r="AD18" s="326">
        <f>IF(F18=0,"",K18/(F18/MAX(1,(YEAR(E18)*12+MONTH(E18))-(YEAR(D18)*12+MONTH(D18))+1)))</f>
        <v/>
      </c>
      <c r="AE18" s="326">
        <f>G18/F18</f>
        <v/>
      </c>
      <c r="AF18" s="708">
        <f>F18-G18</f>
        <v/>
      </c>
      <c r="AG18" s="500" t="n"/>
      <c r="AH18" s="500" t="n"/>
      <c r="AI18" s="500" t="n"/>
      <c r="AJ18" s="706" t="inlineStr"/>
      <c r="AK18" s="706" t="inlineStr"/>
      <c r="AL18" s="706" t="inlineStr"/>
      <c r="AM18" s="706" t="inlineStr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</row>
    <row r="19" outlineLevel="1" ht="14.25" customFormat="1" customHeight="1" s="483">
      <c r="A19" s="513" t="n"/>
      <c r="B19" s="707" t="inlineStr">
        <is>
          <t>理财师007</t>
        </is>
      </c>
      <c r="C19" s="707" t="inlineStr">
        <is>
          <t>私人财富管理专家PWA4-4</t>
        </is>
      </c>
      <c r="D19" s="676" t="n">
        <v>46054</v>
      </c>
      <c r="E19" s="676" t="n">
        <v>46203</v>
      </c>
      <c r="F19" s="707" t="n">
        <v>25870.625</v>
      </c>
      <c r="G19" s="707" t="n">
        <v>34594.781976</v>
      </c>
      <c r="H19" s="707" t="n">
        <v>3827.057248</v>
      </c>
      <c r="I19" s="707" t="n">
        <v>0</v>
      </c>
      <c r="J19" s="707" t="n">
        <v>0</v>
      </c>
      <c r="K19" s="707">
        <f>SUM(H19:J19)</f>
        <v/>
      </c>
      <c r="L19" s="707" t="n">
        <v>1274.903482</v>
      </c>
      <c r="M19" s="707" t="n">
        <v>3566.1951</v>
      </c>
      <c r="N19" s="707" t="n">
        <v>270.289524</v>
      </c>
      <c r="O19" s="707">
        <f>SUM(L19:N19)</f>
        <v/>
      </c>
      <c r="P19" s="707" t="n">
        <v>2660.12632</v>
      </c>
      <c r="Q19" s="707" t="n">
        <v>0</v>
      </c>
      <c r="R19" s="707" t="n">
        <v>331.400492</v>
      </c>
      <c r="S19" s="707">
        <f>SUM(P19:R19)</f>
        <v/>
      </c>
      <c r="T19" s="707" t="n">
        <v>3406.959578</v>
      </c>
      <c r="U19" s="707" t="n">
        <v>14793.1056</v>
      </c>
      <c r="V19" s="707" t="n">
        <v>606.358521</v>
      </c>
      <c r="W19" s="707">
        <f>SUM(T19:V19)</f>
        <v/>
      </c>
      <c r="X19" s="707" t="n">
        <v>3557.362586</v>
      </c>
      <c r="Y19" s="707" t="n">
        <v>0</v>
      </c>
      <c r="Z19" s="707" t="n">
        <v>301.023526</v>
      </c>
      <c r="AA19" s="707">
        <f>SUM(X19:Z19)</f>
        <v/>
      </c>
      <c r="AB19" s="707" t="n">
        <v>8988.571889000001</v>
      </c>
      <c r="AC19" s="714">
        <f>SUM(K19+O19+S19+W19+AA19+AB19)</f>
        <v/>
      </c>
      <c r="AD19" s="326">
        <f>IF(F19=0,"",K19/(F19/((YEAR(E19)*12+MONTH(E19))-(YEAR(D19)*12+MONTH(D19))+1)))</f>
        <v/>
      </c>
      <c r="AE19" s="326">
        <f>G19/F19</f>
        <v/>
      </c>
      <c r="AF19" s="714">
        <f>F19-G19</f>
        <v/>
      </c>
      <c r="AG19" s="513" t="n"/>
      <c r="AH19" s="513" t="n"/>
      <c r="AI19" s="513" t="n"/>
      <c r="AJ19" s="706" t="inlineStr"/>
      <c r="AK19" s="706" t="inlineStr"/>
      <c r="AL19" s="706" t="inlineStr"/>
      <c r="AM19" s="706" t="inlineStr"/>
      <c r="AN19" s="706" t="inlineStr"/>
      <c r="AO19" s="706" t="inlineStr"/>
      <c r="AP19" s="706" t="inlineStr"/>
      <c r="AQ19" s="706" t="inlineStr"/>
      <c r="AR19" s="706" t="inlineStr"/>
      <c r="AS19" s="706" t="inlineStr"/>
      <c r="AT19" s="706" t="inlineStr"/>
      <c r="AU19" s="706" t="inlineStr"/>
      <c r="AV19" s="706" t="inlineStr"/>
      <c r="AW19" s="706" t="inlineStr"/>
      <c r="AX19" s="706" t="inlineStr"/>
      <c r="AY19" s="706" t="inlineStr"/>
      <c r="AZ19" s="706" t="inlineStr"/>
      <c r="BA19" s="706" t="inlineStr"/>
      <c r="BB19" s="706" t="inlineStr"/>
      <c r="BC19" s="706" t="inlineStr"/>
      <c r="BD19" s="706" t="inlineStr"/>
      <c r="BE19" s="706" t="inlineStr"/>
      <c r="BF19" s="706" t="inlineStr"/>
      <c r="BG19" s="706" t="inlineStr"/>
      <c r="BH19" s="706" t="inlineStr"/>
      <c r="BI19" s="706" t="inlineStr"/>
    </row>
    <row r="20" outlineLevel="1" ht="14.25" customFormat="1" customHeight="1" s="483">
      <c r="A20" s="710" t="inlineStr">
        <is>
          <t>合计</t>
        </is>
      </c>
      <c r="B20" s="518" t="n"/>
      <c r="C20" s="518" t="n"/>
      <c r="D20" s="518" t="n"/>
      <c r="E20" s="578" t="n"/>
      <c r="F20" s="333">
        <f>SUM(F16:F19)</f>
        <v/>
      </c>
      <c r="G20" s="710">
        <f>SUM(G16:G19)</f>
        <v/>
      </c>
      <c r="H20" s="710">
        <f>SUM(H16:H19)</f>
        <v/>
      </c>
      <c r="I20" s="710">
        <f>SUM(I16:I19)</f>
        <v/>
      </c>
      <c r="J20" s="710">
        <f>SUM(J16:J19)</f>
        <v/>
      </c>
      <c r="K20" s="710">
        <f>SUM(K16:K19)</f>
        <v/>
      </c>
      <c r="L20" s="710">
        <f>SUM(L16:L19)</f>
        <v/>
      </c>
      <c r="M20" s="710">
        <f>SUM(M16:M19)</f>
        <v/>
      </c>
      <c r="N20" s="710">
        <f>SUM(N16:N19)</f>
        <v/>
      </c>
      <c r="O20" s="710">
        <f>SUM(O16:O19)</f>
        <v/>
      </c>
      <c r="P20" s="710">
        <f>SUM(P16:P19)</f>
        <v/>
      </c>
      <c r="Q20" s="710">
        <f>SUM(Q16:Q19)</f>
        <v/>
      </c>
      <c r="R20" s="710">
        <f>SUM(R16:R19)</f>
        <v/>
      </c>
      <c r="S20" s="710">
        <f>SUM(S16:S19)</f>
        <v/>
      </c>
      <c r="T20" s="710">
        <f>SUM(T16:T19)</f>
        <v/>
      </c>
      <c r="U20" s="710">
        <f>SUM(U16:U19)</f>
        <v/>
      </c>
      <c r="V20" s="710">
        <f>SUM(V16:V19)</f>
        <v/>
      </c>
      <c r="W20" s="710">
        <f>SUM(W16:W19)</f>
        <v/>
      </c>
      <c r="X20" s="710">
        <f>SUM(X16:X19)</f>
        <v/>
      </c>
      <c r="Y20" s="710">
        <f>SUM(Y16:Y19)</f>
        <v/>
      </c>
      <c r="Z20" s="710">
        <f>SUM(Z16:Z19)</f>
        <v/>
      </c>
      <c r="AA20" s="710">
        <f>SUM(AA16:AA19)</f>
        <v/>
      </c>
      <c r="AB20" s="710">
        <f>SUM(AB16:AB19)</f>
        <v/>
      </c>
      <c r="AC20" s="333">
        <f>SUM(K20+O20+S20+W20+AA20+AB20)</f>
        <v/>
      </c>
      <c r="AD20" s="335">
        <f>IF(F20=0,"",K20/(F20/((YEAR(E16)*12+MONTH(E16))-(YEAR(D16)*12+MONTH(D16))+1)))</f>
        <v/>
      </c>
      <c r="AE20" s="336">
        <f>G20/F20</f>
        <v/>
      </c>
      <c r="AF20" s="715">
        <f>F20-G20</f>
        <v/>
      </c>
      <c r="AG20" s="337">
        <f>AG16</f>
        <v/>
      </c>
      <c r="AH20" s="335">
        <f>AC20/AG16</f>
        <v/>
      </c>
      <c r="AI20" s="716">
        <f>AG16-AC20</f>
        <v/>
      </c>
      <c r="AJ20" s="713" t="inlineStr"/>
      <c r="AK20" s="713" t="inlineStr"/>
      <c r="AL20" s="713" t="inlineStr"/>
      <c r="AM20" s="713" t="inlineStr"/>
      <c r="AN20" s="713" t="inlineStr"/>
      <c r="AO20" s="713" t="inlineStr"/>
      <c r="AP20" s="713" t="inlineStr"/>
      <c r="AQ20" s="713" t="inlineStr"/>
      <c r="AR20" s="713" t="inlineStr"/>
      <c r="AS20" s="713" t="inlineStr"/>
      <c r="AT20" s="713" t="inlineStr"/>
      <c r="AU20" s="713" t="inlineStr"/>
      <c r="AV20" s="713" t="inlineStr"/>
      <c r="AW20" s="713" t="inlineStr"/>
      <c r="AX20" s="713" t="inlineStr"/>
      <c r="AY20" s="713" t="inlineStr"/>
      <c r="AZ20" s="713" t="inlineStr"/>
      <c r="BA20" s="713" t="inlineStr"/>
      <c r="BB20" s="713" t="inlineStr"/>
      <c r="BC20" s="713" t="inlineStr"/>
      <c r="BD20" s="713" t="inlineStr"/>
      <c r="BE20" s="713" t="inlineStr"/>
      <c r="BF20" s="713" t="inlineStr"/>
      <c r="BG20" s="713" t="inlineStr"/>
      <c r="BH20" s="713" t="inlineStr"/>
      <c r="BI20" s="713" t="inlineStr"/>
    </row>
    <row r="21" outlineLevel="1" ht="14.25" customFormat="1" customHeight="1" s="483">
      <c r="A21" s="703" t="inlineStr">
        <is>
          <t>理财师016</t>
        </is>
      </c>
      <c r="B21" s="703" t="inlineStr">
        <is>
          <t>理财师028</t>
        </is>
      </c>
      <c r="C21" s="703" t="inlineStr">
        <is>
          <t>私人财富管理专家PWA4-5</t>
        </is>
      </c>
      <c r="D21" s="693" t="n">
        <v>46001</v>
      </c>
      <c r="E21" s="693" t="n">
        <v>46182</v>
      </c>
      <c r="F21" s="703" t="n">
        <v>23502</v>
      </c>
      <c r="G21" s="703" t="n">
        <v>337.57095</v>
      </c>
      <c r="H21" s="703" t="n">
        <v>0</v>
      </c>
      <c r="I21" s="703" t="n">
        <v>0</v>
      </c>
      <c r="J21" s="703" t="n">
        <v>0</v>
      </c>
      <c r="K21" s="703">
        <f>SUM(H21:J21)</f>
        <v/>
      </c>
      <c r="L21" s="703" t="n">
        <v>305.526</v>
      </c>
      <c r="M21" s="703" t="n">
        <v>0</v>
      </c>
      <c r="N21" s="703" t="n">
        <v>0</v>
      </c>
      <c r="O21" s="703">
        <f>SUM(L21:N21)</f>
        <v/>
      </c>
      <c r="P21" s="703" t="n">
        <v>0</v>
      </c>
      <c r="Q21" s="703" t="n">
        <v>0</v>
      </c>
      <c r="R21" s="703" t="n">
        <v>0</v>
      </c>
      <c r="S21" s="703">
        <f>SUM(P21:R21)</f>
        <v/>
      </c>
      <c r="T21" s="703" t="n">
        <v>0</v>
      </c>
      <c r="U21" s="703" t="n">
        <v>0</v>
      </c>
      <c r="V21" s="703" t="n">
        <v>32.04495</v>
      </c>
      <c r="W21" s="703">
        <f>SUM(T21:V21)</f>
        <v/>
      </c>
      <c r="X21" s="703" t="n">
        <v>0</v>
      </c>
      <c r="Y21" s="703" t="n">
        <v>0</v>
      </c>
      <c r="Z21" s="703" t="n">
        <v>0</v>
      </c>
      <c r="AA21" s="703">
        <f>SUM(X21:Z21)</f>
        <v/>
      </c>
      <c r="AB21" s="703" t="n">
        <v>0</v>
      </c>
      <c r="AC21" s="318">
        <f>SUM(K21+O21+S21+W21+AA21+AB21)</f>
        <v/>
      </c>
      <c r="AD21" s="319">
        <f>IF(F21=0,"",K21/(F21/((YEAR(E21)*12+MONTH(E21))-(YEAR(D21)*12+MONTH(D21))+1)))</f>
        <v/>
      </c>
      <c r="AE21" s="319">
        <f>G21/F21</f>
        <v/>
      </c>
      <c r="AF21" s="704">
        <f>F21-G21</f>
        <v/>
      </c>
      <c r="AG21" s="321">
        <f>SUM(F21:F23)</f>
        <v/>
      </c>
      <c r="AH21" s="322">
        <f>AH24</f>
        <v/>
      </c>
      <c r="AI21" s="717">
        <f>AI24</f>
        <v/>
      </c>
      <c r="AJ21" s="706" t="inlineStr"/>
      <c r="AK21" s="706" t="inlineStr"/>
      <c r="AL21" s="706" t="inlineStr"/>
      <c r="AM21" s="706" t="inlineStr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</row>
    <row r="22" outlineLevel="1" ht="14.25" customFormat="1" customHeight="1" s="483">
      <c r="A22" s="500" t="n"/>
      <c r="B22" s="707" t="inlineStr">
        <is>
          <t>理财师015</t>
        </is>
      </c>
      <c r="C22" s="707" t="inlineStr">
        <is>
          <t>私人财富管理资深顾问PWA2-4</t>
        </is>
      </c>
      <c r="D22" s="676" t="n">
        <v>45992</v>
      </c>
      <c r="E22" s="676" t="n">
        <v>46203</v>
      </c>
      <c r="F22" s="707" t="n">
        <v>11461.38</v>
      </c>
      <c r="G22" s="707" t="n">
        <v>5474.873932</v>
      </c>
      <c r="H22" s="707" t="n">
        <v>33.876</v>
      </c>
      <c r="I22" s="707" t="n">
        <v>0</v>
      </c>
      <c r="J22" s="707" t="n">
        <v>0</v>
      </c>
      <c r="K22" s="707">
        <f>SUM(H22:J22)</f>
        <v/>
      </c>
      <c r="L22" s="707" t="n">
        <v>494.115336</v>
      </c>
      <c r="M22" s="707" t="n">
        <v>0</v>
      </c>
      <c r="N22" s="707" t="n">
        <v>46.211266</v>
      </c>
      <c r="O22" s="707">
        <f>SUM(L22:N22)</f>
        <v/>
      </c>
      <c r="P22" s="707" t="n">
        <v>0</v>
      </c>
      <c r="Q22" s="707" t="n">
        <v>0</v>
      </c>
      <c r="R22" s="707" t="n">
        <v>37.443523</v>
      </c>
      <c r="S22" s="707">
        <f>SUM(P22:R22)</f>
        <v/>
      </c>
      <c r="T22" s="707" t="n">
        <v>198.1746</v>
      </c>
      <c r="U22" s="707" t="n">
        <v>0</v>
      </c>
      <c r="V22" s="707" t="n">
        <v>29.640215</v>
      </c>
      <c r="W22" s="707">
        <f>SUM(T22:V22)</f>
        <v/>
      </c>
      <c r="X22" s="707" t="n">
        <v>0.8469</v>
      </c>
      <c r="Y22" s="707" t="n">
        <v>4558.0158</v>
      </c>
      <c r="Z22" s="707" t="n">
        <v>19.389048</v>
      </c>
      <c r="AA22" s="707">
        <f>SUM(X22:Z22)</f>
        <v/>
      </c>
      <c r="AB22" s="707" t="n">
        <v>21.644177</v>
      </c>
      <c r="AC22" s="271">
        <f>SUM(K22+O22+S22+W22+AA22+AB22)</f>
        <v/>
      </c>
      <c r="AD22" s="326">
        <f>IF(F22=0,"",K22/(F22/((YEAR(E22)*12+MONTH(E22))-(YEAR(D22)*12+MONTH(D22))+1)))</f>
        <v/>
      </c>
      <c r="AE22" s="326">
        <f>G22/F22</f>
        <v/>
      </c>
      <c r="AF22" s="708">
        <f>F22-G22</f>
        <v/>
      </c>
      <c r="AG22" s="500" t="n"/>
      <c r="AH22" s="500" t="n"/>
      <c r="AI22" s="500" t="n"/>
      <c r="AJ22" s="706" t="inlineStr"/>
      <c r="AK22" s="706" t="inlineStr"/>
      <c r="AL22" s="706" t="inlineStr"/>
      <c r="AM22" s="706" t="inlineStr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</row>
    <row r="23" outlineLevel="1" ht="14.25" customFormat="1" customHeight="1" s="483">
      <c r="A23" s="513" t="n"/>
      <c r="B23" s="707" t="inlineStr">
        <is>
          <t>理财师016</t>
        </is>
      </c>
      <c r="C23" s="707" t="inlineStr">
        <is>
          <t>私人财富管理资深顾问PWA2-4</t>
        </is>
      </c>
      <c r="D23" s="676" t="n">
        <v>46023</v>
      </c>
      <c r="E23" s="676" t="n">
        <v>46203</v>
      </c>
      <c r="F23" s="707" t="n">
        <v>8731.32</v>
      </c>
      <c r="G23" s="707" t="n">
        <v>11218.195717</v>
      </c>
      <c r="H23" s="707" t="n">
        <v>146.7765</v>
      </c>
      <c r="I23" s="707" t="n">
        <v>0</v>
      </c>
      <c r="J23" s="707" t="n">
        <v>0</v>
      </c>
      <c r="K23" s="707">
        <f>SUM(H23:J23)</f>
        <v/>
      </c>
      <c r="L23" s="707" t="n">
        <v>2200.72469</v>
      </c>
      <c r="M23" s="707" t="n">
        <v>0</v>
      </c>
      <c r="N23" s="707" t="n">
        <v>126.144002</v>
      </c>
      <c r="O23" s="707">
        <f>SUM(L23:N23)</f>
        <v/>
      </c>
      <c r="P23" s="707" t="n">
        <v>1832.902273</v>
      </c>
      <c r="Q23" s="707" t="n">
        <v>0</v>
      </c>
      <c r="R23" s="707" t="n">
        <v>110.962682</v>
      </c>
      <c r="S23" s="707">
        <f>SUM(P23:R23)</f>
        <v/>
      </c>
      <c r="T23" s="707" t="n">
        <v>220.16475</v>
      </c>
      <c r="U23" s="707" t="n">
        <v>0</v>
      </c>
      <c r="V23" s="707" t="n">
        <v>154.524295</v>
      </c>
      <c r="W23" s="707">
        <f>SUM(T23:V23)</f>
        <v/>
      </c>
      <c r="X23" s="707" t="n">
        <v>3847.561596</v>
      </c>
      <c r="Y23" s="707" t="n">
        <v>0</v>
      </c>
      <c r="Z23" s="707" t="n">
        <v>38.370126</v>
      </c>
      <c r="AA23" s="707">
        <f>SUM(X23:Z23)</f>
        <v/>
      </c>
      <c r="AB23" s="707" t="n">
        <v>2540.064804</v>
      </c>
      <c r="AC23" s="271">
        <f>SUM(K23+O23+S23+W23+AA23+AB23)</f>
        <v/>
      </c>
      <c r="AD23" s="326">
        <f>IF(F23=0,"",K23/(F23/((YEAR(E23)*12+MONTH(E23))-(YEAR(D23)*12+MONTH(D23))+1)))</f>
        <v/>
      </c>
      <c r="AE23" s="326">
        <f>G23/F23</f>
        <v/>
      </c>
      <c r="AF23" s="708">
        <f>F23-G23</f>
        <v/>
      </c>
      <c r="AG23" s="513" t="n"/>
      <c r="AH23" s="513" t="n"/>
      <c r="AI23" s="513" t="n"/>
      <c r="AJ23" s="706" t="inlineStr"/>
      <c r="AK23" s="706" t="inlineStr"/>
      <c r="AL23" s="706" t="inlineStr"/>
      <c r="AM23" s="706" t="inlineStr"/>
      <c r="AN23" s="706" t="inlineStr"/>
      <c r="AO23" s="706" t="inlineStr"/>
      <c r="AP23" s="706" t="inlineStr"/>
      <c r="AQ23" s="706" t="inlineStr"/>
      <c r="AR23" s="706" t="inlineStr"/>
      <c r="AS23" s="706" t="inlineStr"/>
      <c r="AT23" s="706" t="inlineStr"/>
      <c r="AU23" s="706" t="inlineStr"/>
      <c r="AV23" s="706" t="inlineStr"/>
      <c r="AW23" s="706" t="inlineStr"/>
      <c r="AX23" s="706" t="inlineStr"/>
      <c r="AY23" s="706" t="inlineStr"/>
      <c r="AZ23" s="706" t="inlineStr"/>
      <c r="BA23" s="706" t="inlineStr"/>
      <c r="BB23" s="706" t="inlineStr"/>
      <c r="BC23" s="706" t="inlineStr"/>
      <c r="BD23" s="706" t="inlineStr"/>
      <c r="BE23" s="706" t="inlineStr"/>
      <c r="BF23" s="706" t="inlineStr"/>
      <c r="BG23" s="706" t="inlineStr"/>
      <c r="BH23" s="706" t="inlineStr"/>
      <c r="BI23" s="706" t="inlineStr"/>
    </row>
    <row r="24" outlineLevel="1" ht="14.25" customFormat="1" customHeight="1" s="483">
      <c r="A24" s="710" t="inlineStr">
        <is>
          <t>合计</t>
        </is>
      </c>
      <c r="B24" s="518" t="n"/>
      <c r="C24" s="518" t="n"/>
      <c r="D24" s="518" t="n"/>
      <c r="E24" s="578" t="n"/>
      <c r="F24" s="333">
        <f>SUM(F21:F23)</f>
        <v/>
      </c>
      <c r="G24" s="710">
        <f>SUM(G21:G23)</f>
        <v/>
      </c>
      <c r="H24" s="710">
        <f>SUM(H21:H23)</f>
        <v/>
      </c>
      <c r="I24" s="710">
        <f>SUM(I21:I23)</f>
        <v/>
      </c>
      <c r="J24" s="710">
        <f>SUM(J21:J23)</f>
        <v/>
      </c>
      <c r="K24" s="710">
        <f>SUM(K21:K23)</f>
        <v/>
      </c>
      <c r="L24" s="710">
        <f>SUM(L21:L23)</f>
        <v/>
      </c>
      <c r="M24" s="710">
        <f>SUM(M21:M23)</f>
        <v/>
      </c>
      <c r="N24" s="710">
        <f>SUM(N21:N23)</f>
        <v/>
      </c>
      <c r="O24" s="710">
        <f>SUM(O21:O23)</f>
        <v/>
      </c>
      <c r="P24" s="710">
        <f>SUM(P21:P23)</f>
        <v/>
      </c>
      <c r="Q24" s="710">
        <f>SUM(Q21:Q23)</f>
        <v/>
      </c>
      <c r="R24" s="710">
        <f>SUM(R21:R23)</f>
        <v/>
      </c>
      <c r="S24" s="710">
        <f>SUM(S21:S23)</f>
        <v/>
      </c>
      <c r="T24" s="710">
        <f>SUM(T21:T23)</f>
        <v/>
      </c>
      <c r="U24" s="710">
        <f>SUM(U21:U23)</f>
        <v/>
      </c>
      <c r="V24" s="710">
        <f>SUM(V21:V23)</f>
        <v/>
      </c>
      <c r="W24" s="710">
        <f>SUM(W21:W23)</f>
        <v/>
      </c>
      <c r="X24" s="710">
        <f>SUM(X21:X23)</f>
        <v/>
      </c>
      <c r="Y24" s="710">
        <f>SUM(Y21:Y23)</f>
        <v/>
      </c>
      <c r="Z24" s="710">
        <f>SUM(Z21:Z23)</f>
        <v/>
      </c>
      <c r="AA24" s="710">
        <f>SUM(AA21:AA23)</f>
        <v/>
      </c>
      <c r="AB24" s="710">
        <f>SUM(AB21:AB23)</f>
        <v/>
      </c>
      <c r="AC24" s="711">
        <f>SUM(K24+O24+S24+W24+AA24+AB24)</f>
        <v/>
      </c>
      <c r="AD24" s="335">
        <f>IF(F24=0,"",K24/(F24/((YEAR(E21)*12+MONTH(E21))-(YEAR(D21)*12+MONTH(D21))+1)))</f>
        <v/>
      </c>
      <c r="AE24" s="336">
        <f>G24/F24</f>
        <v/>
      </c>
      <c r="AF24" s="711">
        <f>F24-G24</f>
        <v/>
      </c>
      <c r="AG24" s="337">
        <f>AG21</f>
        <v/>
      </c>
      <c r="AH24" s="335">
        <f>AC24/AG21</f>
        <v/>
      </c>
      <c r="AI24" s="718">
        <f>AG21-AC24</f>
        <v/>
      </c>
      <c r="AJ24" s="713" t="inlineStr"/>
      <c r="AK24" s="713" t="inlineStr"/>
      <c r="AL24" s="713" t="inlineStr"/>
      <c r="AM24" s="713" t="inlineStr"/>
      <c r="AN24" s="713" t="inlineStr"/>
      <c r="AO24" s="713" t="inlineStr"/>
      <c r="AP24" s="713" t="inlineStr"/>
      <c r="AQ24" s="713" t="inlineStr"/>
      <c r="AR24" s="713" t="inlineStr"/>
      <c r="AS24" s="713" t="inlineStr"/>
      <c r="AT24" s="713" t="inlineStr"/>
      <c r="AU24" s="713" t="inlineStr"/>
      <c r="AV24" s="713" t="inlineStr"/>
      <c r="AW24" s="713" t="inlineStr"/>
      <c r="AX24" s="713" t="inlineStr"/>
      <c r="AY24" s="713" t="inlineStr"/>
      <c r="AZ24" s="713" t="inlineStr"/>
      <c r="BA24" s="713" t="inlineStr"/>
      <c r="BB24" s="713" t="inlineStr"/>
      <c r="BC24" s="713" t="inlineStr"/>
      <c r="BD24" s="713" t="inlineStr"/>
      <c r="BE24" s="713" t="inlineStr"/>
      <c r="BF24" s="713" t="inlineStr"/>
      <c r="BG24" s="713" t="inlineStr"/>
      <c r="BH24" s="713" t="inlineStr"/>
      <c r="BI24" s="713" t="inlineStr"/>
    </row>
    <row r="25" outlineLevel="1" ht="14.25" customFormat="1" customHeight="1" s="483">
      <c r="A25" s="703" t="inlineStr">
        <is>
          <t>理财师002</t>
        </is>
      </c>
      <c r="B25" s="703" t="inlineStr">
        <is>
          <t>理财师001</t>
        </is>
      </c>
      <c r="C25" s="703" t="inlineStr">
        <is>
          <t>私人财富管理顾问PWA1-2</t>
        </is>
      </c>
      <c r="D25" s="693" t="n">
        <v>46023</v>
      </c>
      <c r="E25" s="693" t="n">
        <v>46203</v>
      </c>
      <c r="F25" s="703" t="n">
        <v>4993.22</v>
      </c>
      <c r="G25" s="703" t="n">
        <v>5050.359998</v>
      </c>
      <c r="H25" s="703" t="n">
        <v>0</v>
      </c>
      <c r="I25" s="703" t="n">
        <v>0</v>
      </c>
      <c r="J25" s="703" t="n">
        <v>0</v>
      </c>
      <c r="K25" s="703">
        <f>SUM(H25:J25)</f>
        <v/>
      </c>
      <c r="L25" s="703" t="n">
        <v>121.826127</v>
      </c>
      <c r="M25" s="703" t="n">
        <v>0</v>
      </c>
      <c r="N25" s="703" t="n">
        <v>638.531805</v>
      </c>
      <c r="O25" s="703">
        <f>SUM(L25:N25)</f>
        <v/>
      </c>
      <c r="P25" s="703" t="n">
        <v>88.54274700000001</v>
      </c>
      <c r="Q25" s="703" t="n">
        <v>0</v>
      </c>
      <c r="R25" s="703" t="n">
        <v>616.124389</v>
      </c>
      <c r="S25" s="703">
        <f>SUM(P25:R25)</f>
        <v/>
      </c>
      <c r="T25" s="703" t="n">
        <v>50.830377</v>
      </c>
      <c r="U25" s="703" t="n">
        <v>0</v>
      </c>
      <c r="V25" s="703" t="n">
        <v>791.318135</v>
      </c>
      <c r="W25" s="703">
        <f>SUM(T25:V25)</f>
        <v/>
      </c>
      <c r="X25" s="703" t="n">
        <v>153.11976</v>
      </c>
      <c r="Y25" s="703" t="n">
        <v>0</v>
      </c>
      <c r="Z25" s="703" t="n">
        <v>560.548117</v>
      </c>
      <c r="AA25" s="703">
        <f>SUM(X25:Z25)</f>
        <v/>
      </c>
      <c r="AB25" s="703" t="n">
        <v>2029.518541</v>
      </c>
      <c r="AC25" s="318">
        <f>SUM(K25+O25+S25+W25+AA25+AB25)</f>
        <v/>
      </c>
      <c r="AD25" s="319">
        <f>IF(F25=0,"",K25/(F25/((YEAR(E25)*12+MONTH(E25))-(YEAR(D25)*12+MONTH(D25))+1)))</f>
        <v/>
      </c>
      <c r="AE25" s="319">
        <f>G25/F25</f>
        <v/>
      </c>
      <c r="AF25" s="704">
        <f>F25-G25</f>
        <v/>
      </c>
      <c r="AG25" s="321">
        <f>SUM(F25:F27)</f>
        <v/>
      </c>
      <c r="AH25" s="322">
        <f>AH28</f>
        <v/>
      </c>
      <c r="AI25" s="717">
        <f>AI28</f>
        <v/>
      </c>
      <c r="AJ25" s="706" t="inlineStr"/>
      <c r="AK25" s="706" t="inlineStr"/>
      <c r="AL25" s="706" t="inlineStr"/>
      <c r="AM25" s="706" t="inlineStr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</row>
    <row r="26" outlineLevel="1" ht="14.25" customFormat="1" customHeight="1" s="483">
      <c r="A26" s="500" t="n"/>
      <c r="B26" s="707" t="inlineStr">
        <is>
          <t>理财师027</t>
        </is>
      </c>
      <c r="C26" s="707" t="inlineStr">
        <is>
          <t>私人财富管理资深顾问PWA2-3</t>
        </is>
      </c>
      <c r="D26" s="676" t="n">
        <v>45943</v>
      </c>
      <c r="E26" s="676" t="n">
        <v>46124</v>
      </c>
      <c r="F26" s="707" t="n">
        <v>6847</v>
      </c>
      <c r="G26" s="707" t="n">
        <v>4823.60902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0</v>
      </c>
      <c r="M26" s="707" t="n">
        <v>0</v>
      </c>
      <c r="N26" s="707" t="n">
        <v>19.121258</v>
      </c>
      <c r="O26" s="707">
        <f>SUM(L26:N26)</f>
        <v/>
      </c>
      <c r="P26" s="707" t="n">
        <v>137.257846</v>
      </c>
      <c r="Q26" s="707" t="n">
        <v>3685.0554</v>
      </c>
      <c r="R26" s="707" t="n">
        <v>14.759064</v>
      </c>
      <c r="S26" s="707">
        <f>SUM(P26:R26)</f>
        <v/>
      </c>
      <c r="T26" s="707" t="n">
        <v>0</v>
      </c>
      <c r="U26" s="707" t="n">
        <v>0</v>
      </c>
      <c r="V26" s="707" t="n">
        <v>2.181886</v>
      </c>
      <c r="W26" s="707">
        <f>SUM(T26:V26)</f>
        <v/>
      </c>
      <c r="X26" s="707" t="n">
        <v>0</v>
      </c>
      <c r="Y26" s="707" t="n">
        <v>0</v>
      </c>
      <c r="Z26" s="707" t="n">
        <v>1.481485</v>
      </c>
      <c r="AA26" s="707">
        <f>SUM(X26:Z26)</f>
        <v/>
      </c>
      <c r="AB26" s="707" t="n">
        <v>66.75825</v>
      </c>
      <c r="AC26" s="271">
        <f>SUM(K26+O26+S26+W26+AA26+AB26)</f>
        <v/>
      </c>
      <c r="AD26" s="326">
        <f>IF(F26=0,"",K26/(F26/((YEAR(E26)*12+MONTH(E26))-(YEAR(D26)*12+MONTH(D26))+1)))</f>
        <v/>
      </c>
      <c r="AE26" s="326">
        <f>G26/F26</f>
        <v/>
      </c>
      <c r="AF26" s="708">
        <f>F26-G26</f>
        <v/>
      </c>
      <c r="AG26" s="500" t="n"/>
      <c r="AH26" s="500" t="n"/>
      <c r="AI26" s="500" t="n"/>
      <c r="AJ26" s="706" t="inlineStr"/>
      <c r="AK26" s="706" t="inlineStr"/>
      <c r="AL26" s="706" t="inlineStr"/>
      <c r="AM26" s="706" t="inlineStr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</row>
    <row r="27" outlineLevel="1" ht="14.25" customFormat="1" customHeight="1" s="483">
      <c r="A27" s="513" t="n"/>
      <c r="B27" s="707" t="inlineStr">
        <is>
          <t>理财师002</t>
        </is>
      </c>
      <c r="C27" s="707" t="inlineStr">
        <is>
          <t>私人财富管理专家PWA4-5</t>
        </is>
      </c>
      <c r="D27" s="676" t="n">
        <v>46023</v>
      </c>
      <c r="E27" s="676" t="n">
        <v>46203</v>
      </c>
      <c r="F27" s="707" t="n">
        <v>24411</v>
      </c>
      <c r="G27" s="707" t="n">
        <v>26447.152081</v>
      </c>
      <c r="H27" s="707" t="n">
        <v>9.7644</v>
      </c>
      <c r="I27" s="707" t="n">
        <v>0</v>
      </c>
      <c r="J27" s="707" t="n">
        <v>0</v>
      </c>
      <c r="K27" s="707">
        <f>SUM(H27:J27)</f>
        <v/>
      </c>
      <c r="L27" s="707" t="n">
        <v>2282.459095</v>
      </c>
      <c r="M27" s="707" t="n">
        <v>0</v>
      </c>
      <c r="N27" s="707" t="n">
        <v>234.231608</v>
      </c>
      <c r="O27" s="707">
        <f>SUM(L27:N27)</f>
        <v/>
      </c>
      <c r="P27" s="707" t="n">
        <v>-6272.243033</v>
      </c>
      <c r="Q27" s="707" t="n">
        <v>0</v>
      </c>
      <c r="R27" s="707" t="n">
        <v>210.102519</v>
      </c>
      <c r="S27" s="707">
        <f>SUM(P27:R27)</f>
        <v/>
      </c>
      <c r="T27" s="707" t="n">
        <v>2164.476574</v>
      </c>
      <c r="U27" s="707" t="n">
        <v>0</v>
      </c>
      <c r="V27" s="707" t="n">
        <v>365.27682</v>
      </c>
      <c r="W27" s="707">
        <f>SUM(T27:V27)</f>
        <v/>
      </c>
      <c r="X27" s="707" t="n">
        <v>2346.171162</v>
      </c>
      <c r="Y27" s="707" t="n">
        <v>0</v>
      </c>
      <c r="Z27" s="707" t="n">
        <v>187.41719</v>
      </c>
      <c r="AA27" s="707">
        <f>SUM(X27:Z27)</f>
        <v/>
      </c>
      <c r="AB27" s="707" t="n">
        <v>24919.495747</v>
      </c>
      <c r="AC27" s="271">
        <f>SUM(K27+O27+S27+W27+AA27+AB27)</f>
        <v/>
      </c>
      <c r="AD27" s="326">
        <f>IF(F27=0,"",K27/(F27/((YEAR(E27)*12+MONTH(E27))-(YEAR(D27)*12+MONTH(D27))+1)))</f>
        <v/>
      </c>
      <c r="AE27" s="326">
        <f>G27/F27</f>
        <v/>
      </c>
      <c r="AF27" s="708">
        <f>F27-G27</f>
        <v/>
      </c>
      <c r="AG27" s="513" t="n"/>
      <c r="AH27" s="513" t="n"/>
      <c r="AI27" s="513" t="n"/>
      <c r="AJ27" s="706" t="inlineStr"/>
      <c r="AK27" s="706" t="inlineStr"/>
      <c r="AL27" s="706" t="inlineStr"/>
      <c r="AM27" s="706" t="inlineStr"/>
      <c r="AN27" s="706" t="inlineStr"/>
      <c r="AO27" s="706" t="inlineStr"/>
      <c r="AP27" s="706" t="inlineStr"/>
      <c r="AQ27" s="706" t="inlineStr"/>
      <c r="AR27" s="706" t="inlineStr"/>
      <c r="AS27" s="706" t="inlineStr"/>
      <c r="AT27" s="706" t="inlineStr"/>
      <c r="AU27" s="706" t="inlineStr"/>
      <c r="AV27" s="706" t="inlineStr"/>
      <c r="AW27" s="706" t="inlineStr"/>
      <c r="AX27" s="706" t="inlineStr"/>
      <c r="AY27" s="706" t="inlineStr"/>
      <c r="AZ27" s="706" t="inlineStr"/>
      <c r="BA27" s="706" t="inlineStr"/>
      <c r="BB27" s="706" t="inlineStr"/>
      <c r="BC27" s="706" t="inlineStr"/>
      <c r="BD27" s="706" t="inlineStr"/>
      <c r="BE27" s="706" t="inlineStr"/>
      <c r="BF27" s="706" t="inlineStr"/>
      <c r="BG27" s="706" t="inlineStr"/>
      <c r="BH27" s="706" t="inlineStr"/>
      <c r="BI27" s="706" t="inlineStr"/>
    </row>
    <row r="28" outlineLevel="1" ht="14.25" customFormat="1" customHeight="1" s="483">
      <c r="A28" s="710" t="inlineStr">
        <is>
          <t>合计</t>
        </is>
      </c>
      <c r="B28" s="518" t="n"/>
      <c r="C28" s="518" t="n"/>
      <c r="D28" s="518" t="n"/>
      <c r="E28" s="578" t="n"/>
      <c r="F28" s="333">
        <f>SUM(F25:F27)</f>
        <v/>
      </c>
      <c r="G28" s="710">
        <f>SUM(G25:G27)</f>
        <v/>
      </c>
      <c r="H28" s="710">
        <f>SUM(H25:H27)</f>
        <v/>
      </c>
      <c r="I28" s="710">
        <f>SUM(I25:I27)</f>
        <v/>
      </c>
      <c r="J28" s="710">
        <f>SUM(J25:J27)</f>
        <v/>
      </c>
      <c r="K28" s="710">
        <f>SUM(K25:K27)</f>
        <v/>
      </c>
      <c r="L28" s="710">
        <f>SUM(L25:L27)</f>
        <v/>
      </c>
      <c r="M28" s="710">
        <f>SUM(M25:M27)</f>
        <v/>
      </c>
      <c r="N28" s="710">
        <f>SUM(N25:N27)</f>
        <v/>
      </c>
      <c r="O28" s="710">
        <f>SUM(O25:O27)</f>
        <v/>
      </c>
      <c r="P28" s="710">
        <f>SUM(P25:P27)</f>
        <v/>
      </c>
      <c r="Q28" s="710">
        <f>SUM(Q25:Q27)</f>
        <v/>
      </c>
      <c r="R28" s="710">
        <f>SUM(R25:R27)</f>
        <v/>
      </c>
      <c r="S28" s="710">
        <f>SUM(S25:S27)</f>
        <v/>
      </c>
      <c r="T28" s="710">
        <f>SUM(T25:T27)</f>
        <v/>
      </c>
      <c r="U28" s="710">
        <f>SUM(U25:U27)</f>
        <v/>
      </c>
      <c r="V28" s="710">
        <f>SUM(V25:V27)</f>
        <v/>
      </c>
      <c r="W28" s="710">
        <f>SUM(W25:W27)</f>
        <v/>
      </c>
      <c r="X28" s="710">
        <f>SUM(X25:X27)</f>
        <v/>
      </c>
      <c r="Y28" s="710">
        <f>SUM(Y25:Y27)</f>
        <v/>
      </c>
      <c r="Z28" s="710">
        <f>SUM(Z25:Z27)</f>
        <v/>
      </c>
      <c r="AA28" s="710">
        <f>SUM(AA25:AA27)</f>
        <v/>
      </c>
      <c r="AB28" s="710">
        <f>SUM(AB25:AB27)</f>
        <v/>
      </c>
      <c r="AC28" s="711">
        <f>SUM(K28+O28+S28+W28+AA28+AB28)</f>
        <v/>
      </c>
      <c r="AD28" s="335">
        <f>IF(F28=0,"",K28/(F28/((YEAR(E25)*12+MONTH(E25))-(YEAR(D25)*12+MONTH(D25))+1)))</f>
        <v/>
      </c>
      <c r="AE28" s="336">
        <f>G28/F28</f>
        <v/>
      </c>
      <c r="AF28" s="711">
        <f>F28-G28</f>
        <v/>
      </c>
      <c r="AG28" s="337">
        <f>AG25</f>
        <v/>
      </c>
      <c r="AH28" s="335">
        <f>AC28/AG25</f>
        <v/>
      </c>
      <c r="AI28" s="718">
        <f>AG25-AC28</f>
        <v/>
      </c>
      <c r="AJ28" s="713" t="inlineStr"/>
      <c r="AK28" s="713" t="inlineStr"/>
      <c r="AL28" s="713" t="inlineStr"/>
      <c r="AM28" s="713" t="inlineStr"/>
      <c r="AN28" s="713" t="inlineStr"/>
      <c r="AO28" s="713" t="inlineStr"/>
      <c r="AP28" s="713" t="inlineStr"/>
      <c r="AQ28" s="713" t="inlineStr"/>
      <c r="AR28" s="713" t="inlineStr"/>
      <c r="AS28" s="713" t="inlineStr"/>
      <c r="AT28" s="713" t="inlineStr"/>
      <c r="AU28" s="713" t="inlineStr"/>
      <c r="AV28" s="713" t="inlineStr"/>
      <c r="AW28" s="713" t="inlineStr"/>
      <c r="AX28" s="713" t="inlineStr"/>
      <c r="AY28" s="713" t="inlineStr"/>
      <c r="AZ28" s="713" t="inlineStr"/>
      <c r="BA28" s="713" t="inlineStr"/>
      <c r="BB28" s="713" t="inlineStr"/>
      <c r="BC28" s="713" t="inlineStr"/>
      <c r="BD28" s="713" t="inlineStr"/>
      <c r="BE28" s="713" t="inlineStr"/>
      <c r="BF28" s="713" t="inlineStr"/>
      <c r="BG28" s="713" t="inlineStr"/>
      <c r="BH28" s="713" t="inlineStr"/>
      <c r="BI28" s="713" t="inlineStr"/>
    </row>
    <row r="29" outlineLevel="1" ht="14.25" customFormat="1" customHeight="1" s="483">
      <c r="A29" s="703" t="inlineStr">
        <is>
          <t>理财师009</t>
        </is>
      </c>
      <c r="B29" s="703" t="inlineStr">
        <is>
          <t>理财师048</t>
        </is>
      </c>
      <c r="C29" s="703" t="inlineStr">
        <is>
          <t>观察期PWA0-1</t>
        </is>
      </c>
      <c r="D29" s="693" t="n">
        <v>46082</v>
      </c>
      <c r="E29" s="693" t="n">
        <v>46234</v>
      </c>
      <c r="F29" s="703" t="n">
        <v>3056.1223</v>
      </c>
      <c r="G29" s="703" t="n">
        <v>332.247119</v>
      </c>
      <c r="H29" s="703" t="n">
        <v>129.52368</v>
      </c>
      <c r="I29" s="703" t="n">
        <v>0</v>
      </c>
      <c r="J29" s="703" t="n">
        <v>0</v>
      </c>
      <c r="K29" s="703">
        <f>SUM(H29:J29)</f>
        <v/>
      </c>
      <c r="L29" s="703" t="n">
        <v>0</v>
      </c>
      <c r="M29" s="703" t="n">
        <v>0</v>
      </c>
      <c r="N29" s="703" t="n">
        <v>26.609284</v>
      </c>
      <c r="O29" s="703">
        <f>SUM(L29:N29)</f>
        <v/>
      </c>
      <c r="P29" s="703" t="n">
        <v>0</v>
      </c>
      <c r="Q29" s="703" t="n">
        <v>0</v>
      </c>
      <c r="R29" s="703" t="n">
        <v>25.715569</v>
      </c>
      <c r="S29" s="703">
        <f>SUM(P29:R29)</f>
        <v/>
      </c>
      <c r="T29" s="703" t="n">
        <v>103.23148</v>
      </c>
      <c r="U29" s="703" t="n">
        <v>0</v>
      </c>
      <c r="V29" s="703" t="n">
        <v>47.167105</v>
      </c>
      <c r="W29" s="703">
        <f>SUM(T29:V29)</f>
        <v/>
      </c>
      <c r="X29" s="703" t="n">
        <v>51.706393</v>
      </c>
      <c r="Y29" s="703" t="n">
        <v>90.204069</v>
      </c>
      <c r="Z29" s="703" t="n">
        <v>16.925117</v>
      </c>
      <c r="AA29" s="703">
        <f>SUM(X29:Z29)</f>
        <v/>
      </c>
      <c r="AB29" s="703" t="n">
        <v>193.330405</v>
      </c>
      <c r="AC29" s="318">
        <f>SUM(K29+O29+S29+W29+AA29+AB29)</f>
        <v/>
      </c>
      <c r="AD29" s="319">
        <f>IF(F29=0,"",K29/(F29/((YEAR(E29)*12+MONTH(E29))-(YEAR(D29)*12+MONTH(D29))+1)))</f>
        <v/>
      </c>
      <c r="AE29" s="319">
        <f>G29/F29</f>
        <v/>
      </c>
      <c r="AF29" s="704">
        <f>F29-G29</f>
        <v/>
      </c>
      <c r="AG29" s="321">
        <f>SUM(F29:F31)</f>
        <v/>
      </c>
      <c r="AH29" s="322">
        <f>AH32</f>
        <v/>
      </c>
      <c r="AI29" s="717">
        <f>AI32</f>
        <v/>
      </c>
      <c r="AJ29" s="706" t="inlineStr"/>
      <c r="AK29" s="706" t="inlineStr"/>
      <c r="AL29" s="706" t="inlineStr"/>
      <c r="AM29" s="706" t="inlineStr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</row>
    <row r="30" outlineLevel="1" ht="14.25" customFormat="1" customHeight="1" s="483">
      <c r="A30" s="500" t="n"/>
      <c r="B30" s="707" t="inlineStr">
        <is>
          <t>理财师009</t>
        </is>
      </c>
      <c r="C30" s="707" t="inlineStr">
        <is>
          <t>私人财富管理专家PWA4-1</t>
        </is>
      </c>
      <c r="D30" s="676" t="n">
        <v>46023</v>
      </c>
      <c r="E30" s="676" t="n">
        <v>46203</v>
      </c>
      <c r="F30" s="707" t="n">
        <v>28282.8</v>
      </c>
      <c r="G30" s="707" t="n">
        <v>35181.731495</v>
      </c>
      <c r="H30" s="707" t="n">
        <v>1676.40564</v>
      </c>
      <c r="I30" s="707" t="n">
        <v>0</v>
      </c>
      <c r="J30" s="707" t="n">
        <v>0</v>
      </c>
      <c r="K30" s="707">
        <f>SUM(H30:J30)</f>
        <v/>
      </c>
      <c r="L30" s="707" t="n">
        <v>536.6088</v>
      </c>
      <c r="M30" s="707" t="n">
        <v>0</v>
      </c>
      <c r="N30" s="707" t="n">
        <v>313.323811</v>
      </c>
      <c r="O30" s="707">
        <f>SUM(L30:N30)</f>
        <v/>
      </c>
      <c r="P30" s="707" t="n">
        <v>1351.820914</v>
      </c>
      <c r="Q30" s="707" t="n">
        <v>20570.004</v>
      </c>
      <c r="R30" s="707" t="n">
        <v>654.353493</v>
      </c>
      <c r="S30" s="707">
        <f>SUM(P30:R30)</f>
        <v/>
      </c>
      <c r="T30" s="707" t="n">
        <v>3314.503374</v>
      </c>
      <c r="U30" s="707" t="n">
        <v>0</v>
      </c>
      <c r="V30" s="707" t="n">
        <v>699.48968</v>
      </c>
      <c r="W30" s="707">
        <f>SUM(T30:V30)</f>
        <v/>
      </c>
      <c r="X30" s="707" t="n">
        <v>4769.379014</v>
      </c>
      <c r="Y30" s="707" t="n">
        <v>0</v>
      </c>
      <c r="Z30" s="707" t="n">
        <v>225.874626</v>
      </c>
      <c r="AA30" s="707">
        <f>SUM(X30:Z30)</f>
        <v/>
      </c>
      <c r="AB30" s="707" t="n">
        <v>1069.968142</v>
      </c>
      <c r="AC30" s="271">
        <f>SUM(K30+O30+S30+W30+AA30+AB30)</f>
        <v/>
      </c>
      <c r="AD30" s="326">
        <f>IF(F30=0,"",K30/(F30/((YEAR(E30)*12+MONTH(E30))-(YEAR(D30)*12+MONTH(D30))+1)))</f>
        <v/>
      </c>
      <c r="AE30" s="326">
        <f>G30/F30</f>
        <v/>
      </c>
      <c r="AF30" s="708">
        <f>F30-G30</f>
        <v/>
      </c>
      <c r="AG30" s="500" t="n"/>
      <c r="AH30" s="500" t="n"/>
      <c r="AI30" s="500" t="n"/>
      <c r="AJ30" s="706" t="inlineStr"/>
      <c r="AK30" s="706" t="inlineStr"/>
      <c r="AL30" s="706" t="inlineStr"/>
      <c r="AM30" s="706" t="inlineStr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</row>
    <row r="31" outlineLevel="1" ht="14.25" customFormat="1" customHeight="1" s="483">
      <c r="A31" s="513" t="n"/>
      <c r="B31" s="707" t="inlineStr">
        <is>
          <t>理财师010</t>
        </is>
      </c>
      <c r="C31" s="707" t="inlineStr">
        <is>
          <t>观察期PWA0-2</t>
        </is>
      </c>
      <c r="D31" s="676" t="n">
        <v>46023</v>
      </c>
      <c r="E31" s="676" t="n">
        <v>46203</v>
      </c>
      <c r="F31" s="707" t="n">
        <v>4868.16</v>
      </c>
      <c r="G31" s="707" t="n">
        <v>14555.714253</v>
      </c>
      <c r="H31" s="707" t="n">
        <v>0</v>
      </c>
      <c r="I31" s="707" t="n">
        <v>0</v>
      </c>
      <c r="J31" s="707" t="n">
        <v>0</v>
      </c>
      <c r="K31" s="707">
        <f>SUM(H31:J31)</f>
        <v/>
      </c>
      <c r="L31" s="707" t="n">
        <v>994.77807</v>
      </c>
      <c r="M31" s="707" t="n">
        <v>0</v>
      </c>
      <c r="N31" s="707" t="n">
        <v>185.511372</v>
      </c>
      <c r="O31" s="707">
        <f>SUM(L31:N31)</f>
        <v/>
      </c>
      <c r="P31" s="707" t="n">
        <v>949.2912</v>
      </c>
      <c r="Q31" s="707" t="n">
        <v>0</v>
      </c>
      <c r="R31" s="707" t="n">
        <v>144.291309</v>
      </c>
      <c r="S31" s="707">
        <f>SUM(P31:R31)</f>
        <v/>
      </c>
      <c r="T31" s="707" t="n">
        <v>2158.292651</v>
      </c>
      <c r="U31" s="707" t="n">
        <v>8187.6366</v>
      </c>
      <c r="V31" s="707" t="n">
        <v>194.447373</v>
      </c>
      <c r="W31" s="707">
        <f>SUM(T31:V31)</f>
        <v/>
      </c>
      <c r="X31" s="707" t="n">
        <v>474.6456</v>
      </c>
      <c r="Y31" s="707" t="n">
        <v>0</v>
      </c>
      <c r="Z31" s="707" t="n">
        <v>122.035472</v>
      </c>
      <c r="AA31" s="707">
        <f>SUM(X31:Z31)</f>
        <v/>
      </c>
      <c r="AB31" s="707" t="n">
        <v>1144.784607</v>
      </c>
      <c r="AC31" s="271">
        <f>SUM(K31+O31+S31+W31+AA31+AB31)</f>
        <v/>
      </c>
      <c r="AD31" s="326">
        <f>IF(F31=0,"",K31/(F31/((YEAR(E31)*12+MONTH(E31))-(YEAR(D31)*12+MONTH(D31))+1)))</f>
        <v/>
      </c>
      <c r="AE31" s="326">
        <f>G31/F31</f>
        <v/>
      </c>
      <c r="AF31" s="708">
        <f>F31-G31</f>
        <v/>
      </c>
      <c r="AG31" s="513" t="n"/>
      <c r="AH31" s="513" t="n"/>
      <c r="AI31" s="513" t="n"/>
      <c r="AJ31" s="706" t="inlineStr"/>
      <c r="AK31" s="706" t="inlineStr"/>
      <c r="AL31" s="706" t="inlineStr"/>
      <c r="AM31" s="706" t="inlineStr"/>
      <c r="AN31" s="706" t="inlineStr"/>
      <c r="AO31" s="706" t="inlineStr"/>
      <c r="AP31" s="706" t="inlineStr"/>
      <c r="AQ31" s="706" t="inlineStr"/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</row>
    <row r="32" outlineLevel="1" ht="14.25" customFormat="1" customHeight="1" s="483">
      <c r="A32" s="710" t="inlineStr">
        <is>
          <t>合计</t>
        </is>
      </c>
      <c r="B32" s="518" t="n"/>
      <c r="C32" s="518" t="n"/>
      <c r="D32" s="518" t="n"/>
      <c r="E32" s="578" t="n"/>
      <c r="F32" s="333">
        <f>SUM(F29:F31)</f>
        <v/>
      </c>
      <c r="G32" s="710">
        <f>SUM(G29:G31)</f>
        <v/>
      </c>
      <c r="H32" s="710">
        <f>SUM(H29:H31)</f>
        <v/>
      </c>
      <c r="I32" s="710">
        <f>SUM(I29:I31)</f>
        <v/>
      </c>
      <c r="J32" s="710">
        <f>SUM(J29:J31)</f>
        <v/>
      </c>
      <c r="K32" s="710">
        <f>SUM(K29:K31)</f>
        <v/>
      </c>
      <c r="L32" s="710">
        <f>SUM(L29:L31)</f>
        <v/>
      </c>
      <c r="M32" s="710">
        <f>SUM(M29:M31)</f>
        <v/>
      </c>
      <c r="N32" s="710">
        <f>SUM(N29:N31)</f>
        <v/>
      </c>
      <c r="O32" s="710">
        <f>SUM(O29:O31)</f>
        <v/>
      </c>
      <c r="P32" s="710">
        <f>SUM(P29:P31)</f>
        <v/>
      </c>
      <c r="Q32" s="710">
        <f>SUM(Q29:Q31)</f>
        <v/>
      </c>
      <c r="R32" s="710">
        <f>SUM(R29:R31)</f>
        <v/>
      </c>
      <c r="S32" s="710">
        <f>SUM(S29:S31)</f>
        <v/>
      </c>
      <c r="T32" s="710">
        <f>SUM(T29:T31)</f>
        <v/>
      </c>
      <c r="U32" s="710">
        <f>SUM(U29:U31)</f>
        <v/>
      </c>
      <c r="V32" s="710">
        <f>SUM(V29:V31)</f>
        <v/>
      </c>
      <c r="W32" s="710">
        <f>SUM(W29:W31)</f>
        <v/>
      </c>
      <c r="X32" s="710">
        <f>SUM(X29:X31)</f>
        <v/>
      </c>
      <c r="Y32" s="710">
        <f>SUM(Y29:Y31)</f>
        <v/>
      </c>
      <c r="Z32" s="710">
        <f>SUM(Z29:Z31)</f>
        <v/>
      </c>
      <c r="AA32" s="710">
        <f>SUM(AA29:AA31)</f>
        <v/>
      </c>
      <c r="AB32" s="710">
        <f>SUM(AB29:AB31)</f>
        <v/>
      </c>
      <c r="AC32" s="711">
        <f>SUM(K32+O32+S32+W32+AA32+AB32)</f>
        <v/>
      </c>
      <c r="AD32" s="335">
        <f>IF(F32=0,"",K32/(F32/((YEAR(E29)*12+MONTH(E29))-(YEAR(D29)*12+MONTH(D29))+1)))</f>
        <v/>
      </c>
      <c r="AE32" s="336">
        <f>G32/F32</f>
        <v/>
      </c>
      <c r="AF32" s="711">
        <f>F32-G32</f>
        <v/>
      </c>
      <c r="AG32" s="337">
        <f>AG29</f>
        <v/>
      </c>
      <c r="AH32" s="335">
        <f>AC32/AG29</f>
        <v/>
      </c>
      <c r="AI32" s="718">
        <f>AG29-AC32</f>
        <v/>
      </c>
      <c r="AJ32" s="713" t="inlineStr"/>
      <c r="AK32" s="713" t="inlineStr"/>
      <c r="AL32" s="713" t="inlineStr"/>
      <c r="AM32" s="713" t="inlineStr"/>
      <c r="AN32" s="713" t="inlineStr"/>
      <c r="AO32" s="713" t="inlineStr"/>
      <c r="AP32" s="713" t="inlineStr"/>
      <c r="AQ32" s="713" t="inlineStr"/>
      <c r="AR32" s="713" t="inlineStr"/>
      <c r="AS32" s="713" t="inlineStr"/>
      <c r="AT32" s="713" t="inlineStr"/>
      <c r="AU32" s="713" t="inlineStr"/>
      <c r="AV32" s="713" t="inlineStr"/>
      <c r="AW32" s="713" t="inlineStr"/>
      <c r="AX32" s="713" t="inlineStr"/>
      <c r="AY32" s="713" t="inlineStr"/>
      <c r="AZ32" s="713" t="inlineStr"/>
      <c r="BA32" s="713" t="inlineStr"/>
      <c r="BB32" s="713" t="inlineStr"/>
      <c r="BC32" s="713" t="inlineStr"/>
      <c r="BD32" s="713" t="inlineStr"/>
      <c r="BE32" s="713" t="inlineStr"/>
      <c r="BF32" s="713" t="inlineStr"/>
      <c r="BG32" s="713" t="inlineStr"/>
      <c r="BH32" s="713" t="inlineStr"/>
      <c r="BI32" s="713" t="inlineStr"/>
    </row>
    <row r="33" outlineLevel="1" ht="14.25" customFormat="1" customHeight="1" s="483">
      <c r="A33" s="703" t="inlineStr">
        <is>
          <t>理财师020</t>
        </is>
      </c>
      <c r="B33" s="703" t="inlineStr">
        <is>
          <t>理财师032</t>
        </is>
      </c>
      <c r="C33" s="703" t="inlineStr">
        <is>
          <t>C3</t>
        </is>
      </c>
      <c r="D33" s="693" t="n">
        <v>46049</v>
      </c>
      <c r="E33" s="693" t="n">
        <v>46229</v>
      </c>
      <c r="F33" s="703" t="n">
        <v>7912.17</v>
      </c>
      <c r="G33" s="703" t="n">
        <v>5718.903107</v>
      </c>
      <c r="H33" s="703" t="n">
        <v>0</v>
      </c>
      <c r="I33" s="703" t="n">
        <v>0</v>
      </c>
      <c r="J33" s="703" t="n">
        <v>0</v>
      </c>
      <c r="K33" s="703">
        <f>SUM(H33:J33)</f>
        <v/>
      </c>
      <c r="L33" s="703" t="n">
        <v>1610.465688</v>
      </c>
      <c r="M33" s="703" t="n">
        <v>110.192882</v>
      </c>
      <c r="N33" s="703" t="n">
        <v>23.921364</v>
      </c>
      <c r="O33" s="703">
        <f>SUM(L33:N33)</f>
        <v/>
      </c>
      <c r="P33" s="703" t="n">
        <v>1008.99006</v>
      </c>
      <c r="Q33" s="703" t="n">
        <v>0</v>
      </c>
      <c r="R33" s="703" t="n">
        <v>42.539952</v>
      </c>
      <c r="S33" s="703">
        <f>SUM(P33:R33)</f>
        <v/>
      </c>
      <c r="T33" s="703" t="n">
        <v>0</v>
      </c>
      <c r="U33" s="703" t="n">
        <v>342.296351</v>
      </c>
      <c r="V33" s="703" t="n">
        <v>99.729601</v>
      </c>
      <c r="W33" s="703">
        <f>SUM(T33:V33)</f>
        <v/>
      </c>
      <c r="X33" s="703" t="n">
        <v>440.8209</v>
      </c>
      <c r="Y33" s="703" t="n">
        <v>0</v>
      </c>
      <c r="Z33" s="703" t="n">
        <v>27.757259</v>
      </c>
      <c r="AA33" s="703">
        <f>SUM(X33:Z33)</f>
        <v/>
      </c>
      <c r="AB33" s="703" t="n">
        <v>1313.905711</v>
      </c>
      <c r="AC33" s="318">
        <f>SUM(K33+O33+S33+W33+AA33+AB33)</f>
        <v/>
      </c>
      <c r="AD33" s="319">
        <f>IF(F33=0,"",K33/(F33/((YEAR(E33)*12+MONTH(E33))-(YEAR(D33)*12+MONTH(D33))+1)))</f>
        <v/>
      </c>
      <c r="AE33" s="319">
        <f>G33/F33</f>
        <v/>
      </c>
      <c r="AF33" s="704">
        <f>F33-G33</f>
        <v/>
      </c>
      <c r="AG33" s="321">
        <f>SUM(F33:F34)</f>
        <v/>
      </c>
      <c r="AH33" s="322">
        <f>AH35</f>
        <v/>
      </c>
      <c r="AI33" s="717">
        <f>AI35</f>
        <v/>
      </c>
      <c r="AJ33" s="706" t="inlineStr"/>
      <c r="AK33" s="706" t="inlineStr"/>
      <c r="AL33" s="706" t="inlineStr"/>
      <c r="AM33" s="706" t="inlineStr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</row>
    <row r="34" outlineLevel="1" ht="14.25" customFormat="1" customHeight="1" s="483">
      <c r="A34" s="513" t="n"/>
      <c r="B34" s="707" t="inlineStr">
        <is>
          <t>理财师020</t>
        </is>
      </c>
      <c r="C34" s="707" t="inlineStr">
        <is>
          <t>私人财富管理资深顾问PWA2-5</t>
        </is>
      </c>
      <c r="D34" s="676" t="n">
        <v>46023</v>
      </c>
      <c r="E34" s="676" t="n">
        <v>46203</v>
      </c>
      <c r="F34" s="707" t="n">
        <v>15907.32</v>
      </c>
      <c r="G34" s="707" t="n">
        <v>43259.63956</v>
      </c>
      <c r="H34" s="707" t="n">
        <v>2765.415276</v>
      </c>
      <c r="I34" s="707" t="n">
        <v>0</v>
      </c>
      <c r="J34" s="707" t="n">
        <v>0</v>
      </c>
      <c r="K34" s="707">
        <f>SUM(H34:J34)</f>
        <v/>
      </c>
      <c r="L34" s="707" t="n">
        <v>8333.122670999999</v>
      </c>
      <c r="M34" s="707" t="n">
        <v>0</v>
      </c>
      <c r="N34" s="707" t="n">
        <v>299.634617</v>
      </c>
      <c r="O34" s="707">
        <f>SUM(L34:N34)</f>
        <v/>
      </c>
      <c r="P34" s="707" t="n">
        <v>1259.210798</v>
      </c>
      <c r="Q34" s="707" t="n">
        <v>3101.9274</v>
      </c>
      <c r="R34" s="707" t="n">
        <v>318.667286</v>
      </c>
      <c r="S34" s="707">
        <f>SUM(P34:R34)</f>
        <v/>
      </c>
      <c r="T34" s="707" t="n">
        <v>10803.329409</v>
      </c>
      <c r="U34" s="707" t="n">
        <v>0</v>
      </c>
      <c r="V34" s="707" t="n">
        <v>396.373158</v>
      </c>
      <c r="W34" s="707">
        <f>SUM(T34:V34)</f>
        <v/>
      </c>
      <c r="X34" s="707" t="n">
        <v>6594.535422</v>
      </c>
      <c r="Y34" s="707" t="n">
        <v>0</v>
      </c>
      <c r="Z34" s="707" t="n">
        <v>271.914403</v>
      </c>
      <c r="AA34" s="707">
        <f>SUM(X34:Z34)</f>
        <v/>
      </c>
      <c r="AB34" s="707" t="n">
        <v>9115.509121999999</v>
      </c>
      <c r="AC34" s="271">
        <f>SUM(K34+O34+S34+W34+AA34+AB34)</f>
        <v/>
      </c>
      <c r="AD34" s="326">
        <f>IF(F34=0,"",K34/(F34/((YEAR(E34)*12+MONTH(E34))-(YEAR(D34)*12+MONTH(D34))+1)))</f>
        <v/>
      </c>
      <c r="AE34" s="326">
        <f>G34/F34</f>
        <v/>
      </c>
      <c r="AF34" s="708">
        <f>F34-G34</f>
        <v/>
      </c>
      <c r="AG34" s="513" t="n"/>
      <c r="AH34" s="513" t="n"/>
      <c r="AI34" s="513" t="n"/>
      <c r="AJ34" s="706" t="inlineStr"/>
      <c r="AK34" s="706" t="inlineStr"/>
      <c r="AL34" s="706" t="inlineStr"/>
      <c r="AM34" s="706" t="inlineStr"/>
      <c r="AN34" s="706" t="inlineStr"/>
      <c r="AO34" s="706" t="inlineStr"/>
      <c r="AP34" s="706" t="inlineStr"/>
      <c r="AQ34" s="706" t="inlineStr"/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</row>
    <row r="35" outlineLevel="1" ht="14.25" customFormat="1" customHeight="1" s="483">
      <c r="A35" s="710" t="inlineStr">
        <is>
          <t>合计</t>
        </is>
      </c>
      <c r="B35" s="518" t="n"/>
      <c r="C35" s="518" t="n"/>
      <c r="D35" s="518" t="n"/>
      <c r="E35" s="578" t="n"/>
      <c r="F35" s="333">
        <f>SUM(F33:F34)</f>
        <v/>
      </c>
      <c r="G35" s="710">
        <f>SUM(G33:G34)</f>
        <v/>
      </c>
      <c r="H35" s="710">
        <f>SUM(H33:H34)</f>
        <v/>
      </c>
      <c r="I35" s="710">
        <f>SUM(I33:I34)</f>
        <v/>
      </c>
      <c r="J35" s="710">
        <f>SUM(J33:J34)</f>
        <v/>
      </c>
      <c r="K35" s="710">
        <f>SUM(K33:K34)</f>
        <v/>
      </c>
      <c r="L35" s="710">
        <f>SUM(L33:L34)</f>
        <v/>
      </c>
      <c r="M35" s="710">
        <f>SUM(M33:M34)</f>
        <v/>
      </c>
      <c r="N35" s="710">
        <f>SUM(N33:N34)</f>
        <v/>
      </c>
      <c r="O35" s="710">
        <f>SUM(O33:O34)</f>
        <v/>
      </c>
      <c r="P35" s="710">
        <f>SUM(P33:P34)</f>
        <v/>
      </c>
      <c r="Q35" s="710">
        <f>SUM(Q33:Q34)</f>
        <v/>
      </c>
      <c r="R35" s="710">
        <f>SUM(R33:R34)</f>
        <v/>
      </c>
      <c r="S35" s="710">
        <f>SUM(S33:S34)</f>
        <v/>
      </c>
      <c r="T35" s="710">
        <f>SUM(T33:T34)</f>
        <v/>
      </c>
      <c r="U35" s="710">
        <f>SUM(U33:U34)</f>
        <v/>
      </c>
      <c r="V35" s="710">
        <f>SUM(V33:V34)</f>
        <v/>
      </c>
      <c r="W35" s="710">
        <f>SUM(W33:W34)</f>
        <v/>
      </c>
      <c r="X35" s="710">
        <f>SUM(X33:X34)</f>
        <v/>
      </c>
      <c r="Y35" s="710">
        <f>SUM(Y33:Y34)</f>
        <v/>
      </c>
      <c r="Z35" s="710">
        <f>SUM(Z33:Z34)</f>
        <v/>
      </c>
      <c r="AA35" s="710">
        <f>SUM(AA33:AA34)</f>
        <v/>
      </c>
      <c r="AB35" s="710">
        <f>SUM(AB33:AB34)</f>
        <v/>
      </c>
      <c r="AC35" s="711">
        <f>SUM(K35+O35+S35+W35+AA35+AB35)</f>
        <v/>
      </c>
      <c r="AD35" s="335">
        <f>IF(F35=0,"",K35/(F35/((YEAR(E33)*12+MONTH(E33))-(YEAR(D33)*12+MONTH(D33))+1)))</f>
        <v/>
      </c>
      <c r="AE35" s="336">
        <f>G35/F35</f>
        <v/>
      </c>
      <c r="AF35" s="711">
        <f>F35-G35</f>
        <v/>
      </c>
      <c r="AG35" s="337">
        <f>AG33</f>
        <v/>
      </c>
      <c r="AH35" s="335">
        <f>AC35/AG33</f>
        <v/>
      </c>
      <c r="AI35" s="718">
        <f>AG33-AC35</f>
        <v/>
      </c>
      <c r="AJ35" s="713" t="inlineStr"/>
      <c r="AK35" s="713" t="inlineStr"/>
      <c r="AL35" s="713" t="inlineStr"/>
      <c r="AM35" s="713" t="inlineStr"/>
      <c r="AN35" s="713" t="inlineStr"/>
      <c r="AO35" s="713" t="inlineStr"/>
      <c r="AP35" s="713" t="inlineStr"/>
      <c r="AQ35" s="713" t="inlineStr"/>
      <c r="AR35" s="713" t="inlineStr"/>
      <c r="AS35" s="713" t="inlineStr"/>
      <c r="AT35" s="713" t="inlineStr"/>
      <c r="AU35" s="713" t="inlineStr"/>
      <c r="AV35" s="713" t="inlineStr"/>
      <c r="AW35" s="713" t="inlineStr"/>
      <c r="AX35" s="713" t="inlineStr"/>
      <c r="AY35" s="713" t="inlineStr"/>
      <c r="AZ35" s="713" t="inlineStr"/>
      <c r="BA35" s="713" t="inlineStr"/>
      <c r="BB35" s="713" t="inlineStr"/>
      <c r="BC35" s="713" t="inlineStr"/>
      <c r="BD35" s="713" t="inlineStr"/>
      <c r="BE35" s="713" t="inlineStr"/>
      <c r="BF35" s="713" t="inlineStr"/>
      <c r="BG35" s="713" t="inlineStr"/>
      <c r="BH35" s="713" t="inlineStr"/>
      <c r="BI35" s="713" t="inlineStr"/>
    </row>
    <row r="36" outlineLevel="1" ht="14.25" customFormat="1" customHeight="1" s="483">
      <c r="A36" s="703" t="inlineStr">
        <is>
          <t>理财师005</t>
        </is>
      </c>
      <c r="B36" s="703" t="inlineStr">
        <is>
          <t>理财师026</t>
        </is>
      </c>
      <c r="C36" s="703" t="inlineStr">
        <is>
          <t>观察期PWA0-1</t>
        </is>
      </c>
      <c r="D36" s="693" t="n">
        <v>46113</v>
      </c>
      <c r="E36" s="693" t="n">
        <v>46203</v>
      </c>
      <c r="F36" s="703" t="n">
        <v>1943.13</v>
      </c>
      <c r="G36" s="703" t="n">
        <v>584.585439</v>
      </c>
      <c r="H36" s="703" t="n">
        <v>0</v>
      </c>
      <c r="I36" s="703" t="n">
        <v>0</v>
      </c>
      <c r="J36" s="703" t="n">
        <v>0</v>
      </c>
      <c r="K36" s="703">
        <f>SUM(H36:J36)</f>
        <v/>
      </c>
      <c r="L36" s="703" t="n">
        <v>114.611359</v>
      </c>
      <c r="M36" s="703" t="n">
        <v>0</v>
      </c>
      <c r="N36" s="703" t="n">
        <v>18.055825</v>
      </c>
      <c r="O36" s="703">
        <f>SUM(L36:N36)</f>
        <v/>
      </c>
      <c r="P36" s="703" t="n">
        <v>437.370804</v>
      </c>
      <c r="Q36" s="703" t="n">
        <v>0</v>
      </c>
      <c r="R36" s="703" t="n">
        <v>14.547451</v>
      </c>
      <c r="S36" s="703">
        <f>SUM(P36:R36)</f>
        <v/>
      </c>
      <c r="T36" s="703" t="n">
        <v>809.929895</v>
      </c>
      <c r="U36" s="703" t="n">
        <v>0</v>
      </c>
      <c r="V36" s="703" t="n">
        <v>47.501776</v>
      </c>
      <c r="W36" s="703">
        <f>SUM(T36:V36)</f>
        <v/>
      </c>
      <c r="X36" s="703" t="n">
        <v>176.20858</v>
      </c>
      <c r="Y36" s="703" t="n">
        <v>0</v>
      </c>
      <c r="Z36" s="703" t="n">
        <v>11.404098</v>
      </c>
      <c r="AA36" s="703">
        <f>SUM(X36:Z36)</f>
        <v/>
      </c>
      <c r="AB36" s="703" t="n">
        <v>12.282809</v>
      </c>
      <c r="AC36" s="318">
        <f>SUM(K36+O36+S36+W36+AA36+AB36)</f>
        <v/>
      </c>
      <c r="AD36" s="319">
        <f>IF(F36=0,"",K36/(F36/((YEAR(E36)*12+MONTH(E36))-(YEAR(D36)*12+MONTH(D36))+1)))</f>
        <v/>
      </c>
      <c r="AE36" s="319">
        <f>G36/F36</f>
        <v/>
      </c>
      <c r="AF36" s="704">
        <f>F36-G36</f>
        <v/>
      </c>
      <c r="AG36" s="321">
        <f>SUM(F36:F37)</f>
        <v/>
      </c>
      <c r="AH36" s="322">
        <f>AH38</f>
        <v/>
      </c>
      <c r="AI36" s="717">
        <f>AI38</f>
        <v/>
      </c>
      <c r="AJ36" s="706" t="inlineStr"/>
      <c r="AK36" s="706" t="inlineStr"/>
      <c r="AL36" s="706" t="inlineStr"/>
      <c r="AM36" s="706" t="inlineStr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12032.559728</v>
      </c>
      <c r="H37" s="707" t="n">
        <v>1243.863504</v>
      </c>
      <c r="I37" s="707" t="n">
        <v>0</v>
      </c>
      <c r="J37" s="707" t="n">
        <v>0</v>
      </c>
      <c r="K37" s="707">
        <f>SUM(H37:J37)</f>
        <v/>
      </c>
      <c r="L37" s="707" t="n">
        <v>907.591957</v>
      </c>
      <c r="M37" s="707" t="n">
        <v>0</v>
      </c>
      <c r="N37" s="707" t="n">
        <v>315.666967</v>
      </c>
      <c r="O37" s="707">
        <f>SUM(L37:N37)</f>
        <v/>
      </c>
      <c r="P37" s="707" t="n">
        <v>1870.349984</v>
      </c>
      <c r="Q37" s="707" t="n">
        <v>2312.474666</v>
      </c>
      <c r="R37" s="707" t="n">
        <v>319.48223</v>
      </c>
      <c r="S37" s="707">
        <f>SUM(P37:R37)</f>
        <v/>
      </c>
      <c r="T37" s="707" t="n">
        <v>731.292658</v>
      </c>
      <c r="U37" s="707" t="n">
        <v>1925.150771</v>
      </c>
      <c r="V37" s="707" t="n">
        <v>383.775324</v>
      </c>
      <c r="W37" s="707">
        <f>SUM(T37:V37)</f>
        <v/>
      </c>
      <c r="X37" s="707" t="n">
        <v>1738.204897</v>
      </c>
      <c r="Y37" s="707" t="n">
        <v>0</v>
      </c>
      <c r="Z37" s="707" t="n">
        <v>284.706769</v>
      </c>
      <c r="AA37" s="707">
        <f>SUM(X37:Z37)</f>
        <v/>
      </c>
      <c r="AB37" s="707" t="n">
        <v>1538.392041</v>
      </c>
      <c r="AC37" s="271">
        <f>SUM(K37+O37+S37+W37+AA37+AB37)</f>
        <v/>
      </c>
      <c r="AD37" s="326">
        <f>IF(F37=0,"",K37/(F37/((YEAR(E37)*12+MONTH(E37))-(YEAR(D37)*12+MONTH(D37))+1)))</f>
        <v/>
      </c>
      <c r="AE37" s="326">
        <f>G37/F37</f>
        <v/>
      </c>
      <c r="AF37" s="708">
        <f>F37-G37</f>
        <v/>
      </c>
      <c r="AG37" s="513" t="n"/>
      <c r="AH37" s="513" t="n"/>
      <c r="AI37" s="513" t="n"/>
      <c r="AJ37" s="706" t="inlineStr"/>
      <c r="AK37" s="706" t="inlineStr"/>
      <c r="AL37" s="706" t="inlineStr"/>
      <c r="AM37" s="706" t="inlineStr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SUM(F36:F37)</f>
        <v/>
      </c>
      <c r="G38" s="710">
        <f>SUM(G36:G37)</f>
        <v/>
      </c>
      <c r="H38" s="710">
        <f>SUM(H36:H37)</f>
        <v/>
      </c>
      <c r="I38" s="710">
        <f>SUM(I36:I37)</f>
        <v/>
      </c>
      <c r="J38" s="710">
        <f>SUM(J36:J37)</f>
        <v/>
      </c>
      <c r="K38" s="710">
        <f>SUM(K36:K37)</f>
        <v/>
      </c>
      <c r="L38" s="710">
        <f>SUM(L36:L37)</f>
        <v/>
      </c>
      <c r="M38" s="710">
        <f>SUM(M36:M37)</f>
        <v/>
      </c>
      <c r="N38" s="710">
        <f>SUM(N36:N37)</f>
        <v/>
      </c>
      <c r="O38" s="710">
        <f>SUM(O36:O37)</f>
        <v/>
      </c>
      <c r="P38" s="710">
        <f>SUM(P36:P37)</f>
        <v/>
      </c>
      <c r="Q38" s="710">
        <f>SUM(Q36:Q37)</f>
        <v/>
      </c>
      <c r="R38" s="710">
        <f>SUM(R36:R37)</f>
        <v/>
      </c>
      <c r="S38" s="710">
        <f>SUM(S36:S37)</f>
        <v/>
      </c>
      <c r="T38" s="710">
        <f>SUM(T36:T37)</f>
        <v/>
      </c>
      <c r="U38" s="710">
        <f>SUM(U36:U37)</f>
        <v/>
      </c>
      <c r="V38" s="710">
        <f>SUM(V36:V37)</f>
        <v/>
      </c>
      <c r="W38" s="710">
        <f>SUM(W36:W37)</f>
        <v/>
      </c>
      <c r="X38" s="710">
        <f>SUM(X36:X37)</f>
        <v/>
      </c>
      <c r="Y38" s="710">
        <f>SUM(Y36:Y37)</f>
        <v/>
      </c>
      <c r="Z38" s="710">
        <f>SUM(Z36:Z37)</f>
        <v/>
      </c>
      <c r="AA38" s="710">
        <f>SUM(AA36:AA37)</f>
        <v/>
      </c>
      <c r="AB38" s="710">
        <f>SUM(AB36:AB37)</f>
        <v/>
      </c>
      <c r="AC38" s="711">
        <f>SUM(K38+O38+S38+W38+AA38+AB38)</f>
        <v/>
      </c>
      <c r="AD38" s="335">
        <f>IF(F38=0,"",K38/(F38/((YEAR(E36)*12+MONTH(E36))-(YEAR(D36)*12+MONTH(D36))+1)))</f>
        <v/>
      </c>
      <c r="AE38" s="336">
        <f>G38/F38</f>
        <v/>
      </c>
      <c r="AF38" s="711">
        <f>F38-G38</f>
        <v/>
      </c>
      <c r="AG38" s="337">
        <f>AG36</f>
        <v/>
      </c>
      <c r="AH38" s="335">
        <f>AC38/AG36</f>
        <v/>
      </c>
      <c r="AI38" s="718">
        <f>AG36-AC38</f>
        <v/>
      </c>
      <c r="AJ38" s="713" t="inlineStr"/>
      <c r="AK38" s="713" t="inlineStr"/>
      <c r="AL38" s="713" t="inlineStr"/>
      <c r="AM38" s="713" t="inlineStr"/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4466.016626</v>
      </c>
      <c r="H39" s="703" t="n">
        <v>564.94934</v>
      </c>
      <c r="I39" s="703" t="n">
        <v>0</v>
      </c>
      <c r="J39" s="703" t="n">
        <v>0</v>
      </c>
      <c r="K39" s="703">
        <f>SUM(H39:J39)</f>
        <v/>
      </c>
      <c r="L39" s="703" t="n">
        <v>0</v>
      </c>
      <c r="M39" s="703" t="n">
        <v>3092.4036</v>
      </c>
      <c r="N39" s="703" t="n">
        <v>1.356844</v>
      </c>
      <c r="O39" s="703">
        <f>SUM(L39:N39)</f>
        <v/>
      </c>
      <c r="P39" s="703" t="n">
        <v>178.04748</v>
      </c>
      <c r="Q39" s="703" t="n">
        <v>0</v>
      </c>
      <c r="R39" s="703" t="n">
        <v>32.11807</v>
      </c>
      <c r="S39" s="703">
        <f>SUM(P39:R39)</f>
        <v/>
      </c>
      <c r="T39" s="703" t="n">
        <v>47.229437</v>
      </c>
      <c r="U39" s="703" t="n">
        <v>0</v>
      </c>
      <c r="V39" s="703" t="n">
        <v>24.120644</v>
      </c>
      <c r="W39" s="703">
        <f>SUM(T39:V39)</f>
        <v/>
      </c>
      <c r="X39" s="703" t="n">
        <v>524.574731</v>
      </c>
      <c r="Y39" s="703" t="n">
        <v>0</v>
      </c>
      <c r="Z39" s="703" t="n">
        <v>1.216481</v>
      </c>
      <c r="AA39" s="703">
        <f>SUM(X39:Z39)</f>
        <v/>
      </c>
      <c r="AB39" s="703" t="n">
        <v>0</v>
      </c>
      <c r="AC39" s="318">
        <f>SUM(K39+O39+S39+W39+AA39+AB39)</f>
        <v/>
      </c>
      <c r="AD39" s="319">
        <f>IF(F39=0,"",K39/(F39/((YEAR(E39)*12+MONTH(E39))-(YEAR(D39)*12+MONTH(D39))+1)))</f>
        <v/>
      </c>
      <c r="AE39" s="319">
        <f>G39/F39</f>
        <v/>
      </c>
      <c r="AF39" s="704">
        <f>F39-G39</f>
        <v/>
      </c>
      <c r="AG39" s="321">
        <f>SUM(F39:F40)</f>
        <v/>
      </c>
      <c r="AH39" s="322">
        <f>AH41</f>
        <v/>
      </c>
      <c r="AI39" s="717">
        <f>AI41</f>
        <v/>
      </c>
      <c r="AJ39" s="706" t="inlineStr"/>
      <c r="AK39" s="706" t="inlineStr"/>
      <c r="AL39" s="706" t="inlineStr"/>
      <c r="AM39" s="706" t="inlineStr"/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30182.364843</v>
      </c>
      <c r="H40" s="707" t="n">
        <v>3874.376797</v>
      </c>
      <c r="I40" s="707" t="n">
        <v>0</v>
      </c>
      <c r="J40" s="707" t="n">
        <v>0</v>
      </c>
      <c r="K40" s="707">
        <f>SUM(H40:J40)</f>
        <v/>
      </c>
      <c r="L40" s="707" t="n">
        <v>5263.972173</v>
      </c>
      <c r="M40" s="707" t="n">
        <v>1110.4548</v>
      </c>
      <c r="N40" s="707" t="n">
        <v>213.797407</v>
      </c>
      <c r="O40" s="707">
        <f>SUM(L40:N40)</f>
        <v/>
      </c>
      <c r="P40" s="707" t="n">
        <v>3533.62581</v>
      </c>
      <c r="Q40" s="707" t="n">
        <v>2435.06874</v>
      </c>
      <c r="R40" s="707" t="n">
        <v>188.462147</v>
      </c>
      <c r="S40" s="707">
        <f>SUM(P40:R40)</f>
        <v/>
      </c>
      <c r="T40" s="707" t="n">
        <v>9546.464904</v>
      </c>
      <c r="U40" s="707" t="n">
        <v>0</v>
      </c>
      <c r="V40" s="707" t="n">
        <v>401.214551</v>
      </c>
      <c r="W40" s="707">
        <f>SUM(T40:V40)</f>
        <v/>
      </c>
      <c r="X40" s="707" t="n">
        <v>1081.878995</v>
      </c>
      <c r="Y40" s="707" t="n">
        <v>523.50012</v>
      </c>
      <c r="Z40" s="707" t="n">
        <v>135.589522</v>
      </c>
      <c r="AA40" s="707">
        <f>SUM(X40:Z40)</f>
        <v/>
      </c>
      <c r="AB40" s="707" t="n">
        <v>1873.958877</v>
      </c>
      <c r="AC40" s="271">
        <f>SUM(K40+O40+S40+W40+AA40+AB40)</f>
        <v/>
      </c>
      <c r="AD40" s="326">
        <f>IF(F40=0,"",K40/(F40/((YEAR(E40)*12+MONTH(E40))-(YEAR(D40)*12+MONTH(D40))+1)))</f>
        <v/>
      </c>
      <c r="AE40" s="326">
        <f>G40/F40</f>
        <v/>
      </c>
      <c r="AF40" s="708">
        <f>F40-G40</f>
        <v/>
      </c>
      <c r="AG40" s="513" t="n"/>
      <c r="AH40" s="513" t="n"/>
      <c r="AI40" s="513" t="n"/>
      <c r="AJ40" s="706" t="inlineStr"/>
      <c r="AK40" s="706" t="inlineStr"/>
      <c r="AL40" s="706" t="inlineStr"/>
      <c r="AM40" s="706" t="inlineStr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1">
        <f>SUM(K41+O41+S41+W41+AA41+AB41)</f>
        <v/>
      </c>
      <c r="AD41" s="335">
        <f>IF(F41=0,"",K41/(F41/((YEAR(E39)*12+MONTH(E39))-(YEAR(D39)*12+MONTH(D39))+1)))</f>
        <v/>
      </c>
      <c r="AE41" s="336">
        <f>G41/F41</f>
        <v/>
      </c>
      <c r="AF41" s="711">
        <f>F41-G41</f>
        <v/>
      </c>
      <c r="AG41" s="337">
        <f>AG39</f>
        <v/>
      </c>
      <c r="AH41" s="335">
        <f>AC41/AG39</f>
        <v/>
      </c>
      <c r="AI41" s="718">
        <f>AG39-AC41</f>
        <v/>
      </c>
      <c r="AJ41" s="713" t="inlineStr"/>
      <c r="AK41" s="713" t="inlineStr"/>
      <c r="AL41" s="713" t="inlineStr"/>
      <c r="AM41" s="713" t="inlineStr"/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18116.803807</v>
      </c>
      <c r="H42" s="703" t="n">
        <v>1715.454702</v>
      </c>
      <c r="I42" s="703" t="n">
        <v>0</v>
      </c>
      <c r="J42" s="703" t="n">
        <v>0</v>
      </c>
      <c r="K42" s="703">
        <f>SUM(H42:J42)</f>
        <v/>
      </c>
      <c r="L42" s="703" t="n">
        <v>3248.580913</v>
      </c>
      <c r="M42" s="703" t="n">
        <v>241.63794</v>
      </c>
      <c r="N42" s="703" t="n">
        <v>423.133041</v>
      </c>
      <c r="O42" s="703">
        <f>SUM(L42:N42)</f>
        <v/>
      </c>
      <c r="P42" s="703" t="n">
        <v>1492.14231</v>
      </c>
      <c r="Q42" s="703" t="n">
        <v>0</v>
      </c>
      <c r="R42" s="703" t="n">
        <v>381.121236</v>
      </c>
      <c r="S42" s="703">
        <f>SUM(P42:R42)</f>
        <v/>
      </c>
      <c r="T42" s="703" t="n">
        <v>2747.788321</v>
      </c>
      <c r="U42" s="703" t="n">
        <v>0</v>
      </c>
      <c r="V42" s="703" t="n">
        <v>613.27548</v>
      </c>
      <c r="W42" s="703">
        <f>SUM(T42:V42)</f>
        <v/>
      </c>
      <c r="X42" s="703" t="n">
        <v>1566.390968</v>
      </c>
      <c r="Y42" s="703" t="n">
        <v>1037.679365</v>
      </c>
      <c r="Z42" s="703" t="n">
        <v>313.732955</v>
      </c>
      <c r="AA42" s="703">
        <f>SUM(X42:Z42)</f>
        <v/>
      </c>
      <c r="AB42" s="703" t="n">
        <v>4335.866577</v>
      </c>
      <c r="AC42" s="318">
        <f>SUM(K42+O42+S42+W42+AA42+AB42)</f>
        <v/>
      </c>
      <c r="AD42" s="319">
        <f>IF(F42=0,"",K42/(F42/((YEAR(E42)*12+MONTH(E42))-(YEAR(D42)*12+MONTH(D42))+1)))</f>
        <v/>
      </c>
      <c r="AE42" s="319">
        <f>G42/F42</f>
        <v/>
      </c>
      <c r="AF42" s="704">
        <f>F42-G42</f>
        <v/>
      </c>
      <c r="AG42" s="321">
        <f>SUM(F42:F46)</f>
        <v/>
      </c>
      <c r="AH42" s="322">
        <f>AH47</f>
        <v/>
      </c>
      <c r="AI42" s="717">
        <f>AI47</f>
        <v/>
      </c>
      <c r="AJ42" s="706" t="inlineStr"/>
      <c r="AK42" s="706" t="inlineStr"/>
      <c r="AL42" s="706" t="inlineStr"/>
      <c r="AM42" s="706" t="inlineStr"/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15458.336868</v>
      </c>
      <c r="H43" s="707" t="n">
        <v>524.391722</v>
      </c>
      <c r="I43" s="707" t="n">
        <v>0</v>
      </c>
      <c r="J43" s="707" t="n">
        <v>0</v>
      </c>
      <c r="K43" s="707">
        <f>SUM(H43:J43)</f>
        <v/>
      </c>
      <c r="L43" s="707" t="n">
        <v>2575.907016</v>
      </c>
      <c r="M43" s="707" t="n">
        <v>2029.71366</v>
      </c>
      <c r="N43" s="707" t="n">
        <v>1483.741412</v>
      </c>
      <c r="O43" s="707">
        <f>SUM(L43:N43)</f>
        <v/>
      </c>
      <c r="P43" s="707" t="n">
        <v>567.268131</v>
      </c>
      <c r="Q43" s="707" t="n">
        <v>0</v>
      </c>
      <c r="R43" s="707" t="n">
        <v>1668.680328</v>
      </c>
      <c r="S43" s="707">
        <f>SUM(P43:R43)</f>
        <v/>
      </c>
      <c r="T43" s="707" t="n">
        <v>1550.383391</v>
      </c>
      <c r="U43" s="707" t="n">
        <v>0</v>
      </c>
      <c r="V43" s="707" t="n">
        <v>2273.498356</v>
      </c>
      <c r="W43" s="707">
        <f>SUM(T43:V43)</f>
        <v/>
      </c>
      <c r="X43" s="707" t="n">
        <v>1396.194268</v>
      </c>
      <c r="Y43" s="707" t="n">
        <v>0</v>
      </c>
      <c r="Z43" s="707" t="n">
        <v>1388.558583</v>
      </c>
      <c r="AA43" s="707">
        <f>SUM(X43:Z43)</f>
        <v/>
      </c>
      <c r="AB43" s="707" t="n">
        <v>7202.586607</v>
      </c>
      <c r="AC43" s="271">
        <f>SUM(K43+O43+S43+W43+AA43+AB43)</f>
        <v/>
      </c>
      <c r="AD43" s="326">
        <f>IF(F43=0,"",K43/(F43/((YEAR(E43)*12+MONTH(E43))-(YEAR(D43)*12+MONTH(D43))+1)))</f>
        <v/>
      </c>
      <c r="AE43" s="326">
        <f>G43/F43</f>
        <v/>
      </c>
      <c r="AF43" s="708">
        <f>F43-G43</f>
        <v/>
      </c>
      <c r="AG43" s="500" t="n"/>
      <c r="AH43" s="500" t="n"/>
      <c r="AI43" s="500" t="n"/>
      <c r="AJ43" s="706" t="inlineStr"/>
      <c r="AK43" s="706" t="inlineStr"/>
      <c r="AL43" s="706" t="inlineStr"/>
      <c r="AM43" s="706" t="inlineStr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506.403343</v>
      </c>
      <c r="H44" s="707" t="n">
        <v>0</v>
      </c>
      <c r="I44" s="707" t="n">
        <v>64.736256</v>
      </c>
      <c r="J44" s="707" t="n">
        <v>0</v>
      </c>
      <c r="K44" s="707">
        <f>SUM(H44:J44)</f>
        <v/>
      </c>
      <c r="L44" s="707" t="n">
        <v>0</v>
      </c>
      <c r="M44" s="707" t="n">
        <v>0</v>
      </c>
      <c r="N44" s="707" t="n">
        <v>20.217377</v>
      </c>
      <c r="O44" s="707">
        <f>SUM(L44:N44)</f>
        <v/>
      </c>
      <c r="P44" s="707" t="n">
        <v>410.9235</v>
      </c>
      <c r="Q44" s="707" t="n">
        <v>0</v>
      </c>
      <c r="R44" s="707" t="n">
        <v>4.340061</v>
      </c>
      <c r="S44" s="707">
        <f>SUM(P44:R44)</f>
        <v/>
      </c>
      <c r="T44" s="707" t="n">
        <v>0</v>
      </c>
      <c r="U44" s="707" t="n">
        <v>0</v>
      </c>
      <c r="V44" s="707" t="n">
        <v>5.058234</v>
      </c>
      <c r="W44" s="707">
        <f>SUM(T44:V44)</f>
        <v/>
      </c>
      <c r="X44" s="707" t="n">
        <v>0</v>
      </c>
      <c r="Y44" s="707" t="n">
        <v>0</v>
      </c>
      <c r="Z44" s="707" t="n">
        <v>1.127915</v>
      </c>
      <c r="AA44" s="707">
        <f>SUM(X44:Z44)</f>
        <v/>
      </c>
      <c r="AB44" s="707" t="n">
        <v>0</v>
      </c>
      <c r="AC44" s="271">
        <f>SUM(K44+O44+S44+W44+AA44+AB44)</f>
        <v/>
      </c>
      <c r="AD44" s="326">
        <f>IF(F44=0,"",K44/(F44/((YEAR(E44)*12+MONTH(E44))-(YEAR(D44)*12+MONTH(D44))+1)))</f>
        <v/>
      </c>
      <c r="AE44" s="326">
        <f>G44/F44</f>
        <v/>
      </c>
      <c r="AF44" s="708">
        <f>F44-G44</f>
        <v/>
      </c>
      <c r="AG44" s="500" t="n"/>
      <c r="AH44" s="500" t="n"/>
      <c r="AI44" s="500" t="n"/>
      <c r="AJ44" s="706" t="inlineStr"/>
      <c r="AK44" s="706" t="inlineStr"/>
      <c r="AL44" s="706" t="inlineStr"/>
      <c r="AM44" s="706" t="inlineStr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248.1336</v>
      </c>
      <c r="I45" s="707" t="n">
        <v>0</v>
      </c>
      <c r="J45" s="707" t="n">
        <v>0</v>
      </c>
      <c r="K45" s="707">
        <f>SUM(H45:J45)</f>
        <v/>
      </c>
      <c r="L45" s="707" t="n">
        <v>2310.349392</v>
      </c>
      <c r="M45" s="707" t="n">
        <v>0</v>
      </c>
      <c r="N45" s="707" t="n">
        <v>582.016803</v>
      </c>
      <c r="O45" s="707">
        <f>SUM(L45:N45)</f>
        <v/>
      </c>
      <c r="P45" s="707" t="n">
        <v>753.431552</v>
      </c>
      <c r="Q45" s="707" t="n">
        <v>0</v>
      </c>
      <c r="R45" s="707" t="n">
        <v>581.619744</v>
      </c>
      <c r="S45" s="707">
        <f>SUM(P45:R45)</f>
        <v/>
      </c>
      <c r="T45" s="707" t="n">
        <v>1958.298381</v>
      </c>
      <c r="U45" s="707" t="n">
        <v>0</v>
      </c>
      <c r="V45" s="707" t="n">
        <v>662.594343</v>
      </c>
      <c r="W45" s="707">
        <f>SUM(T45:V45)</f>
        <v/>
      </c>
      <c r="X45" s="707" t="n">
        <v>2837.047697</v>
      </c>
      <c r="Y45" s="707" t="n">
        <v>0</v>
      </c>
      <c r="Z45" s="707" t="n">
        <v>463.983498</v>
      </c>
      <c r="AA45" s="707">
        <f>SUM(X45:Z45)</f>
        <v/>
      </c>
      <c r="AB45" s="707" t="n">
        <v>2545.018293</v>
      </c>
      <c r="AC45" s="271">
        <f>SUM(K45+O45+S45+W45+AA45+AB45)</f>
        <v/>
      </c>
      <c r="AD45" s="326">
        <f>IF(F45=0,"",K45/(F45/MAX(1,(YEAR(E45)*12+MONTH(E45))-(YEAR(D45)*12+MONTH(D45))+1)))</f>
        <v/>
      </c>
      <c r="AE45" s="326">
        <f>G45/F45</f>
        <v/>
      </c>
      <c r="AF45" s="708">
        <f>F45-G45</f>
        <v/>
      </c>
      <c r="AG45" s="500" t="n"/>
      <c r="AH45" s="500" t="n"/>
      <c r="AI45" s="500" t="n"/>
      <c r="AJ45" s="706" t="inlineStr"/>
      <c r="AK45" s="706" t="inlineStr"/>
      <c r="AL45" s="706" t="inlineStr"/>
      <c r="AM45" s="706" t="inlineStr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28771.068078</v>
      </c>
      <c r="H46" s="707" t="n">
        <v>3649.190477</v>
      </c>
      <c r="I46" s="707" t="n">
        <v>0</v>
      </c>
      <c r="J46" s="707" t="n">
        <v>0</v>
      </c>
      <c r="K46" s="707">
        <f>SUM(H46:J46)</f>
        <v/>
      </c>
      <c r="L46" s="707" t="n">
        <v>5097.989714</v>
      </c>
      <c r="M46" s="707" t="n">
        <v>0</v>
      </c>
      <c r="N46" s="707" t="n">
        <v>856.473493</v>
      </c>
      <c r="O46" s="707">
        <f>SUM(L46:N46)</f>
        <v/>
      </c>
      <c r="P46" s="707" t="n">
        <v>937.141286</v>
      </c>
      <c r="Q46" s="707" t="n">
        <v>0</v>
      </c>
      <c r="R46" s="707" t="n">
        <v>1775.786688</v>
      </c>
      <c r="S46" s="707">
        <f>SUM(P46:R46)</f>
        <v/>
      </c>
      <c r="T46" s="707" t="n">
        <v>3160.387028</v>
      </c>
      <c r="U46" s="707" t="n">
        <v>0</v>
      </c>
      <c r="V46" s="707" t="n">
        <v>3880.484178</v>
      </c>
      <c r="W46" s="707">
        <f>SUM(T46:V46)</f>
        <v/>
      </c>
      <c r="X46" s="707" t="n">
        <v>3065.24731</v>
      </c>
      <c r="Y46" s="707" t="n">
        <v>0</v>
      </c>
      <c r="Z46" s="707" t="n">
        <v>1466.609142</v>
      </c>
      <c r="AA46" s="707">
        <f>SUM(X46:Z46)</f>
        <v/>
      </c>
      <c r="AB46" s="707" t="n">
        <v>4881.758761</v>
      </c>
      <c r="AC46" s="271">
        <f>SUM(K46+O46+S46+W46+AA46+AB46)</f>
        <v/>
      </c>
      <c r="AD46" s="326">
        <f>IF(F46=0,"",K46/(F46/((YEAR(E46)*12+MONTH(E46))-(YEAR(D46)*12+MONTH(D46))+1)))</f>
        <v/>
      </c>
      <c r="AE46" s="326">
        <f>G46/F46</f>
        <v/>
      </c>
      <c r="AF46" s="708">
        <f>F46-G46</f>
        <v/>
      </c>
      <c r="AG46" s="513" t="n"/>
      <c r="AH46" s="513" t="n"/>
      <c r="AI46" s="513" t="n"/>
      <c r="AJ46" s="706" t="inlineStr"/>
      <c r="AK46" s="706" t="inlineStr"/>
      <c r="AL46" s="706" t="inlineStr"/>
      <c r="AM46" s="706" t="inlineStr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SUM(K47+O47+S47+W47+AA47+AB47)</f>
        <v/>
      </c>
      <c r="AD47" s="335">
        <f>IF(F47=0,"",K47/(F47/((YEAR(E42)*12+MONTH(E42))-(YEAR(D42)*12+MONTH(D42))+1)))</f>
        <v/>
      </c>
      <c r="AE47" s="336">
        <f>G47/F47</f>
        <v/>
      </c>
      <c r="AF47" s="710">
        <f>F47-G47</f>
        <v/>
      </c>
      <c r="AG47" s="337">
        <f>AG42</f>
        <v/>
      </c>
      <c r="AH47" s="335">
        <f>AC47/AG42</f>
        <v/>
      </c>
      <c r="AI47" s="712">
        <f>AG42-AC47</f>
        <v/>
      </c>
      <c r="AJ47" s="713" t="inlineStr"/>
      <c r="AK47" s="713" t="inlineStr"/>
      <c r="AL47" s="713" t="inlineStr"/>
      <c r="AM47" s="713" t="inlineStr"/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F9+F15+F20+F24+F28+F32+F35+F38+F41+F47</f>
        <v/>
      </c>
      <c r="G48" s="720">
        <f>G9+G15+G20+G24+G28+G32+G35+G38+G41+G47</f>
        <v/>
      </c>
      <c r="H48" s="720">
        <f>H9+H15+H20+H24+H28+H32+H35+H38+H41+H47</f>
        <v/>
      </c>
      <c r="I48" s="720">
        <f>I9+I15+I20+I24+I28+I32+I35+I38+I41+I47</f>
        <v/>
      </c>
      <c r="J48" s="720">
        <f>J9+J15+J20+J24+J28+J32+J35+J38+J41+J47</f>
        <v/>
      </c>
      <c r="K48" s="720">
        <f>K9+K15+K20+K24+K28+K32+K35+K38+K41+K47</f>
        <v/>
      </c>
      <c r="L48" s="720">
        <f>L9+L15+L20+L24+L28+L32+L35+L38+L41+L47</f>
        <v/>
      </c>
      <c r="M48" s="720">
        <f>M9+M15+M20+M24+M28+M32+M35+M38+M41+M47</f>
        <v/>
      </c>
      <c r="N48" s="720">
        <f>N9+N15+N20+N24+N28+N32+N35+N38+N41+N47</f>
        <v/>
      </c>
      <c r="O48" s="720">
        <f>O9+O15+O20+O24+O28+O32+O35+O38+O41+O47</f>
        <v/>
      </c>
      <c r="P48" s="720">
        <f>P9+P15+P20+P24+P28+P32+P35+P38+P41+P47</f>
        <v/>
      </c>
      <c r="Q48" s="720">
        <f>Q9+Q15+Q20+Q24+Q28+Q32+Q35+Q38+Q41+Q47</f>
        <v/>
      </c>
      <c r="R48" s="720">
        <f>R9+R15+R20+R24+R28+R32+R35+R38+R41+R47</f>
        <v/>
      </c>
      <c r="S48" s="720">
        <f>S9+S15+S20+S24+S28+S32+S35+S38+S41+S47</f>
        <v/>
      </c>
      <c r="T48" s="720">
        <f>T9+T15+T20+T24+T28+T32+T35+T38+T41+T47</f>
        <v/>
      </c>
      <c r="U48" s="720">
        <f>U9+U15+U20+U24+U28+U32+U35+U38+U41+U47</f>
        <v/>
      </c>
      <c r="V48" s="720">
        <f>V9+V15+V20+V24+V28+V32+V35+V38+V41+V47</f>
        <v/>
      </c>
      <c r="W48" s="720">
        <f>W9+W15+W20+W24+W28+W32+W35+W38+W41+W47</f>
        <v/>
      </c>
      <c r="X48" s="720">
        <f>X9+X15+X20+X24+X28+X32+X35+X38+X41+X47</f>
        <v/>
      </c>
      <c r="Y48" s="722">
        <f>Y9+Y15+Y20+Y24+Y28+Y32+Y35+Y38+Y41+Y47</f>
        <v/>
      </c>
      <c r="Z48" s="722">
        <f>Z9+Z15+Z20+Z24+Z28+Z32+Z35+Z38+Z41+Z47</f>
        <v/>
      </c>
      <c r="AA48" s="722">
        <f>AA9+AA15+AA20+AA24+AA28+AA32+AA35+AA38+AA41+AA47</f>
        <v/>
      </c>
      <c r="AB48" s="722">
        <f>AB9+AB15+AB20+AB24+AB28+AB32+AB35+AB38+AB41+AB47</f>
        <v/>
      </c>
      <c r="AC48" s="728">
        <f>AC9+AC15+AC20+AC24+AC28+AC32+AC35+AC38+AC41+AC47</f>
        <v/>
      </c>
      <c r="AD48" s="350">
        <f>K48/(F48/((YEAR(E4)*12+MONTH(E4))-(YEAR(D4)*12+MONTH(D4))+1))</f>
        <v/>
      </c>
      <c r="AE48" s="350">
        <f>G48/F48</f>
        <v/>
      </c>
      <c r="AF48" s="722">
        <f>F48-G48</f>
        <v/>
      </c>
      <c r="AG48" s="352">
        <f>AG9+AG15+AG20+AG24+AG28+AG32+AG35+AG38+AG41+AG47</f>
        <v/>
      </c>
      <c r="AH48" s="353">
        <f>AC48/AG48</f>
        <v/>
      </c>
      <c r="AI48" s="722">
        <f>AG48-AC48</f>
        <v/>
      </c>
      <c r="AJ48" s="723" t="inlineStr"/>
      <c r="AK48" s="723" t="inlineStr"/>
      <c r="AL48" s="723" t="inlineStr"/>
      <c r="AM48" s="723" t="inlineStr"/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7" t="inlineStr"/>
    </row>
    <row r="49" ht="14.25" customFormat="1" customHeight="1" s="483">
      <c r="AF49" s="633" t="inlineStr">
        <is>
          <t>公司目标</t>
        </is>
      </c>
      <c r="AG49" s="633" t="n">
        <v>930486.542524</v>
      </c>
      <c r="AH49" s="252">
        <f>IF(AG49&lt;&gt;0,AC48/AG49,"")</f>
        <v/>
      </c>
      <c r="AI49" s="663">
        <f>AG49-AC48</f>
        <v/>
      </c>
    </row>
    <row r="50" ht="35.1" customFormat="1" customHeight="1" s="483"/>
    <row r="51" ht="24" customFormat="1" customHeight="1" s="483"/>
  </sheetData>
  <mergeCells count="87">
    <mergeCell ref="A21:A23"/>
    <mergeCell ref="A48:E48"/>
    <mergeCell ref="AI4:AI8"/>
    <mergeCell ref="AH33:AH34"/>
    <mergeCell ref="A4:A8"/>
    <mergeCell ref="A29:A31"/>
    <mergeCell ref="AI21:AI23"/>
    <mergeCell ref="U2:U3"/>
    <mergeCell ref="A2:A3"/>
    <mergeCell ref="C2:C3"/>
    <mergeCell ref="AG16:AG19"/>
    <mergeCell ref="E2:E3"/>
    <mergeCell ref="AI16:AI19"/>
    <mergeCell ref="W2:W3"/>
    <mergeCell ref="AH39:AH40"/>
    <mergeCell ref="AI10:AI14"/>
    <mergeCell ref="AH21:AH23"/>
    <mergeCell ref="A33:A34"/>
    <mergeCell ref="AG25:AG27"/>
    <mergeCell ref="AA2:AA3"/>
    <mergeCell ref="AC2:AC3"/>
    <mergeCell ref="V2:V3"/>
    <mergeCell ref="X2:X3"/>
    <mergeCell ref="A42:A46"/>
    <mergeCell ref="N2:N3"/>
    <mergeCell ref="F2:F3"/>
    <mergeCell ref="P2:P3"/>
    <mergeCell ref="H2:H3"/>
    <mergeCell ref="AH25:AH27"/>
    <mergeCell ref="AG29:AG31"/>
    <mergeCell ref="AI29:AI31"/>
    <mergeCell ref="AF2:AF3"/>
    <mergeCell ref="K2:K3"/>
    <mergeCell ref="AH2:AH3"/>
    <mergeCell ref="O2:O3"/>
    <mergeCell ref="AG21:AG23"/>
    <mergeCell ref="A32:E32"/>
    <mergeCell ref="Q2:Q3"/>
    <mergeCell ref="AH36:AH37"/>
    <mergeCell ref="AI2:AI3"/>
    <mergeCell ref="AH42:AH46"/>
    <mergeCell ref="A38:E38"/>
    <mergeCell ref="A25:A27"/>
    <mergeCell ref="A39:A40"/>
    <mergeCell ref="AG33:AG34"/>
    <mergeCell ref="AH4:AH8"/>
    <mergeCell ref="AI33:AI34"/>
    <mergeCell ref="AH10:AH14"/>
    <mergeCell ref="S2:S3"/>
    <mergeCell ref="AI25:AI27"/>
    <mergeCell ref="A24:E24"/>
    <mergeCell ref="A36:A37"/>
    <mergeCell ref="B2:B3"/>
    <mergeCell ref="D2:D3"/>
    <mergeCell ref="AG36:AG37"/>
    <mergeCell ref="AI36:AI37"/>
    <mergeCell ref="A10:A14"/>
    <mergeCell ref="Z2:Z3"/>
    <mergeCell ref="AG42:AG46"/>
    <mergeCell ref="AB2:AB3"/>
    <mergeCell ref="AI42:AI46"/>
    <mergeCell ref="AD2:AD3"/>
    <mergeCell ref="T2:T3"/>
    <mergeCell ref="AG4:AG8"/>
    <mergeCell ref="A47:E47"/>
    <mergeCell ref="AG39:AG40"/>
    <mergeCell ref="A20:E20"/>
    <mergeCell ref="AI39:AI40"/>
    <mergeCell ref="A28:E28"/>
    <mergeCell ref="G2:G3"/>
    <mergeCell ref="I2:I3"/>
    <mergeCell ref="A15:E15"/>
    <mergeCell ref="AG1:AH1"/>
    <mergeCell ref="M2:M3"/>
    <mergeCell ref="AE2:AE3"/>
    <mergeCell ref="A16:A19"/>
    <mergeCell ref="AG2:AG3"/>
    <mergeCell ref="Y2:Y3"/>
    <mergeCell ref="A41:E41"/>
    <mergeCell ref="AG10:AG14"/>
    <mergeCell ref="AH29:AH31"/>
    <mergeCell ref="R2:R3"/>
    <mergeCell ref="J2:J3"/>
    <mergeCell ref="L2:L3"/>
    <mergeCell ref="A35:E35"/>
    <mergeCell ref="AH16:AH19"/>
    <mergeCell ref="A9:E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I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hidden="1" width="9" customWidth="1" style="533" min="27" max="61"/>
  </cols>
  <sheetData>
    <row r="1" ht="20.25" customFormat="1" customHeight="1" s="483">
      <c r="A1" s="754" t="inlineStr">
        <is>
          <t>私人财富管理部折标销售进度表-截止20260626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552" t="inlineStr">
        <is>
          <t>上半年时间进度</t>
        </is>
      </c>
      <c r="AI1" s="70">
        <f>AN7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传统202606</t>
        </is>
      </c>
      <c r="I2" s="541" t="inlineStr">
        <is>
          <t>保险202606</t>
        </is>
      </c>
      <c r="J2" s="541" t="inlineStr">
        <is>
          <t>管理费202606</t>
        </is>
      </c>
      <c r="K2" s="669" t="inlineStr">
        <is>
          <t>2026年
6月折标</t>
        </is>
      </c>
      <c r="L2" s="541" t="inlineStr">
        <is>
          <t>传统202605</t>
        </is>
      </c>
      <c r="M2" s="541" t="inlineStr">
        <is>
          <t>保险202605</t>
        </is>
      </c>
      <c r="N2" s="541" t="inlineStr">
        <is>
          <t>管理费202605</t>
        </is>
      </c>
      <c r="O2" s="669" t="inlineStr">
        <is>
          <t>2026年
5月折标</t>
        </is>
      </c>
      <c r="P2" s="541" t="inlineStr">
        <is>
          <t>传统202604</t>
        </is>
      </c>
      <c r="Q2" s="541" t="inlineStr">
        <is>
          <t>保险202604</t>
        </is>
      </c>
      <c r="R2" s="541" t="inlineStr">
        <is>
          <t>管理费202604</t>
        </is>
      </c>
      <c r="S2" s="669" t="inlineStr">
        <is>
          <t>2026年
4月折标</t>
        </is>
      </c>
      <c r="T2" s="541" t="inlineStr">
        <is>
          <t>传统202603</t>
        </is>
      </c>
      <c r="U2" s="541" t="inlineStr">
        <is>
          <t>保险202603</t>
        </is>
      </c>
      <c r="V2" s="541" t="inlineStr">
        <is>
          <t>管理费202603</t>
        </is>
      </c>
      <c r="W2" s="669" t="inlineStr">
        <is>
          <t>2026年
3月折标</t>
        </is>
      </c>
      <c r="X2" s="541" t="inlineStr">
        <is>
          <t>传统202602</t>
        </is>
      </c>
      <c r="Y2" s="541" t="inlineStr">
        <is>
          <t>保险202602</t>
        </is>
      </c>
      <c r="Z2" s="541" t="inlineStr">
        <is>
          <t>管理费202602</t>
        </is>
      </c>
      <c r="AA2" s="669" t="inlineStr">
        <is>
          <t>2026年
2月折标</t>
        </is>
      </c>
      <c r="AB2" s="669" t="inlineStr">
        <is>
          <t>2026年
1月折标</t>
        </is>
      </c>
      <c r="AC2" s="670" t="inlineStr">
        <is>
          <t>2026年YTD折标</t>
        </is>
      </c>
      <c r="AD2" s="671" t="inlineStr">
        <is>
          <t>月度
完成率</t>
        </is>
      </c>
      <c r="AE2" s="666" t="inlineStr">
        <is>
          <t>考核期完成率（累计）</t>
        </is>
      </c>
      <c r="AF2" s="560" t="inlineStr">
        <is>
          <t>考核期差距</t>
        </is>
      </c>
      <c r="AG2" s="561" t="inlineStr">
        <is>
          <t>财富中心
上半年年任务</t>
        </is>
      </c>
      <c r="AH2" s="79" t="inlineStr">
        <is>
          <t>财富中心
上半年任务完成率</t>
        </is>
      </c>
      <c r="AI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21798.021629</v>
      </c>
      <c r="H4" s="703" t="n">
        <v>306.062016</v>
      </c>
      <c r="I4" s="703" t="n">
        <v>0</v>
      </c>
      <c r="J4" s="703" t="n">
        <v>0</v>
      </c>
      <c r="K4" s="703">
        <f>SUM(H4:J4)</f>
        <v/>
      </c>
      <c r="L4" s="703" t="n">
        <v>1183.338361</v>
      </c>
      <c r="M4" s="703" t="n">
        <v>0</v>
      </c>
      <c r="N4" s="703" t="n">
        <v>627.793934</v>
      </c>
      <c r="O4" s="703">
        <f>SUM(L4:N4)</f>
        <v/>
      </c>
      <c r="P4" s="703" t="n">
        <v>3163.949074</v>
      </c>
      <c r="Q4" s="703" t="n">
        <v>0</v>
      </c>
      <c r="R4" s="703" t="n">
        <v>535.227607</v>
      </c>
      <c r="S4" s="703">
        <f>SUM(P4:R4)</f>
        <v/>
      </c>
      <c r="T4" s="703" t="n">
        <v>8704.796721000001</v>
      </c>
      <c r="U4" s="703" t="n">
        <v>0</v>
      </c>
      <c r="V4" s="703" t="n">
        <v>1242.252932</v>
      </c>
      <c r="W4" s="703">
        <f>SUM(T4:V4)</f>
        <v/>
      </c>
      <c r="X4" s="703" t="n">
        <v>1402.304143</v>
      </c>
      <c r="Y4" s="703" t="n">
        <v>742.65048</v>
      </c>
      <c r="Z4" s="703" t="n">
        <v>430.381249</v>
      </c>
      <c r="AA4" s="703">
        <f>SUM(X4:Z4)</f>
        <v/>
      </c>
      <c r="AB4" s="703" t="n">
        <v>3459.265113</v>
      </c>
      <c r="AC4" s="318">
        <f>SUM(K4+O4+S4+W4+AA4+AB4)</f>
        <v/>
      </c>
      <c r="AD4" s="319">
        <f>IF(F4=0,"",K4/(F4/((YEAR(E4)*12+MONTH(E4))-(YEAR(D4)*12+MONTH(D4))+1)))</f>
        <v/>
      </c>
      <c r="AE4" s="319">
        <f>G4/F4</f>
        <v/>
      </c>
      <c r="AF4" s="704">
        <f>F4-G4</f>
        <v/>
      </c>
      <c r="AG4" s="321">
        <f>SUM(F4:F8)</f>
        <v/>
      </c>
      <c r="AH4" s="322">
        <f>AH9</f>
        <v/>
      </c>
      <c r="AI4" s="705">
        <f>AI9</f>
        <v/>
      </c>
      <c r="AJ4" s="706" t="inlineStr"/>
      <c r="AK4" s="706" t="inlineStr"/>
      <c r="AL4" s="706" t="inlineStr">
        <is>
          <t>开始日期</t>
        </is>
      </c>
      <c r="AM4" s="706" t="inlineStr">
        <is>
          <t>结束日期</t>
        </is>
      </c>
      <c r="AN4" s="706" t="inlineStr"/>
      <c r="AO4" s="706" t="inlineStr"/>
      <c r="AP4" s="706" t="inlineStr"/>
      <c r="AQ4" s="706" t="inlineStr"/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20490.337034</v>
      </c>
      <c r="H5" s="707" t="n">
        <v>821.769062</v>
      </c>
      <c r="I5" s="707" t="n">
        <v>3261.7728</v>
      </c>
      <c r="J5" s="707" t="n">
        <v>0</v>
      </c>
      <c r="K5" s="707">
        <f>SUM(H5:J5)</f>
        <v/>
      </c>
      <c r="L5" s="707" t="n">
        <v>593.9975920000001</v>
      </c>
      <c r="M5" s="707" t="n">
        <v>0</v>
      </c>
      <c r="N5" s="707" t="n">
        <v>191.489795</v>
      </c>
      <c r="O5" s="707">
        <f>SUM(L5:N5)</f>
        <v/>
      </c>
      <c r="P5" s="707" t="n">
        <v>249.800095</v>
      </c>
      <c r="Q5" s="707" t="n">
        <v>5040.9216</v>
      </c>
      <c r="R5" s="707" t="n">
        <v>342.801462</v>
      </c>
      <c r="S5" s="707">
        <f>SUM(P5:R5)</f>
        <v/>
      </c>
      <c r="T5" s="707" t="n">
        <v>1613.445926</v>
      </c>
      <c r="U5" s="707" t="n">
        <v>0</v>
      </c>
      <c r="V5" s="707" t="n">
        <v>488.407071</v>
      </c>
      <c r="W5" s="707">
        <f>SUM(T5:V5)</f>
        <v/>
      </c>
      <c r="X5" s="707" t="n">
        <v>454.800547</v>
      </c>
      <c r="Y5" s="707" t="n">
        <v>0</v>
      </c>
      <c r="Z5" s="707" t="n">
        <v>289.117436</v>
      </c>
      <c r="AA5" s="707">
        <f>SUM(X5:Z5)</f>
        <v/>
      </c>
      <c r="AB5" s="707" t="n">
        <v>3311.566531</v>
      </c>
      <c r="AC5" s="271">
        <f>SUM(K5+O5+S5+W5+AA5+AB5)</f>
        <v/>
      </c>
      <c r="AD5" s="326">
        <f>IF(F5=0,"",K5/(F5/((YEAR(E5)*12+MONTH(E5))-(YEAR(D5)*12+MONTH(D5))+1)))</f>
        <v/>
      </c>
      <c r="AE5" s="326">
        <f>G5/F5</f>
        <v/>
      </c>
      <c r="AF5" s="708">
        <f>F5-G5</f>
        <v/>
      </c>
      <c r="AG5" s="500" t="n"/>
      <c r="AH5" s="500" t="n"/>
      <c r="AI5" s="500" t="n"/>
      <c r="AJ5" s="706" t="inlineStr"/>
      <c r="AK5" s="706" t="inlineStr"/>
      <c r="AL5" s="328" t="n">
        <v>46023</v>
      </c>
      <c r="AM5" s="328" t="n">
        <v>46203</v>
      </c>
      <c r="AN5" s="706" t="inlineStr"/>
      <c r="AO5" s="706" t="inlineStr"/>
      <c r="AP5" s="706" t="inlineStr"/>
      <c r="AQ5" s="706" t="inlineStr"/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1989.75777</v>
      </c>
      <c r="H6" s="707" t="n">
        <v>1989.75777</v>
      </c>
      <c r="I6" s="707" t="n">
        <v>0</v>
      </c>
      <c r="J6" s="707" t="n">
        <v>0</v>
      </c>
      <c r="K6" s="707">
        <f>SUM(H6:J6)</f>
        <v/>
      </c>
      <c r="L6" s="707" t="n">
        <v>15009.556327</v>
      </c>
      <c r="M6" s="707" t="n">
        <v>0</v>
      </c>
      <c r="N6" s="707" t="n">
        <v>1121.931402</v>
      </c>
      <c r="O6" s="707">
        <f>SUM(L6:N6)</f>
        <v/>
      </c>
      <c r="P6" s="707" t="n">
        <v>3788.477067</v>
      </c>
      <c r="Q6" s="707" t="n">
        <v>0</v>
      </c>
      <c r="R6" s="707" t="n">
        <v>1122.243766</v>
      </c>
      <c r="S6" s="707">
        <f>SUM(P6:R6)</f>
        <v/>
      </c>
      <c r="T6" s="707" t="n">
        <v>1444.66245</v>
      </c>
      <c r="U6" s="707" t="n">
        <v>0</v>
      </c>
      <c r="V6" s="707" t="n">
        <v>1063.763858</v>
      </c>
      <c r="W6" s="707">
        <f>SUM(T6:V6)</f>
        <v/>
      </c>
      <c r="X6" s="707" t="n">
        <v>9688.821542</v>
      </c>
      <c r="Y6" s="707" t="n">
        <v>0</v>
      </c>
      <c r="Z6" s="707" t="n">
        <v>606.6776630000001</v>
      </c>
      <c r="AA6" s="707">
        <f>SUM(X6:Z6)</f>
        <v/>
      </c>
      <c r="AB6" s="707" t="n">
        <v>13116.995922</v>
      </c>
      <c r="AC6" s="271">
        <f>SUM(K6+O6+S6+W6+AA6+AB6)</f>
        <v/>
      </c>
      <c r="AD6" s="326">
        <f>IF(F6=0,"",K6/(F6/((YEAR(E6)*12+MONTH(E6))-(YEAR(D6)*12+MONTH(D6))+1)))</f>
        <v/>
      </c>
      <c r="AE6" s="326">
        <f>G6/F6</f>
        <v/>
      </c>
      <c r="AF6" s="708">
        <f>F6-G6</f>
        <v/>
      </c>
      <c r="AG6" s="500" t="n"/>
      <c r="AH6" s="500" t="n"/>
      <c r="AI6" s="500" t="n"/>
      <c r="AJ6" s="706" t="inlineStr"/>
      <c r="AK6" s="706" t="inlineStr"/>
      <c r="AL6" s="706" t="inlineStr">
        <is>
          <t>计算日期</t>
        </is>
      </c>
      <c r="AM6" s="706">
        <f>W5-V5</f>
        <v/>
      </c>
      <c r="AN6" s="706" t="inlineStr">
        <is>
          <t>时间进度</t>
        </is>
      </c>
      <c r="AO6" s="706" t="inlineStr"/>
      <c r="AP6" s="706" t="inlineStr"/>
      <c r="AQ6" s="706" t="inlineStr"/>
      <c r="AR6" s="706" t="inlineStr"/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3672.329022</v>
      </c>
      <c r="H7" s="707" t="n">
        <v>125.538504</v>
      </c>
      <c r="I7" s="707" t="n">
        <v>0</v>
      </c>
      <c r="J7" s="707" t="n">
        <v>0</v>
      </c>
      <c r="K7" s="707">
        <f>SUM(H7:J7)</f>
        <v/>
      </c>
      <c r="L7" s="707" t="n">
        <v>66.7758</v>
      </c>
      <c r="M7" s="707" t="n">
        <v>0</v>
      </c>
      <c r="N7" s="707" t="n">
        <v>22.323011</v>
      </c>
      <c r="O7" s="707">
        <f>SUM(L7:N7)</f>
        <v/>
      </c>
      <c r="P7" s="707" t="n">
        <v>133.5516</v>
      </c>
      <c r="Q7" s="707" t="n">
        <v>0</v>
      </c>
      <c r="R7" s="707" t="n">
        <v>22.107856</v>
      </c>
      <c r="S7" s="707">
        <f>SUM(P7:R7)</f>
        <v/>
      </c>
      <c r="T7" s="707" t="n">
        <v>500.150742</v>
      </c>
      <c r="U7" s="707" t="n">
        <v>0</v>
      </c>
      <c r="V7" s="707" t="n">
        <v>157.397938</v>
      </c>
      <c r="W7" s="707">
        <f>SUM(T7:V7)</f>
        <v/>
      </c>
      <c r="X7" s="707" t="n">
        <v>267.1032</v>
      </c>
      <c r="Y7" s="707" t="n">
        <v>0</v>
      </c>
      <c r="Z7" s="707" t="n">
        <v>25.494675</v>
      </c>
      <c r="AA7" s="707">
        <f>SUM(X7:Z7)</f>
        <v/>
      </c>
      <c r="AB7" s="707" t="n">
        <v>2351.885696</v>
      </c>
      <c r="AC7" s="271">
        <f>SUM(K7+O7+S7+W7+AA7+AB7)</f>
        <v/>
      </c>
      <c r="AD7" s="326">
        <f>IF(F7=0,"",K7/(F7/((YEAR(E7)*12+MONTH(E7))-(YEAR(D7)*12+MONTH(D7))+1)))</f>
        <v/>
      </c>
      <c r="AE7" s="326">
        <f>G7/F7</f>
        <v/>
      </c>
      <c r="AF7" s="708">
        <f>F7-G7</f>
        <v/>
      </c>
      <c r="AG7" s="500" t="n"/>
      <c r="AH7" s="500" t="n"/>
      <c r="AI7" s="500" t="n"/>
      <c r="AJ7" s="706" t="inlineStr"/>
      <c r="AK7" s="706" t="inlineStr"/>
      <c r="AL7" s="709" t="n">
        <v>46199</v>
      </c>
      <c r="AM7" s="330">
        <f>AM5-AL5+1</f>
        <v/>
      </c>
      <c r="AN7" s="331">
        <f>(AL7-AL5+1)/AM7</f>
        <v/>
      </c>
      <c r="AO7" s="706" t="inlineStr"/>
      <c r="AP7" s="706" t="inlineStr"/>
      <c r="AQ7" s="706" t="inlineStr"/>
      <c r="AR7" s="706" t="inlineStr"/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532.039474</v>
      </c>
      <c r="H8" s="707" t="n">
        <v>95.21789800000001</v>
      </c>
      <c r="I8" s="707" t="n">
        <v>264.17664</v>
      </c>
      <c r="J8" s="707" t="n">
        <v>0</v>
      </c>
      <c r="K8" s="707">
        <f>SUM(H8:J8)</f>
        <v/>
      </c>
      <c r="L8" s="707" t="n">
        <v>130.02444</v>
      </c>
      <c r="M8" s="707" t="n">
        <v>0</v>
      </c>
      <c r="N8" s="707" t="n">
        <v>16.066547</v>
      </c>
      <c r="O8" s="707">
        <f>SUM(L8:N8)</f>
        <v/>
      </c>
      <c r="P8" s="707" t="n">
        <v>0</v>
      </c>
      <c r="Q8" s="707" t="n">
        <v>0</v>
      </c>
      <c r="R8" s="707" t="n">
        <v>12.779778</v>
      </c>
      <c r="S8" s="707">
        <f>SUM(P8:R8)</f>
        <v/>
      </c>
      <c r="T8" s="707" t="n">
        <v>0</v>
      </c>
      <c r="U8" s="707" t="n">
        <v>25509.5568</v>
      </c>
      <c r="V8" s="707" t="n">
        <v>13.774172</v>
      </c>
      <c r="W8" s="707">
        <f>SUM(T8:V8)</f>
        <v/>
      </c>
      <c r="X8" s="707" t="n">
        <v>41.2776</v>
      </c>
      <c r="Y8" s="707" t="n">
        <v>0</v>
      </c>
      <c r="Z8" s="707" t="n">
        <v>18.646322</v>
      </c>
      <c r="AA8" s="707">
        <f>SUM(X8:Z8)</f>
        <v/>
      </c>
      <c r="AB8" s="707" t="n">
        <v>683.02396</v>
      </c>
      <c r="AC8" s="271">
        <f>SUM(K8+O8+S8+W8+AA8+AB8)</f>
        <v/>
      </c>
      <c r="AD8" s="326">
        <f>IF(F8=0,"",K8/(F8/((YEAR(E8)*12+MONTH(E8))-(YEAR(D8)*12+MONTH(D8))+1)))</f>
        <v/>
      </c>
      <c r="AE8" s="326">
        <f>G8/F8</f>
        <v/>
      </c>
      <c r="AF8" s="708">
        <f>F8-G8</f>
        <v/>
      </c>
      <c r="AG8" s="513" t="n"/>
      <c r="AH8" s="513" t="n"/>
      <c r="AI8" s="513" t="n"/>
      <c r="AJ8" s="706" t="inlineStr"/>
      <c r="AK8" s="706" t="inlineStr"/>
      <c r="AL8" s="706" t="inlineStr"/>
      <c r="AM8" s="706" t="inlineStr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1">
        <f>SUM(K9+O9+S9+W9+AA9+AB9)</f>
        <v/>
      </c>
      <c r="AD9" s="335">
        <f>IF(F9=0,"",K9/(F9/((YEAR(E4)*12+MONTH(E4))-(YEAR(D4)*12+MONTH(D4))+1)))</f>
        <v/>
      </c>
      <c r="AE9" s="336">
        <f>G9/F9</f>
        <v/>
      </c>
      <c r="AF9" s="711">
        <f>F9-G9</f>
        <v/>
      </c>
      <c r="AG9" s="337">
        <f>AG4</f>
        <v/>
      </c>
      <c r="AH9" s="335">
        <f>AC9/AG4</f>
        <v/>
      </c>
      <c r="AI9" s="712">
        <f>AG4-AC9</f>
        <v/>
      </c>
      <c r="AJ9" s="713" t="inlineStr"/>
      <c r="AK9" s="713" t="inlineStr"/>
      <c r="AL9" s="340" t="n">
        <v>46136</v>
      </c>
      <c r="AM9" s="713" t="inlineStr"/>
      <c r="AN9" s="341">
        <f>(AD10-DATE(YEAR(AD10),1,1)+1)/AE9</f>
        <v/>
      </c>
      <c r="AO9" s="713" t="inlineStr"/>
      <c r="AP9" s="713" t="inlineStr"/>
      <c r="AQ9" s="713" t="inlineStr"/>
      <c r="AR9" s="713" t="inlineStr"/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24777.546513</v>
      </c>
      <c r="H10" s="703" t="n">
        <v>3641.704211</v>
      </c>
      <c r="I10" s="703" t="n">
        <v>0</v>
      </c>
      <c r="J10" s="703" t="n">
        <v>0</v>
      </c>
      <c r="K10" s="703">
        <f>SUM(H10:J10)</f>
        <v/>
      </c>
      <c r="L10" s="703" t="n">
        <v>4233.38058</v>
      </c>
      <c r="M10" s="703" t="n">
        <v>0</v>
      </c>
      <c r="N10" s="703" t="n">
        <v>103.388547</v>
      </c>
      <c r="O10" s="703">
        <f>SUM(L10:N10)</f>
        <v/>
      </c>
      <c r="P10" s="703" t="n">
        <v>2418.943367</v>
      </c>
      <c r="Q10" s="703" t="n">
        <v>2443.706261</v>
      </c>
      <c r="R10" s="703" t="n">
        <v>88.105912</v>
      </c>
      <c r="S10" s="703">
        <f>SUM(P10:R10)</f>
        <v/>
      </c>
      <c r="T10" s="703" t="n">
        <v>2574.496213</v>
      </c>
      <c r="U10" s="703" t="n">
        <v>2927.70165</v>
      </c>
      <c r="V10" s="703" t="n">
        <v>154.748145</v>
      </c>
      <c r="W10" s="703">
        <f>SUM(T10:V10)</f>
        <v/>
      </c>
      <c r="X10" s="703" t="n">
        <v>745.691219</v>
      </c>
      <c r="Y10" s="703" t="n">
        <v>2330.36622</v>
      </c>
      <c r="Z10" s="703" t="n">
        <v>72.478376</v>
      </c>
      <c r="AA10" s="703">
        <f>SUM(X10:Z10)</f>
        <v/>
      </c>
      <c r="AB10" s="703" t="n">
        <v>3042.835811</v>
      </c>
      <c r="AC10" s="318">
        <f>SUM(K10+O10+S10+W10+AA10+AB10)</f>
        <v/>
      </c>
      <c r="AD10" s="319">
        <f>IF(F10=0,"",K10/(F10/((YEAR(E10)*12+MONTH(E10))-(YEAR(D10)*12+MONTH(D10))+1)))</f>
        <v/>
      </c>
      <c r="AE10" s="319">
        <f>G10/F10</f>
        <v/>
      </c>
      <c r="AF10" s="704">
        <f>F10-G10</f>
        <v/>
      </c>
      <c r="AG10" s="321">
        <f>SUM(F10:F13)</f>
        <v/>
      </c>
      <c r="AH10" s="322">
        <f>AH14</f>
        <v/>
      </c>
      <c r="AI10" s="705">
        <f>AI14</f>
        <v/>
      </c>
      <c r="AJ10" s="706" t="inlineStr"/>
      <c r="AK10" s="706" t="inlineStr"/>
      <c r="AL10" s="706" t="inlineStr"/>
      <c r="AM10" s="706" t="inlineStr"/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304.3131</v>
      </c>
      <c r="H11" s="707" t="n">
        <v>304.3131</v>
      </c>
      <c r="I11" s="707" t="n">
        <v>0</v>
      </c>
      <c r="J11" s="707" t="n">
        <v>0</v>
      </c>
      <c r="K11" s="707">
        <f>SUM(H11:J11)</f>
        <v/>
      </c>
      <c r="L11" s="707" t="n">
        <v>139.11456</v>
      </c>
      <c r="M11" s="707" t="n">
        <v>2956.1844</v>
      </c>
      <c r="N11" s="707" t="n">
        <v>14.716853</v>
      </c>
      <c r="O11" s="707">
        <f>SUM(L11:N11)</f>
        <v/>
      </c>
      <c r="P11" s="707" t="n">
        <v>280.185418</v>
      </c>
      <c r="Q11" s="707" t="n">
        <v>773.505646</v>
      </c>
      <c r="R11" s="707" t="n">
        <v>3.573146</v>
      </c>
      <c r="S11" s="707">
        <f>SUM(P11:R11)</f>
        <v/>
      </c>
      <c r="T11" s="707" t="n">
        <v>43.4733</v>
      </c>
      <c r="U11" s="707" t="n">
        <v>0</v>
      </c>
      <c r="V11" s="707" t="n">
        <v>10.334614</v>
      </c>
      <c r="W11" s="707">
        <f>SUM(T11:V11)</f>
        <v/>
      </c>
      <c r="X11" s="707" t="n">
        <v>0</v>
      </c>
      <c r="Y11" s="707" t="n">
        <v>0</v>
      </c>
      <c r="Z11" s="707" t="n">
        <v>0</v>
      </c>
      <c r="AA11" s="707">
        <f>SUM(X11:Z11)</f>
        <v/>
      </c>
      <c r="AB11" s="707" t="n">
        <v>0</v>
      </c>
      <c r="AC11" s="271">
        <f>SUM(K11+O11+S11+W11+AA11+AB11)</f>
        <v/>
      </c>
      <c r="AD11" s="326">
        <f>IF(F11=0,"",K11/(F11/((YEAR(E11)*12+MONTH(E11))-(YEAR(D11)*12+MONTH(D11))+1)))</f>
        <v/>
      </c>
      <c r="AE11" s="326">
        <f>G11/F11</f>
        <v/>
      </c>
      <c r="AF11" s="708">
        <f>F11-G11</f>
        <v/>
      </c>
      <c r="AG11" s="500" t="n"/>
      <c r="AH11" s="500" t="n"/>
      <c r="AI11" s="500" t="n"/>
      <c r="AJ11" s="706" t="inlineStr"/>
      <c r="AK11" s="706" t="inlineStr"/>
      <c r="AL11" s="706" t="inlineStr"/>
      <c r="AM11" s="706" t="inlineStr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21764.340451</v>
      </c>
      <c r="H12" s="707" t="n">
        <v>5138.663789</v>
      </c>
      <c r="I12" s="707" t="n">
        <v>0</v>
      </c>
      <c r="J12" s="707" t="n">
        <v>0</v>
      </c>
      <c r="K12" s="707">
        <f>SUM(H12:J12)</f>
        <v/>
      </c>
      <c r="L12" s="707" t="n">
        <v>527.86032</v>
      </c>
      <c r="M12" s="707" t="n">
        <v>0</v>
      </c>
      <c r="N12" s="707" t="n">
        <v>176.99322</v>
      </c>
      <c r="O12" s="707">
        <f>SUM(L12:N12)</f>
        <v/>
      </c>
      <c r="P12" s="707" t="n">
        <v>5719.894428</v>
      </c>
      <c r="Q12" s="707" t="n">
        <v>0</v>
      </c>
      <c r="R12" s="707" t="n">
        <v>170.991639</v>
      </c>
      <c r="S12" s="707">
        <f>SUM(P12:R12)</f>
        <v/>
      </c>
      <c r="T12" s="707" t="n">
        <v>2659.960961</v>
      </c>
      <c r="U12" s="707" t="n">
        <v>0</v>
      </c>
      <c r="V12" s="707" t="n">
        <v>743.622962</v>
      </c>
      <c r="W12" s="707">
        <f>SUM(T12:V12)</f>
        <v/>
      </c>
      <c r="X12" s="707" t="n">
        <v>0</v>
      </c>
      <c r="Y12" s="707" t="n">
        <v>0</v>
      </c>
      <c r="Z12" s="707" t="n">
        <v>144.157177</v>
      </c>
      <c r="AA12" s="707">
        <f>SUM(X12:Z12)</f>
        <v/>
      </c>
      <c r="AB12" s="707" t="n">
        <v>6482.195956</v>
      </c>
      <c r="AC12" s="271">
        <f>SUM(K12+O12+S12+W12+AA12+AB12)</f>
        <v/>
      </c>
      <c r="AD12" s="326">
        <f>IF(F12=0,"",K12/(F12/((YEAR(E12)*12+MONTH(E12))-(YEAR(D12)*12+MONTH(D12))+1)))</f>
        <v/>
      </c>
      <c r="AE12" s="326">
        <f>G12/F12</f>
        <v/>
      </c>
      <c r="AF12" s="708">
        <f>F12-G12</f>
        <v/>
      </c>
      <c r="AG12" s="500" t="n"/>
      <c r="AH12" s="500" t="n"/>
      <c r="AI12" s="500" t="n"/>
      <c r="AJ12" s="706" t="inlineStr"/>
      <c r="AK12" s="706" t="inlineStr"/>
      <c r="AL12" s="706" t="inlineStr"/>
      <c r="AM12" s="706" t="inlineStr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12743.962641</v>
      </c>
      <c r="H13" s="707" t="n">
        <v>2826.176184</v>
      </c>
      <c r="I13" s="707" t="n">
        <v>0</v>
      </c>
      <c r="J13" s="707" t="n">
        <v>0</v>
      </c>
      <c r="K13" s="707">
        <f>SUM(H13:J13)</f>
        <v/>
      </c>
      <c r="L13" s="707" t="n">
        <v>1000.951193</v>
      </c>
      <c r="M13" s="707" t="n">
        <v>0</v>
      </c>
      <c r="N13" s="707" t="n">
        <v>154.671299</v>
      </c>
      <c r="O13" s="707">
        <f>SUM(L13:N13)</f>
        <v/>
      </c>
      <c r="P13" s="707" t="n">
        <v>3291.566745</v>
      </c>
      <c r="Q13" s="707" t="n">
        <v>0</v>
      </c>
      <c r="R13" s="707" t="n">
        <v>242.965979</v>
      </c>
      <c r="S13" s="707">
        <f>SUM(P13:R13)</f>
        <v/>
      </c>
      <c r="T13" s="707" t="n">
        <v>3556.620439</v>
      </c>
      <c r="U13" s="707" t="n">
        <v>0</v>
      </c>
      <c r="V13" s="707" t="n">
        <v>446.103228</v>
      </c>
      <c r="W13" s="707">
        <f>SUM(T13:V13)</f>
        <v/>
      </c>
      <c r="X13" s="707" t="n">
        <v>1054.327266</v>
      </c>
      <c r="Y13" s="707" t="n">
        <v>0</v>
      </c>
      <c r="Z13" s="707" t="n">
        <v>170.580309</v>
      </c>
      <c r="AA13" s="707">
        <f>SUM(X13:Z13)</f>
        <v/>
      </c>
      <c r="AB13" s="707" t="n">
        <v>692.512431</v>
      </c>
      <c r="AC13" s="271">
        <f>SUM(K13+O13+S13+W13+AA13+AB13)</f>
        <v/>
      </c>
      <c r="AD13" s="326">
        <f>IF(F13=0,"",K13/(F13/((YEAR(E13)*12+MONTH(E13))-(YEAR(D13)*12+MONTH(D13))+1)))</f>
        <v/>
      </c>
      <c r="AE13" s="326">
        <f>G13/F13</f>
        <v/>
      </c>
      <c r="AF13" s="708">
        <f>F13-G13</f>
        <v/>
      </c>
      <c r="AG13" s="513" t="n"/>
      <c r="AH13" s="513" t="n"/>
      <c r="AI13" s="513" t="n"/>
      <c r="AJ13" s="706" t="inlineStr"/>
      <c r="AK13" s="706" t="inlineStr"/>
      <c r="AL13" s="706" t="inlineStr"/>
      <c r="AM13" s="706" t="inlineStr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333">
        <f>SUM(K14+O14+S14+W14+AA14+AB14)</f>
        <v/>
      </c>
      <c r="AD14" s="335">
        <f>IF(F14=0,"",K14/(F14/((YEAR(E10)*12+MONTH(E10))-(YEAR(D10)*12+MONTH(D10))+1)))</f>
        <v/>
      </c>
      <c r="AE14" s="336">
        <f>G14/F14</f>
        <v/>
      </c>
      <c r="AF14" s="715">
        <f>F14-G14</f>
        <v/>
      </c>
      <c r="AG14" s="337">
        <f>AG10</f>
        <v/>
      </c>
      <c r="AH14" s="335">
        <f>AC14/AG10</f>
        <v/>
      </c>
      <c r="AI14" s="712">
        <f>AG10-AC14</f>
        <v/>
      </c>
      <c r="AJ14" s="713" t="inlineStr"/>
      <c r="AK14" s="713" t="inlineStr"/>
      <c r="AL14" s="713" t="inlineStr"/>
      <c r="AM14" s="713" t="inlineStr"/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10699.581083</v>
      </c>
      <c r="H15" s="703" t="n">
        <v>1519.142625</v>
      </c>
      <c r="I15" s="703" t="n">
        <v>0</v>
      </c>
      <c r="J15" s="703" t="n">
        <v>0</v>
      </c>
      <c r="K15" s="703">
        <f>SUM(H15:J15)</f>
        <v/>
      </c>
      <c r="L15" s="703" t="n">
        <v>1776.618655</v>
      </c>
      <c r="M15" s="703" t="n">
        <v>0</v>
      </c>
      <c r="N15" s="703" t="n">
        <v>64.972886</v>
      </c>
      <c r="O15" s="703">
        <f>SUM(L15:N15)</f>
        <v/>
      </c>
      <c r="P15" s="703" t="n">
        <v>2171.402323</v>
      </c>
      <c r="Q15" s="703" t="n">
        <v>0</v>
      </c>
      <c r="R15" s="703" t="n">
        <v>15.631431</v>
      </c>
      <c r="S15" s="703">
        <f>SUM(P15:R15)</f>
        <v/>
      </c>
      <c r="T15" s="703" t="n">
        <v>1305.1575</v>
      </c>
      <c r="U15" s="703" t="n">
        <v>1178.4864</v>
      </c>
      <c r="V15" s="703" t="n">
        <v>22.441342</v>
      </c>
      <c r="W15" s="703">
        <f>SUM(T15:V15)</f>
        <v/>
      </c>
      <c r="X15" s="703" t="n">
        <v>0</v>
      </c>
      <c r="Y15" s="703" t="n">
        <v>0</v>
      </c>
      <c r="Z15" s="703" t="n">
        <v>15.177921</v>
      </c>
      <c r="AA15" s="703">
        <f>SUM(X15:Z15)</f>
        <v/>
      </c>
      <c r="AB15" s="703" t="n">
        <v>2630.55</v>
      </c>
      <c r="AC15" s="724">
        <f>SUM(K15+O15+S15+W15+AA15+AB15)</f>
        <v/>
      </c>
      <c r="AD15" s="319">
        <f>IF(F15=0,"",K15/(F15/((YEAR(E15)*12+MONTH(E15))-(YEAR(D15)*12+MONTH(D15))+1)))</f>
        <v/>
      </c>
      <c r="AE15" s="319">
        <f>G15/F15</f>
        <v/>
      </c>
      <c r="AF15" s="724">
        <f>F15-G15</f>
        <v/>
      </c>
      <c r="AG15" s="321">
        <f>SUM(F15:F18)</f>
        <v/>
      </c>
      <c r="AH15" s="322">
        <f>AH19</f>
        <v/>
      </c>
      <c r="AI15" s="717">
        <f>AI19</f>
        <v/>
      </c>
      <c r="AJ15" s="706" t="inlineStr"/>
      <c r="AK15" s="706" t="inlineStr"/>
      <c r="AL15" s="706" t="inlineStr"/>
      <c r="AM15" s="706" t="inlineStr"/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700.6272</v>
      </c>
      <c r="J16" s="707" t="n">
        <v>0</v>
      </c>
      <c r="K16" s="707">
        <f>SUM(H16:J16)</f>
        <v/>
      </c>
      <c r="L16" s="707" t="n">
        <v>0</v>
      </c>
      <c r="M16" s="707" t="n">
        <v>0</v>
      </c>
      <c r="N16" s="707" t="n">
        <v>2.157894</v>
      </c>
      <c r="O16" s="707">
        <f>SUM(L16:N16)</f>
        <v/>
      </c>
      <c r="P16" s="707" t="n">
        <v>0</v>
      </c>
      <c r="Q16" s="707" t="n">
        <v>0</v>
      </c>
      <c r="R16" s="707" t="n">
        <v>2.058637</v>
      </c>
      <c r="S16" s="707">
        <f>SUM(P16:R16)</f>
        <v/>
      </c>
      <c r="T16" s="707" t="n">
        <v>0</v>
      </c>
      <c r="U16" s="707" t="n">
        <v>0</v>
      </c>
      <c r="V16" s="707" t="n">
        <v>3.23046</v>
      </c>
      <c r="W16" s="707">
        <f>SUM(T16:V16)</f>
        <v/>
      </c>
      <c r="X16" s="707" t="n">
        <v>25.0224</v>
      </c>
      <c r="Y16" s="707" t="n">
        <v>1050.9408</v>
      </c>
      <c r="Z16" s="707" t="n">
        <v>3.667668</v>
      </c>
      <c r="AA16" s="707">
        <f>SUM(X16:Z16)</f>
        <v/>
      </c>
      <c r="AB16" s="707" t="n">
        <v>125.112</v>
      </c>
      <c r="AC16" s="271">
        <f>SUM(K16+O16+S16+W16+AA16+AB16)</f>
        <v/>
      </c>
      <c r="AD16" s="326">
        <f>IF(F16=0,"",K16/(F16/((YEAR(E16)*12+MONTH(E16))-(YEAR(D16)*12+MONTH(D16))+1)))</f>
        <v/>
      </c>
      <c r="AE16" s="326">
        <f>G16/F16</f>
        <v/>
      </c>
      <c r="AF16" s="708">
        <f>F16-G16</f>
        <v/>
      </c>
      <c r="AG16" s="500" t="n"/>
      <c r="AH16" s="500" t="n"/>
      <c r="AI16" s="500" t="n"/>
      <c r="AJ16" s="706" t="inlineStr"/>
      <c r="AK16" s="706" t="inlineStr"/>
      <c r="AL16" s="706" t="inlineStr"/>
      <c r="AM16" s="706" t="inlineStr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4829.544551</v>
      </c>
      <c r="H17" s="707" t="n">
        <v>412.205196</v>
      </c>
      <c r="I17" s="707" t="n">
        <v>0</v>
      </c>
      <c r="J17" s="707" t="n">
        <v>0</v>
      </c>
      <c r="K17" s="707">
        <f>SUM(H17:J17)</f>
        <v/>
      </c>
      <c r="L17" s="707" t="n">
        <v>539.9043</v>
      </c>
      <c r="M17" s="707" t="n">
        <v>1859.14872</v>
      </c>
      <c r="N17" s="707" t="n">
        <v>20.425227</v>
      </c>
      <c r="O17" s="707">
        <f>SUM(L17:N17)</f>
        <v/>
      </c>
      <c r="P17" s="707" t="n">
        <v>0</v>
      </c>
      <c r="Q17" s="707" t="n">
        <v>0</v>
      </c>
      <c r="R17" s="707" t="n">
        <v>43.453355</v>
      </c>
      <c r="S17" s="707">
        <f>SUM(P17:R17)</f>
        <v/>
      </c>
      <c r="T17" s="707" t="n">
        <v>0</v>
      </c>
      <c r="U17" s="707" t="n">
        <v>1943.65548</v>
      </c>
      <c r="V17" s="707" t="n">
        <v>10.752272</v>
      </c>
      <c r="W17" s="707">
        <f>SUM(T17:V17)</f>
        <v/>
      </c>
      <c r="X17" s="707" t="n">
        <v>0</v>
      </c>
      <c r="Y17" s="707" t="n">
        <v>0</v>
      </c>
      <c r="Z17" s="707" t="n">
        <v>0</v>
      </c>
      <c r="AA17" s="707">
        <f>SUM(X17:Z17)</f>
        <v/>
      </c>
      <c r="AB17" s="707" t="n">
        <v>0</v>
      </c>
      <c r="AC17" s="271">
        <f>SUM(K17+O17+S17+W17+AA17+AB17)</f>
        <v/>
      </c>
      <c r="AD17" s="326">
        <f>IF(F17=0,"",K17/(F17/MAX(1,(YEAR(E17)*12+MONTH(E17))-(YEAR(D17)*12+MONTH(D17))+1)))</f>
        <v/>
      </c>
      <c r="AE17" s="326">
        <f>G17/F17</f>
        <v/>
      </c>
      <c r="AF17" s="708">
        <f>F17-G17</f>
        <v/>
      </c>
      <c r="AG17" s="500" t="n"/>
      <c r="AH17" s="500" t="n"/>
      <c r="AI17" s="500" t="n"/>
      <c r="AJ17" s="706" t="inlineStr"/>
      <c r="AK17" s="706" t="inlineStr"/>
      <c r="AL17" s="706" t="inlineStr"/>
      <c r="AM17" s="706" t="inlineStr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34770.890376</v>
      </c>
      <c r="H18" s="707" t="n">
        <v>4003.165648</v>
      </c>
      <c r="I18" s="707" t="n">
        <v>0</v>
      </c>
      <c r="J18" s="707" t="n">
        <v>0</v>
      </c>
      <c r="K18" s="707">
        <f>SUM(H18:J18)</f>
        <v/>
      </c>
      <c r="L18" s="707" t="n">
        <v>1274.903482</v>
      </c>
      <c r="M18" s="707" t="n">
        <v>3566.1951</v>
      </c>
      <c r="N18" s="707" t="n">
        <v>270.289524</v>
      </c>
      <c r="O18" s="707">
        <f>SUM(L18:N18)</f>
        <v/>
      </c>
      <c r="P18" s="707" t="n">
        <v>2660.12632</v>
      </c>
      <c r="Q18" s="707" t="n">
        <v>0</v>
      </c>
      <c r="R18" s="707" t="n">
        <v>331.400492</v>
      </c>
      <c r="S18" s="707">
        <f>SUM(P18:R18)</f>
        <v/>
      </c>
      <c r="T18" s="707" t="n">
        <v>3406.959578</v>
      </c>
      <c r="U18" s="707" t="n">
        <v>14793.1056</v>
      </c>
      <c r="V18" s="707" t="n">
        <v>606.358521</v>
      </c>
      <c r="W18" s="707">
        <f>SUM(T18:V18)</f>
        <v/>
      </c>
      <c r="X18" s="707" t="n">
        <v>3557.362586</v>
      </c>
      <c r="Y18" s="707" t="n">
        <v>0</v>
      </c>
      <c r="Z18" s="707" t="n">
        <v>301.023526</v>
      </c>
      <c r="AA18" s="707">
        <f>SUM(X18:Z18)</f>
        <v/>
      </c>
      <c r="AB18" s="707" t="n">
        <v>8988.571889000001</v>
      </c>
      <c r="AC18" s="271">
        <f>SUM(K18+O18+S18+W18+AA18+AB18)</f>
        <v/>
      </c>
      <c r="AD18" s="326">
        <f>IF(F18=0,"",K18/(F18/((YEAR(E18)*12+MONTH(E18))-(YEAR(D18)*12+MONTH(D18))+1)))</f>
        <v/>
      </c>
      <c r="AE18" s="326">
        <f>G18/F18</f>
        <v/>
      </c>
      <c r="AF18" s="708">
        <f>F18-G18</f>
        <v/>
      </c>
      <c r="AG18" s="513" t="n"/>
      <c r="AH18" s="513" t="n"/>
      <c r="AI18" s="513" t="n"/>
      <c r="AJ18" s="706" t="inlineStr"/>
      <c r="AK18" s="706" t="inlineStr"/>
      <c r="AL18" s="706" t="inlineStr"/>
      <c r="AM18" s="706" t="inlineStr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1">
        <f>SUM(K19+O19+S19+W19+AA19+AB19)</f>
        <v/>
      </c>
      <c r="AD19" s="335">
        <f>IF(F19=0,"",K19/(F19/((YEAR(E15)*12+MONTH(E15))-(YEAR(D15)*12+MONTH(D15))+1)))</f>
        <v/>
      </c>
      <c r="AE19" s="336">
        <f>G19/F19</f>
        <v/>
      </c>
      <c r="AF19" s="711">
        <f>F19-G19</f>
        <v/>
      </c>
      <c r="AG19" s="337">
        <f>AG15</f>
        <v/>
      </c>
      <c r="AH19" s="335">
        <f>AC19/AG15</f>
        <v/>
      </c>
      <c r="AI19" s="712">
        <f>AG15-AC19</f>
        <v/>
      </c>
      <c r="AJ19" s="713" t="inlineStr"/>
      <c r="AK19" s="713" t="inlineStr"/>
      <c r="AL19" s="713" t="inlineStr"/>
      <c r="AM19" s="713" t="inlineStr"/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458.289</v>
      </c>
      <c r="I20" s="703" t="n">
        <v>0</v>
      </c>
      <c r="J20" s="703" t="n">
        <v>0</v>
      </c>
      <c r="K20" s="703">
        <f>SUM(H20:J20)</f>
        <v/>
      </c>
      <c r="L20" s="703" t="n">
        <v>305.526</v>
      </c>
      <c r="M20" s="703" t="n">
        <v>0</v>
      </c>
      <c r="N20" s="703" t="n">
        <v>0</v>
      </c>
      <c r="O20" s="703">
        <f>SUM(L20:N20)</f>
        <v/>
      </c>
      <c r="P20" s="703" t="n">
        <v>0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32.04495</v>
      </c>
      <c r="W20" s="703">
        <f>SUM(T20:V20)</f>
        <v/>
      </c>
      <c r="X20" s="703" t="n">
        <v>0</v>
      </c>
      <c r="Y20" s="703" t="n">
        <v>0</v>
      </c>
      <c r="Z20" s="703" t="n">
        <v>0</v>
      </c>
      <c r="AA20" s="703">
        <f>SUM(X20:Z20)</f>
        <v/>
      </c>
      <c r="AB20" s="703" t="n">
        <v>0</v>
      </c>
      <c r="AC20" s="318">
        <f>SUM(K20+O20+S20+W20+AA20+AB20)</f>
        <v/>
      </c>
      <c r="AD20" s="319">
        <f>IF(F20=0,"",K20/(F20/((YEAR(E20)*12+MONTH(E20))-(YEAR(D20)*12+MONTH(D20))+1)))</f>
        <v/>
      </c>
      <c r="AE20" s="319">
        <f>G20/F20</f>
        <v/>
      </c>
      <c r="AF20" s="704">
        <f>F20-G20</f>
        <v/>
      </c>
      <c r="AG20" s="321">
        <f>SUM(F20:F22)</f>
        <v/>
      </c>
      <c r="AH20" s="322">
        <f>AH23</f>
        <v/>
      </c>
      <c r="AI20" s="705">
        <f>AI23</f>
        <v/>
      </c>
      <c r="AJ20" s="706" t="inlineStr"/>
      <c r="AK20" s="706" t="inlineStr"/>
      <c r="AL20" s="706" t="inlineStr"/>
      <c r="AM20" s="706" t="inlineStr"/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5474.873932</v>
      </c>
      <c r="H21" s="707" t="n">
        <v>33.876</v>
      </c>
      <c r="I21" s="707" t="n">
        <v>0</v>
      </c>
      <c r="J21" s="707" t="n">
        <v>0</v>
      </c>
      <c r="K21" s="707">
        <f>SUM(H21:J21)</f>
        <v/>
      </c>
      <c r="L21" s="707" t="n">
        <v>494.115336</v>
      </c>
      <c r="M21" s="707" t="n">
        <v>0</v>
      </c>
      <c r="N21" s="707" t="n">
        <v>46.211266</v>
      </c>
      <c r="O21" s="707">
        <f>SUM(L21:N21)</f>
        <v/>
      </c>
      <c r="P21" s="707" t="n">
        <v>0</v>
      </c>
      <c r="Q21" s="707" t="n">
        <v>0</v>
      </c>
      <c r="R21" s="707" t="n">
        <v>37.443523</v>
      </c>
      <c r="S21" s="707">
        <f>SUM(P21:R21)</f>
        <v/>
      </c>
      <c r="T21" s="707" t="n">
        <v>198.1746</v>
      </c>
      <c r="U21" s="707" t="n">
        <v>0</v>
      </c>
      <c r="V21" s="707" t="n">
        <v>29.640215</v>
      </c>
      <c r="W21" s="707">
        <f>SUM(T21:V21)</f>
        <v/>
      </c>
      <c r="X21" s="707" t="n">
        <v>0.8469</v>
      </c>
      <c r="Y21" s="707" t="n">
        <v>4558.0158</v>
      </c>
      <c r="Z21" s="707" t="n">
        <v>19.389048</v>
      </c>
      <c r="AA21" s="707">
        <f>SUM(X21:Z21)</f>
        <v/>
      </c>
      <c r="AB21" s="707" t="n">
        <v>21.644177</v>
      </c>
      <c r="AC21" s="271">
        <f>SUM(K21+O21+S21+W21+AA21+AB21)</f>
        <v/>
      </c>
      <c r="AD21" s="326">
        <f>IF(F21=0,"",K21/(F21/((YEAR(E21)*12+MONTH(E21))-(YEAR(D21)*12+MONTH(D21))+1)))</f>
        <v/>
      </c>
      <c r="AE21" s="326">
        <f>G21/F21</f>
        <v/>
      </c>
      <c r="AF21" s="708">
        <f>F21-G21</f>
        <v/>
      </c>
      <c r="AG21" s="500" t="n"/>
      <c r="AH21" s="500" t="n"/>
      <c r="AI21" s="500" t="n"/>
      <c r="AJ21" s="706" t="inlineStr"/>
      <c r="AK21" s="706" t="inlineStr"/>
      <c r="AL21" s="706" t="inlineStr"/>
      <c r="AM21" s="706" t="inlineStr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12426.505027</v>
      </c>
      <c r="H22" s="707" t="n">
        <v>1355.08581</v>
      </c>
      <c r="I22" s="707" t="n">
        <v>0</v>
      </c>
      <c r="J22" s="707" t="n">
        <v>0</v>
      </c>
      <c r="K22" s="707">
        <f>SUM(H22:J22)</f>
        <v/>
      </c>
      <c r="L22" s="707" t="n">
        <v>2200.72469</v>
      </c>
      <c r="M22" s="707" t="n">
        <v>0</v>
      </c>
      <c r="N22" s="707" t="n">
        <v>126.144002</v>
      </c>
      <c r="O22" s="707">
        <f>SUM(L22:N22)</f>
        <v/>
      </c>
      <c r="P22" s="707" t="n">
        <v>1832.902273</v>
      </c>
      <c r="Q22" s="707" t="n">
        <v>0</v>
      </c>
      <c r="R22" s="707" t="n">
        <v>110.962682</v>
      </c>
      <c r="S22" s="707">
        <f>SUM(P22:R22)</f>
        <v/>
      </c>
      <c r="T22" s="707" t="n">
        <v>220.16475</v>
      </c>
      <c r="U22" s="707" t="n">
        <v>0</v>
      </c>
      <c r="V22" s="707" t="n">
        <v>154.524295</v>
      </c>
      <c r="W22" s="707">
        <f>SUM(T22:V22)</f>
        <v/>
      </c>
      <c r="X22" s="707" t="n">
        <v>3847.561596</v>
      </c>
      <c r="Y22" s="707" t="n">
        <v>0</v>
      </c>
      <c r="Z22" s="707" t="n">
        <v>38.370126</v>
      </c>
      <c r="AA22" s="707">
        <f>SUM(X22:Z22)</f>
        <v/>
      </c>
      <c r="AB22" s="707" t="n">
        <v>2540.064804</v>
      </c>
      <c r="AC22" s="271">
        <f>SUM(K22+O22+S22+W22+AA22+AB22)</f>
        <v/>
      </c>
      <c r="AD22" s="326">
        <f>IF(F22=0,"",K22/(F22/((YEAR(E22)*12+MONTH(E22))-(YEAR(D22)*12+MONTH(D22))+1)))</f>
        <v/>
      </c>
      <c r="AE22" s="326">
        <f>G22/F22</f>
        <v/>
      </c>
      <c r="AF22" s="708">
        <f>F22-G22</f>
        <v/>
      </c>
      <c r="AG22" s="513" t="n"/>
      <c r="AH22" s="513" t="n"/>
      <c r="AI22" s="513" t="n"/>
      <c r="AJ22" s="706" t="inlineStr"/>
      <c r="AK22" s="706" t="inlineStr"/>
      <c r="AL22" s="706" t="inlineStr"/>
      <c r="AM22" s="706" t="inlineStr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333">
        <f>SUM(K23+O23+S23+W23+AA23+AB23)</f>
        <v/>
      </c>
      <c r="AD23" s="335">
        <f>IF(F23=0,"",K23/(F23/((YEAR(E20)*12+MONTH(E20))-(YEAR(D20)*12+MONTH(D20))+1)))</f>
        <v/>
      </c>
      <c r="AE23" s="336">
        <f>G23/F23</f>
        <v/>
      </c>
      <c r="AF23" s="715">
        <f>F23-G23</f>
        <v/>
      </c>
      <c r="AG23" s="337">
        <f>AG20</f>
        <v/>
      </c>
      <c r="AH23" s="335">
        <f>AC23/AG20</f>
        <v/>
      </c>
      <c r="AI23" s="712">
        <f>AG20-AC23</f>
        <v/>
      </c>
      <c r="AJ23" s="713" t="inlineStr"/>
      <c r="AK23" s="713" t="inlineStr"/>
      <c r="AL23" s="713" t="inlineStr"/>
      <c r="AM23" s="713" t="inlineStr"/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6030.081416</v>
      </c>
      <c r="H24" s="703" t="n">
        <v>979.721418</v>
      </c>
      <c r="I24" s="703" t="n">
        <v>0</v>
      </c>
      <c r="J24" s="703" t="n">
        <v>0</v>
      </c>
      <c r="K24" s="703">
        <f>SUM(H24:J24)</f>
        <v/>
      </c>
      <c r="L24" s="703" t="n">
        <v>121.826127</v>
      </c>
      <c r="M24" s="703" t="n">
        <v>0</v>
      </c>
      <c r="N24" s="703" t="n">
        <v>638.531805</v>
      </c>
      <c r="O24" s="703">
        <f>SUM(L24:N24)</f>
        <v/>
      </c>
      <c r="P24" s="703" t="n">
        <v>88.54274700000001</v>
      </c>
      <c r="Q24" s="703" t="n">
        <v>0</v>
      </c>
      <c r="R24" s="703" t="n">
        <v>616.124389</v>
      </c>
      <c r="S24" s="703">
        <f>SUM(P24:R24)</f>
        <v/>
      </c>
      <c r="T24" s="703" t="n">
        <v>50.830377</v>
      </c>
      <c r="U24" s="703" t="n">
        <v>0</v>
      </c>
      <c r="V24" s="703" t="n">
        <v>791.318135</v>
      </c>
      <c r="W24" s="703">
        <f>SUM(T24:V24)</f>
        <v/>
      </c>
      <c r="X24" s="703" t="n">
        <v>153.11976</v>
      </c>
      <c r="Y24" s="703" t="n">
        <v>0</v>
      </c>
      <c r="Z24" s="703" t="n">
        <v>560.548117</v>
      </c>
      <c r="AA24" s="703">
        <f>SUM(X24:Z24)</f>
        <v/>
      </c>
      <c r="AB24" s="703" t="n">
        <v>2029.518541</v>
      </c>
      <c r="AC24" s="724">
        <f>SUM(K24+O24+S24+W24+AA24+AB24)</f>
        <v/>
      </c>
      <c r="AD24" s="319">
        <f>IF(F24=0,"",K24/(F24/((YEAR(E24)*12+MONTH(E24))-(YEAR(D24)*12+MONTH(D24))+1)))</f>
        <v/>
      </c>
      <c r="AE24" s="319">
        <f>G24/F24</f>
        <v/>
      </c>
      <c r="AF24" s="724">
        <f>F24-G24</f>
        <v/>
      </c>
      <c r="AG24" s="321">
        <f>SUM(F24:F26)</f>
        <v/>
      </c>
      <c r="AH24" s="322">
        <f>AH27</f>
        <v/>
      </c>
      <c r="AI24" s="725">
        <f>AI27</f>
        <v/>
      </c>
      <c r="AJ24" s="706" t="inlineStr"/>
      <c r="AK24" s="706" t="inlineStr"/>
      <c r="AL24" s="706" t="inlineStr"/>
      <c r="AM24" s="706" t="inlineStr"/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227.658167</v>
      </c>
      <c r="H25" s="707" t="n">
        <v>53.4066</v>
      </c>
      <c r="I25" s="707" t="n">
        <v>0</v>
      </c>
      <c r="J25" s="707" t="n">
        <v>0</v>
      </c>
      <c r="K25" s="707">
        <f>SUM(H25:J25)</f>
        <v/>
      </c>
      <c r="L25" s="707" t="n">
        <v>3.1134</v>
      </c>
      <c r="M25" s="707" t="n">
        <v>0</v>
      </c>
      <c r="N25" s="707" t="n">
        <v>19.121258</v>
      </c>
      <c r="O25" s="707">
        <f>SUM(L25:N25)</f>
        <v/>
      </c>
      <c r="P25" s="707" t="n">
        <v>137.257846</v>
      </c>
      <c r="Q25" s="707" t="n">
        <v>3685.0554</v>
      </c>
      <c r="R25" s="707" t="n">
        <v>14.759064</v>
      </c>
      <c r="S25" s="707">
        <f>SUM(P25:R25)</f>
        <v/>
      </c>
      <c r="T25" s="707" t="n">
        <v>0</v>
      </c>
      <c r="U25" s="707" t="n">
        <v>0</v>
      </c>
      <c r="V25" s="707" t="n">
        <v>2.181886</v>
      </c>
      <c r="W25" s="707">
        <f>SUM(T25:V25)</f>
        <v/>
      </c>
      <c r="X25" s="707" t="n">
        <v>0</v>
      </c>
      <c r="Y25" s="707" t="n">
        <v>0</v>
      </c>
      <c r="Z25" s="707" t="n">
        <v>1.481485</v>
      </c>
      <c r="AA25" s="707">
        <f>SUM(X25:Z25)</f>
        <v/>
      </c>
      <c r="AB25" s="707" t="n">
        <v>66.75825</v>
      </c>
      <c r="AC25" s="271">
        <f>SUM(K25+O25+S25+W25+AA25+AB25)</f>
        <v/>
      </c>
      <c r="AD25" s="326">
        <f>IF(F25=0,"",K25/(F25/((YEAR(E25)*12+MONTH(E25))-(YEAR(D25)*12+MONTH(D25))+1)))</f>
        <v/>
      </c>
      <c r="AE25" s="326">
        <f>G25/F25</f>
        <v/>
      </c>
      <c r="AF25" s="708">
        <f>F25-G25</f>
        <v/>
      </c>
      <c r="AG25" s="500" t="n"/>
      <c r="AH25" s="500" t="n"/>
      <c r="AI25" s="500" t="n"/>
      <c r="AJ25" s="706" t="inlineStr"/>
      <c r="AK25" s="706" t="inlineStr"/>
      <c r="AL25" s="706" t="inlineStr"/>
      <c r="AM25" s="706" t="inlineStr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26504.113609</v>
      </c>
      <c r="H26" s="707" t="n">
        <v>48.797589</v>
      </c>
      <c r="I26" s="707" t="n">
        <v>0</v>
      </c>
      <c r="J26" s="707" t="n">
        <v>0</v>
      </c>
      <c r="K26" s="707">
        <f>SUM(H26:J26)</f>
        <v/>
      </c>
      <c r="L26" s="707" t="n">
        <v>2300.387433</v>
      </c>
      <c r="M26" s="707" t="n">
        <v>0</v>
      </c>
      <c r="N26" s="707" t="n">
        <v>234.231608</v>
      </c>
      <c r="O26" s="707">
        <f>SUM(L26:N26)</f>
        <v/>
      </c>
      <c r="P26" s="707" t="n">
        <v>-6272.243033</v>
      </c>
      <c r="Q26" s="707" t="n">
        <v>0</v>
      </c>
      <c r="R26" s="707" t="n">
        <v>210.102519</v>
      </c>
      <c r="S26" s="707">
        <f>SUM(P26:R26)</f>
        <v/>
      </c>
      <c r="T26" s="707" t="n">
        <v>2164.476574</v>
      </c>
      <c r="U26" s="707" t="n">
        <v>0</v>
      </c>
      <c r="V26" s="707" t="n">
        <v>365.27682</v>
      </c>
      <c r="W26" s="707">
        <f>SUM(T26:V26)</f>
        <v/>
      </c>
      <c r="X26" s="707" t="n">
        <v>2346.171162</v>
      </c>
      <c r="Y26" s="707" t="n">
        <v>0</v>
      </c>
      <c r="Z26" s="707" t="n">
        <v>187.41719</v>
      </c>
      <c r="AA26" s="707">
        <f>SUM(X26:Z26)</f>
        <v/>
      </c>
      <c r="AB26" s="707" t="n">
        <v>24919.495747</v>
      </c>
      <c r="AC26" s="271">
        <f>SUM(K26+O26+S26+W26+AA26+AB26)</f>
        <v/>
      </c>
      <c r="AD26" s="326">
        <f>IF(F26=0,"",K26/(F26/((YEAR(E26)*12+MONTH(E26))-(YEAR(D26)*12+MONTH(D26))+1)))</f>
        <v/>
      </c>
      <c r="AE26" s="326">
        <f>G26/F26</f>
        <v/>
      </c>
      <c r="AF26" s="708">
        <f>F26-G26</f>
        <v/>
      </c>
      <c r="AG26" s="513" t="n"/>
      <c r="AH26" s="513" t="n"/>
      <c r="AI26" s="513" t="n"/>
      <c r="AJ26" s="706" t="inlineStr"/>
      <c r="AK26" s="706" t="inlineStr"/>
      <c r="AL26" s="706" t="inlineStr"/>
      <c r="AM26" s="706" t="inlineStr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333">
        <f>SUM(K27+O27+S27+W27+AA27+AB27)</f>
        <v/>
      </c>
      <c r="AD27" s="335">
        <f>IF(F27=0,"",K27/(F27/((YEAR(E24)*12+MONTH(E24))-(YEAR(D24)*12+MONTH(D24))+1)))</f>
        <v/>
      </c>
      <c r="AE27" s="336">
        <f>G27/F27</f>
        <v/>
      </c>
      <c r="AF27" s="715">
        <f>F27-G27</f>
        <v/>
      </c>
      <c r="AG27" s="337">
        <f>AG24</f>
        <v/>
      </c>
      <c r="AH27" s="335">
        <f>AC27/AG24</f>
        <v/>
      </c>
      <c r="AI27" s="712">
        <f>AG24-AC27</f>
        <v/>
      </c>
      <c r="AJ27" s="713" t="inlineStr"/>
      <c r="AK27" s="713" t="inlineStr"/>
      <c r="AL27" s="713" t="inlineStr"/>
      <c r="AM27" s="713" t="inlineStr"/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332.247119</v>
      </c>
      <c r="H28" s="703" t="n">
        <v>129.52368</v>
      </c>
      <c r="I28" s="703" t="n">
        <v>0</v>
      </c>
      <c r="J28" s="703" t="n">
        <v>0</v>
      </c>
      <c r="K28" s="703">
        <f>SUM(H28:J28)</f>
        <v/>
      </c>
      <c r="L28" s="703" t="n">
        <v>0</v>
      </c>
      <c r="M28" s="703" t="n">
        <v>0</v>
      </c>
      <c r="N28" s="703" t="n">
        <v>26.609284</v>
      </c>
      <c r="O28" s="703">
        <f>SUM(L28:N28)</f>
        <v/>
      </c>
      <c r="P28" s="703" t="n">
        <v>0</v>
      </c>
      <c r="Q28" s="703" t="n">
        <v>0</v>
      </c>
      <c r="R28" s="703" t="n">
        <v>25.715569</v>
      </c>
      <c r="S28" s="703">
        <f>SUM(P28:R28)</f>
        <v/>
      </c>
      <c r="T28" s="703" t="n">
        <v>103.23148</v>
      </c>
      <c r="U28" s="703" t="n">
        <v>0</v>
      </c>
      <c r="V28" s="703" t="n">
        <v>47.167105</v>
      </c>
      <c r="W28" s="703">
        <f>SUM(T28:V28)</f>
        <v/>
      </c>
      <c r="X28" s="703" t="n">
        <v>51.706393</v>
      </c>
      <c r="Y28" s="703" t="n">
        <v>90.204069</v>
      </c>
      <c r="Z28" s="703" t="n">
        <v>16.925117</v>
      </c>
      <c r="AA28" s="703">
        <f>SUM(X28:Z28)</f>
        <v/>
      </c>
      <c r="AB28" s="703" t="n">
        <v>193.330405</v>
      </c>
      <c r="AC28" s="724">
        <f>SUM(K28+O28+S28+W28+AA28+AB28)</f>
        <v/>
      </c>
      <c r="AD28" s="319">
        <f>IF(F28=0,"",K28/(F28/((YEAR(E28)*12+MONTH(E28))-(YEAR(D28)*12+MONTH(D28))+1)))</f>
        <v/>
      </c>
      <c r="AE28" s="319">
        <f>G28/F28</f>
        <v/>
      </c>
      <c r="AF28" s="724">
        <f>F28-G28</f>
        <v/>
      </c>
      <c r="AG28" s="321">
        <f>SUM(F28:F30)</f>
        <v/>
      </c>
      <c r="AH28" s="322">
        <f>AH31</f>
        <v/>
      </c>
      <c r="AI28" s="725">
        <f>AI31</f>
        <v/>
      </c>
      <c r="AJ28" s="706" t="inlineStr"/>
      <c r="AK28" s="706" t="inlineStr"/>
      <c r="AL28" s="706" t="inlineStr"/>
      <c r="AM28" s="706" t="inlineStr"/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</row>
    <row r="29" outlineLevel="1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37668.515795</v>
      </c>
      <c r="H29" s="707" t="n">
        <v>2106.18954</v>
      </c>
      <c r="I29" s="707" t="n">
        <v>2057.0004</v>
      </c>
      <c r="J29" s="707" t="n">
        <v>0</v>
      </c>
      <c r="K29" s="707">
        <f>SUM(H29:J29)</f>
        <v/>
      </c>
      <c r="L29" s="707" t="n">
        <v>536.6088</v>
      </c>
      <c r="M29" s="707" t="n">
        <v>0</v>
      </c>
      <c r="N29" s="707" t="n">
        <v>313.323811</v>
      </c>
      <c r="O29" s="707">
        <f>SUM(L29:N29)</f>
        <v/>
      </c>
      <c r="P29" s="707" t="n">
        <v>1351.820914</v>
      </c>
      <c r="Q29" s="707" t="n">
        <v>20570.004</v>
      </c>
      <c r="R29" s="707" t="n">
        <v>654.353493</v>
      </c>
      <c r="S29" s="707">
        <f>SUM(P29:R29)</f>
        <v/>
      </c>
      <c r="T29" s="707" t="n">
        <v>3314.503374</v>
      </c>
      <c r="U29" s="707" t="n">
        <v>0</v>
      </c>
      <c r="V29" s="707" t="n">
        <v>699.48968</v>
      </c>
      <c r="W29" s="707">
        <f>SUM(T29:V29)</f>
        <v/>
      </c>
      <c r="X29" s="707" t="n">
        <v>4769.379014</v>
      </c>
      <c r="Y29" s="707" t="n">
        <v>0</v>
      </c>
      <c r="Z29" s="707" t="n">
        <v>225.874626</v>
      </c>
      <c r="AA29" s="707">
        <f>SUM(X29:Z29)</f>
        <v/>
      </c>
      <c r="AB29" s="707" t="n">
        <v>1069.968142</v>
      </c>
      <c r="AC29" s="271">
        <f>SUM(K29+O29+S29+W29+AA29+AB29)</f>
        <v/>
      </c>
      <c r="AD29" s="326">
        <f>IF(F29=0,"",K29/(F29/((YEAR(E29)*12+MONTH(E29))-(YEAR(D29)*12+MONTH(D29))+1)))</f>
        <v/>
      </c>
      <c r="AE29" s="326">
        <f>G29/F29</f>
        <v/>
      </c>
      <c r="AF29" s="708">
        <f>F29-G29</f>
        <v/>
      </c>
      <c r="AG29" s="500" t="n"/>
      <c r="AH29" s="500" t="n"/>
      <c r="AI29" s="500" t="n"/>
      <c r="AJ29" s="706" t="inlineStr"/>
      <c r="AK29" s="706" t="inlineStr"/>
      <c r="AL29" s="706" t="inlineStr"/>
      <c r="AM29" s="706" t="inlineStr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</row>
    <row r="30" outlineLevel="1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15074.173293</v>
      </c>
      <c r="H30" s="707" t="n">
        <v>518.45904</v>
      </c>
      <c r="I30" s="707" t="n">
        <v>0</v>
      </c>
      <c r="J30" s="707" t="n">
        <v>0</v>
      </c>
      <c r="K30" s="707">
        <f>SUM(H30:J30)</f>
        <v/>
      </c>
      <c r="L30" s="707" t="n">
        <v>994.77807</v>
      </c>
      <c r="M30" s="707" t="n">
        <v>0</v>
      </c>
      <c r="N30" s="707" t="n">
        <v>185.511372</v>
      </c>
      <c r="O30" s="707">
        <f>SUM(L30:N30)</f>
        <v/>
      </c>
      <c r="P30" s="707" t="n">
        <v>949.2912</v>
      </c>
      <c r="Q30" s="707" t="n">
        <v>0</v>
      </c>
      <c r="R30" s="707" t="n">
        <v>144.291309</v>
      </c>
      <c r="S30" s="707">
        <f>SUM(P30:R30)</f>
        <v/>
      </c>
      <c r="T30" s="707" t="n">
        <v>2158.292651</v>
      </c>
      <c r="U30" s="707" t="n">
        <v>8187.6366</v>
      </c>
      <c r="V30" s="707" t="n">
        <v>194.447373</v>
      </c>
      <c r="W30" s="707">
        <f>SUM(T30:V30)</f>
        <v/>
      </c>
      <c r="X30" s="707" t="n">
        <v>474.6456</v>
      </c>
      <c r="Y30" s="707" t="n">
        <v>0</v>
      </c>
      <c r="Z30" s="707" t="n">
        <v>122.035472</v>
      </c>
      <c r="AA30" s="707">
        <f>SUM(X30:Z30)</f>
        <v/>
      </c>
      <c r="AB30" s="707" t="n">
        <v>1144.784607</v>
      </c>
      <c r="AC30" s="271">
        <f>SUM(K30+O30+S30+W30+AA30+AB30)</f>
        <v/>
      </c>
      <c r="AD30" s="326">
        <f>IF(F30=0,"",K30/(F30/((YEAR(E30)*12+MONTH(E30))-(YEAR(D30)*12+MONTH(D30))+1)))</f>
        <v/>
      </c>
      <c r="AE30" s="326">
        <f>G30/F30</f>
        <v/>
      </c>
      <c r="AF30" s="708">
        <f>F30-G30</f>
        <v/>
      </c>
      <c r="AG30" s="513" t="n"/>
      <c r="AH30" s="513" t="n"/>
      <c r="AI30" s="513" t="n"/>
      <c r="AJ30" s="706" t="inlineStr"/>
      <c r="AK30" s="706" t="inlineStr"/>
      <c r="AL30" s="706" t="inlineStr"/>
      <c r="AM30" s="706" t="inlineStr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</row>
    <row r="31" outlineLevel="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710">
        <f>SUM(Y28:Y30)</f>
        <v/>
      </c>
      <c r="Z31" s="710">
        <f>SUM(Z28:Z30)</f>
        <v/>
      </c>
      <c r="AA31" s="710">
        <f>SUM(AA28:AA30)</f>
        <v/>
      </c>
      <c r="AB31" s="710">
        <f>SUM(AB28:AB30)</f>
        <v/>
      </c>
      <c r="AC31" s="333">
        <f>SUM(K31+O31+S31+W31+AA31+AB31)</f>
        <v/>
      </c>
      <c r="AD31" s="335">
        <f>IF(F31=0,"",K31/(F31/((YEAR(E28)*12+MONTH(E28))-(YEAR(D28)*12+MONTH(D28))+1)))</f>
        <v/>
      </c>
      <c r="AE31" s="336">
        <f>G31/F31</f>
        <v/>
      </c>
      <c r="AF31" s="715">
        <f>F31-G31</f>
        <v/>
      </c>
      <c r="AG31" s="337">
        <f>AG28</f>
        <v/>
      </c>
      <c r="AH31" s="335">
        <f>AC31/AG28</f>
        <v/>
      </c>
      <c r="AI31" s="712">
        <f>AG28-AC31</f>
        <v/>
      </c>
      <c r="AJ31" s="713" t="inlineStr"/>
      <c r="AK31" s="713" t="inlineStr"/>
      <c r="AL31" s="713" t="inlineStr"/>
      <c r="AM31" s="713" t="inlineStr"/>
      <c r="AN31" s="713" t="inlineStr"/>
      <c r="AO31" s="713" t="inlineStr"/>
      <c r="AP31" s="713" t="inlineStr"/>
      <c r="AQ31" s="713" t="inlineStr"/>
      <c r="AR31" s="713" t="inlineStr"/>
      <c r="AS31" s="713" t="inlineStr"/>
      <c r="AT31" s="713" t="inlineStr"/>
      <c r="AU31" s="713" t="inlineStr"/>
      <c r="AV31" s="713" t="inlineStr"/>
      <c r="AW31" s="713" t="inlineStr"/>
      <c r="AX31" s="713" t="inlineStr"/>
      <c r="AY31" s="713" t="inlineStr"/>
      <c r="AZ31" s="713" t="inlineStr"/>
      <c r="BA31" s="713" t="inlineStr"/>
      <c r="BB31" s="713" t="inlineStr"/>
      <c r="BC31" s="713" t="inlineStr"/>
      <c r="BD31" s="713" t="inlineStr"/>
      <c r="BE31" s="713" t="inlineStr"/>
      <c r="BF31" s="713" t="inlineStr"/>
      <c r="BG31" s="713" t="inlineStr"/>
      <c r="BH31" s="713" t="inlineStr"/>
      <c r="BI31" s="713" t="inlineStr"/>
    </row>
    <row r="32" outlineLevel="1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8373.624527</v>
      </c>
      <c r="H32" s="703" t="n">
        <v>2008.1841</v>
      </c>
      <c r="I32" s="703" t="n">
        <v>646.53732</v>
      </c>
      <c r="J32" s="703" t="n">
        <v>0</v>
      </c>
      <c r="K32" s="703">
        <f>SUM(H32:J32)</f>
        <v/>
      </c>
      <c r="L32" s="703" t="n">
        <v>1610.465688</v>
      </c>
      <c r="M32" s="703" t="n">
        <v>110.192882</v>
      </c>
      <c r="N32" s="703" t="n">
        <v>23.921364</v>
      </c>
      <c r="O32" s="703">
        <f>SUM(L32:N32)</f>
        <v/>
      </c>
      <c r="P32" s="703" t="n">
        <v>1008.99006</v>
      </c>
      <c r="Q32" s="703" t="n">
        <v>0</v>
      </c>
      <c r="R32" s="703" t="n">
        <v>42.539952</v>
      </c>
      <c r="S32" s="703">
        <f>SUM(P32:R32)</f>
        <v/>
      </c>
      <c r="T32" s="703" t="n">
        <v>0</v>
      </c>
      <c r="U32" s="703" t="n">
        <v>342.296351</v>
      </c>
      <c r="V32" s="703" t="n">
        <v>99.729601</v>
      </c>
      <c r="W32" s="703">
        <f>SUM(T32:V32)</f>
        <v/>
      </c>
      <c r="X32" s="703" t="n">
        <v>440.8209</v>
      </c>
      <c r="Y32" s="703" t="n">
        <v>0</v>
      </c>
      <c r="Z32" s="703" t="n">
        <v>27.757259</v>
      </c>
      <c r="AA32" s="703">
        <f>SUM(X32:Z32)</f>
        <v/>
      </c>
      <c r="AB32" s="703" t="n">
        <v>1313.905711</v>
      </c>
      <c r="AC32" s="724">
        <f>SUM(K32+O32+S32+W32+AA32+AB32)</f>
        <v/>
      </c>
      <c r="AD32" s="319">
        <f>IF(F32=0,"",K32/(F32/((YEAR(E32)*12+MONTH(E32))-(YEAR(D32)*12+MONTH(D32))+1)))</f>
        <v/>
      </c>
      <c r="AE32" s="319">
        <f>G32/F32</f>
        <v/>
      </c>
      <c r="AF32" s="724">
        <f>F32-G32</f>
        <v/>
      </c>
      <c r="AG32" s="321">
        <f>SUM(F32:F33)</f>
        <v/>
      </c>
      <c r="AH32" s="322">
        <f>AH34</f>
        <v/>
      </c>
      <c r="AI32" s="725">
        <f>AI34</f>
        <v/>
      </c>
      <c r="AJ32" s="706" t="inlineStr"/>
      <c r="AK32" s="706" t="inlineStr"/>
      <c r="AL32" s="706" t="inlineStr"/>
      <c r="AM32" s="706" t="inlineStr"/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</row>
    <row r="33" outlineLevel="1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47780.93374</v>
      </c>
      <c r="H33" s="707" t="n">
        <v>7286.709456</v>
      </c>
      <c r="I33" s="707" t="n">
        <v>0</v>
      </c>
      <c r="J33" s="707" t="n">
        <v>0</v>
      </c>
      <c r="K33" s="707">
        <f>SUM(H33:J33)</f>
        <v/>
      </c>
      <c r="L33" s="707" t="n">
        <v>8333.122670999999</v>
      </c>
      <c r="M33" s="707" t="n">
        <v>0</v>
      </c>
      <c r="N33" s="707" t="n">
        <v>299.634617</v>
      </c>
      <c r="O33" s="707">
        <f>SUM(L33:N33)</f>
        <v/>
      </c>
      <c r="P33" s="707" t="n">
        <v>1259.210798</v>
      </c>
      <c r="Q33" s="707" t="n">
        <v>3101.9274</v>
      </c>
      <c r="R33" s="707" t="n">
        <v>318.667286</v>
      </c>
      <c r="S33" s="707">
        <f>SUM(P33:R33)</f>
        <v/>
      </c>
      <c r="T33" s="707" t="n">
        <v>10803.329409</v>
      </c>
      <c r="U33" s="707" t="n">
        <v>0</v>
      </c>
      <c r="V33" s="707" t="n">
        <v>396.373158</v>
      </c>
      <c r="W33" s="707">
        <f>SUM(T33:V33)</f>
        <v/>
      </c>
      <c r="X33" s="707" t="n">
        <v>6594.535422</v>
      </c>
      <c r="Y33" s="707" t="n">
        <v>0</v>
      </c>
      <c r="Z33" s="707" t="n">
        <v>271.914403</v>
      </c>
      <c r="AA33" s="707">
        <f>SUM(X33:Z33)</f>
        <v/>
      </c>
      <c r="AB33" s="707" t="n">
        <v>9115.509121999999</v>
      </c>
      <c r="AC33" s="271">
        <f>SUM(K33+O33+S33+W33+AA33+AB33)</f>
        <v/>
      </c>
      <c r="AD33" s="326">
        <f>IF(F33=0,"",K33/(F33/((YEAR(E33)*12+MONTH(E33))-(YEAR(D33)*12+MONTH(D33))+1)))</f>
        <v/>
      </c>
      <c r="AE33" s="326">
        <f>G33/F33</f>
        <v/>
      </c>
      <c r="AF33" s="708">
        <f>F33-G33</f>
        <v/>
      </c>
      <c r="AG33" s="513" t="n"/>
      <c r="AH33" s="513" t="n"/>
      <c r="AI33" s="513" t="n"/>
      <c r="AJ33" s="706" t="inlineStr"/>
      <c r="AK33" s="706" t="inlineStr"/>
      <c r="AL33" s="706" t="inlineStr"/>
      <c r="AM33" s="706" t="inlineStr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</row>
    <row r="34" outlineLevel="1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710">
        <f>SUM(Y32:Y33)</f>
        <v/>
      </c>
      <c r="Z34" s="710">
        <f>SUM(Z32:Z33)</f>
        <v/>
      </c>
      <c r="AA34" s="710">
        <f>SUM(AA32:AA33)</f>
        <v/>
      </c>
      <c r="AB34" s="710">
        <f>SUM(AB32:AB33)</f>
        <v/>
      </c>
      <c r="AC34" s="333">
        <f>SUM(K34+O34+S34+W34+AA34+AB34)</f>
        <v/>
      </c>
      <c r="AD34" s="335">
        <f>IF(F34=0,"",K34/(F34/((YEAR(E32)*12+MONTH(E32))-(YEAR(D32)*12+MONTH(D32))+1)))</f>
        <v/>
      </c>
      <c r="AE34" s="336">
        <f>G34/F34</f>
        <v/>
      </c>
      <c r="AF34" s="715">
        <f>F34-G34</f>
        <v/>
      </c>
      <c r="AG34" s="337">
        <f>AG32</f>
        <v/>
      </c>
      <c r="AH34" s="335">
        <f>AC34/AG32</f>
        <v/>
      </c>
      <c r="AI34" s="712">
        <f>AG32-AC34</f>
        <v/>
      </c>
      <c r="AJ34" s="713" t="inlineStr"/>
      <c r="AK34" s="713" t="inlineStr"/>
      <c r="AL34" s="713" t="inlineStr"/>
      <c r="AM34" s="713" t="inlineStr"/>
      <c r="AN34" s="713" t="inlineStr"/>
      <c r="AO34" s="713" t="inlineStr"/>
      <c r="AP34" s="713" t="inlineStr"/>
      <c r="AQ34" s="713" t="inlineStr"/>
      <c r="AR34" s="713" t="inlineStr"/>
      <c r="AS34" s="713" t="inlineStr"/>
      <c r="AT34" s="713" t="inlineStr"/>
      <c r="AU34" s="713" t="inlineStr"/>
      <c r="AV34" s="713" t="inlineStr"/>
      <c r="AW34" s="713" t="inlineStr"/>
      <c r="AX34" s="713" t="inlineStr"/>
      <c r="AY34" s="713" t="inlineStr"/>
      <c r="AZ34" s="713" t="inlineStr"/>
      <c r="BA34" s="713" t="inlineStr"/>
      <c r="BB34" s="713" t="inlineStr"/>
      <c r="BC34" s="713" t="inlineStr"/>
      <c r="BD34" s="713" t="inlineStr"/>
      <c r="BE34" s="713" t="inlineStr"/>
      <c r="BF34" s="713" t="inlineStr"/>
      <c r="BG34" s="713" t="inlineStr"/>
      <c r="BH34" s="713" t="inlineStr"/>
      <c r="BI34" s="713" t="inlineStr"/>
    </row>
    <row r="35" outlineLevel="1" ht="14.25" customFormat="1" customHeight="1" s="483">
      <c r="A35" s="703" t="inlineStr">
        <is>
          <t>理财师005</t>
        </is>
      </c>
      <c r="B35" s="703" t="inlineStr">
        <is>
          <t>理财师030</t>
        </is>
      </c>
      <c r="C35" s="703" t="inlineStr">
        <is>
          <t>私人财富管理顾问PWA1-1</t>
        </is>
      </c>
      <c r="D35" s="693" t="n">
        <v>46195</v>
      </c>
      <c r="E35" s="693" t="n">
        <v>46377</v>
      </c>
      <c r="F35" s="703" t="n">
        <v>7461.34</v>
      </c>
      <c r="G35" s="703" t="n">
        <v>247.0689</v>
      </c>
      <c r="H35" s="703" t="n">
        <v>247.0689</v>
      </c>
      <c r="I35" s="703" t="n">
        <v>0</v>
      </c>
      <c r="J35" s="703" t="n">
        <v>0</v>
      </c>
      <c r="K35" s="703">
        <f>SUM(H35:J35)</f>
        <v/>
      </c>
      <c r="L35" s="703" t="n">
        <v>0</v>
      </c>
      <c r="M35" s="703" t="n">
        <v>0</v>
      </c>
      <c r="N35" s="703" t="n">
        <v>0</v>
      </c>
      <c r="O35" s="703">
        <f>SUM(L35:N35)</f>
        <v/>
      </c>
      <c r="P35" s="703" t="n">
        <v>0</v>
      </c>
      <c r="Q35" s="703" t="n">
        <v>0</v>
      </c>
      <c r="R35" s="703" t="n">
        <v>0</v>
      </c>
      <c r="S35" s="703">
        <f>SUM(P35:R35)</f>
        <v/>
      </c>
      <c r="T35" s="703" t="n">
        <v>0</v>
      </c>
      <c r="U35" s="703" t="n">
        <v>0</v>
      </c>
      <c r="V35" s="703" t="n">
        <v>0</v>
      </c>
      <c r="W35" s="703">
        <f>SUM(T35:V35)</f>
        <v/>
      </c>
      <c r="X35" s="703" t="n">
        <v>0</v>
      </c>
      <c r="Y35" s="703" t="n">
        <v>0</v>
      </c>
      <c r="Z35" s="703" t="n">
        <v>0</v>
      </c>
      <c r="AA35" s="703">
        <f>SUM(X35:Z35)</f>
        <v/>
      </c>
      <c r="AB35" s="703" t="n">
        <v>0</v>
      </c>
      <c r="AC35" s="724">
        <f>SUM(K35+O35+S35+W35+AA35+AB35)</f>
        <v/>
      </c>
      <c r="AD35" s="319">
        <f>IF(F35=0,"",K35/(F35/((YEAR(E35)*12+MONTH(E35))-(YEAR(D35)*12+MONTH(D35))+1)))</f>
        <v/>
      </c>
      <c r="AE35" s="319">
        <f>G35/F35</f>
        <v/>
      </c>
      <c r="AF35" s="724">
        <f>F35-G35</f>
        <v/>
      </c>
      <c r="AG35" s="321">
        <f>SUM(F35:F37)</f>
        <v/>
      </c>
      <c r="AH35" s="322">
        <f>AH38</f>
        <v/>
      </c>
      <c r="AI35" s="725">
        <f>AI38</f>
        <v/>
      </c>
      <c r="AJ35" s="706" t="inlineStr"/>
      <c r="AK35" s="706" t="inlineStr"/>
      <c r="AL35" s="706" t="inlineStr"/>
      <c r="AM35" s="706" t="inlineStr"/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</row>
    <row r="36" outlineLevel="1" ht="14.25" customFormat="1" customHeight="1" s="483">
      <c r="A36" s="500" t="n"/>
      <c r="B36" s="707" t="inlineStr">
        <is>
          <t>理财师026</t>
        </is>
      </c>
      <c r="C36" s="707" t="inlineStr">
        <is>
          <t>观察期PWA0-1</t>
        </is>
      </c>
      <c r="D36" s="676" t="n">
        <v>46113</v>
      </c>
      <c r="E36" s="676" t="n">
        <v>46203</v>
      </c>
      <c r="F36" s="707" t="n">
        <v>1943.13</v>
      </c>
      <c r="G36" s="707" t="n">
        <v>873.279039</v>
      </c>
      <c r="H36" s="707" t="n">
        <v>288.6936</v>
      </c>
      <c r="I36" s="707" t="n">
        <v>0</v>
      </c>
      <c r="J36" s="707" t="n">
        <v>0</v>
      </c>
      <c r="K36" s="707">
        <f>SUM(H36:J36)</f>
        <v/>
      </c>
      <c r="L36" s="707" t="n">
        <v>114.611359</v>
      </c>
      <c r="M36" s="707" t="n">
        <v>0</v>
      </c>
      <c r="N36" s="707" t="n">
        <v>18.055825</v>
      </c>
      <c r="O36" s="707">
        <f>SUM(L36:N36)</f>
        <v/>
      </c>
      <c r="P36" s="707" t="n">
        <v>437.370804</v>
      </c>
      <c r="Q36" s="707" t="n">
        <v>0</v>
      </c>
      <c r="R36" s="707" t="n">
        <v>14.547451</v>
      </c>
      <c r="S36" s="707">
        <f>SUM(P36:R36)</f>
        <v/>
      </c>
      <c r="T36" s="707" t="n">
        <v>809.929895</v>
      </c>
      <c r="U36" s="707" t="n">
        <v>0</v>
      </c>
      <c r="V36" s="707" t="n">
        <v>47.501776</v>
      </c>
      <c r="W36" s="707">
        <f>SUM(T36:V36)</f>
        <v/>
      </c>
      <c r="X36" s="707" t="n">
        <v>176.20858</v>
      </c>
      <c r="Y36" s="707" t="n">
        <v>0</v>
      </c>
      <c r="Z36" s="707" t="n">
        <v>11.404098</v>
      </c>
      <c r="AA36" s="707">
        <f>SUM(X36:Z36)</f>
        <v/>
      </c>
      <c r="AB36" s="707" t="n">
        <v>12.282809</v>
      </c>
      <c r="AC36" s="271">
        <f>SUM(K36+O36+S36+W36+AA36+AB36)</f>
        <v/>
      </c>
      <c r="AD36" s="326">
        <f>IF(F36=0,"",K36/(F36/((YEAR(E36)*12+MONTH(E36))-(YEAR(D36)*12+MONTH(D36))+1)))</f>
        <v/>
      </c>
      <c r="AE36" s="326">
        <f>G36/F36</f>
        <v/>
      </c>
      <c r="AF36" s="708">
        <f>F36-G36</f>
        <v/>
      </c>
      <c r="AG36" s="500" t="n"/>
      <c r="AH36" s="500" t="n"/>
      <c r="AI36" s="500" t="n"/>
      <c r="AJ36" s="706" t="inlineStr"/>
      <c r="AK36" s="706" t="inlineStr"/>
      <c r="AL36" s="706" t="inlineStr"/>
      <c r="AM36" s="706" t="inlineStr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14550.142562</v>
      </c>
      <c r="H37" s="707" t="n">
        <v>3761.446338</v>
      </c>
      <c r="I37" s="707" t="n">
        <v>0</v>
      </c>
      <c r="J37" s="707" t="n">
        <v>0</v>
      </c>
      <c r="K37" s="707">
        <f>SUM(H37:J37)</f>
        <v/>
      </c>
      <c r="L37" s="707" t="n">
        <v>907.591957</v>
      </c>
      <c r="M37" s="707" t="n">
        <v>0</v>
      </c>
      <c r="N37" s="707" t="n">
        <v>315.666967</v>
      </c>
      <c r="O37" s="707">
        <f>SUM(L37:N37)</f>
        <v/>
      </c>
      <c r="P37" s="707" t="n">
        <v>1870.349984</v>
      </c>
      <c r="Q37" s="707" t="n">
        <v>2312.474666</v>
      </c>
      <c r="R37" s="707" t="n">
        <v>319.48223</v>
      </c>
      <c r="S37" s="707">
        <f>SUM(P37:R37)</f>
        <v/>
      </c>
      <c r="T37" s="707" t="n">
        <v>731.292658</v>
      </c>
      <c r="U37" s="707" t="n">
        <v>1925.150771</v>
      </c>
      <c r="V37" s="707" t="n">
        <v>383.775324</v>
      </c>
      <c r="W37" s="707">
        <f>SUM(T37:V37)</f>
        <v/>
      </c>
      <c r="X37" s="707" t="n">
        <v>1738.204897</v>
      </c>
      <c r="Y37" s="707" t="n">
        <v>0</v>
      </c>
      <c r="Z37" s="707" t="n">
        <v>284.706769</v>
      </c>
      <c r="AA37" s="707">
        <f>SUM(X37:Z37)</f>
        <v/>
      </c>
      <c r="AB37" s="707" t="n">
        <v>1538.392041</v>
      </c>
      <c r="AC37" s="271">
        <f>SUM(K37+O37+S37+W37+AA37+AB37)</f>
        <v/>
      </c>
      <c r="AD37" s="326">
        <f>IF(F37=0,"",K37/(F37/((YEAR(E37)*12+MONTH(E37))-(YEAR(D37)*12+MONTH(D37))+1)))</f>
        <v/>
      </c>
      <c r="AE37" s="326">
        <f>G37/F37</f>
        <v/>
      </c>
      <c r="AF37" s="708">
        <f>F37-G37</f>
        <v/>
      </c>
      <c r="AG37" s="513" t="n"/>
      <c r="AH37" s="513" t="n"/>
      <c r="AI37" s="513" t="n"/>
      <c r="AJ37" s="706" t="inlineStr"/>
      <c r="AK37" s="706" t="inlineStr"/>
      <c r="AL37" s="706" t="inlineStr"/>
      <c r="AM37" s="706" t="inlineStr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SUM(F35:F37)</f>
        <v/>
      </c>
      <c r="G38" s="710">
        <f>SUM(G35:G37)</f>
        <v/>
      </c>
      <c r="H38" s="710">
        <f>SUM(H35:H37)</f>
        <v/>
      </c>
      <c r="I38" s="710">
        <f>SUM(I35:I37)</f>
        <v/>
      </c>
      <c r="J38" s="710">
        <f>SUM(J35:J37)</f>
        <v/>
      </c>
      <c r="K38" s="710">
        <f>SUM(K35:K37)</f>
        <v/>
      </c>
      <c r="L38" s="710">
        <f>SUM(L35:L37)</f>
        <v/>
      </c>
      <c r="M38" s="710">
        <f>SUM(M35:M37)</f>
        <v/>
      </c>
      <c r="N38" s="710">
        <f>SUM(N35:N37)</f>
        <v/>
      </c>
      <c r="O38" s="710">
        <f>SUM(O35:O37)</f>
        <v/>
      </c>
      <c r="P38" s="710">
        <f>SUM(P35:P37)</f>
        <v/>
      </c>
      <c r="Q38" s="710">
        <f>SUM(Q35:Q37)</f>
        <v/>
      </c>
      <c r="R38" s="710">
        <f>SUM(R35:R37)</f>
        <v/>
      </c>
      <c r="S38" s="710">
        <f>SUM(S35:S37)</f>
        <v/>
      </c>
      <c r="T38" s="710">
        <f>SUM(T35:T37)</f>
        <v/>
      </c>
      <c r="U38" s="710">
        <f>SUM(U35:U37)</f>
        <v/>
      </c>
      <c r="V38" s="710">
        <f>SUM(V35:V37)</f>
        <v/>
      </c>
      <c r="W38" s="710">
        <f>SUM(W35:W37)</f>
        <v/>
      </c>
      <c r="X38" s="710">
        <f>SUM(X35:X37)</f>
        <v/>
      </c>
      <c r="Y38" s="710">
        <f>SUM(Y35:Y37)</f>
        <v/>
      </c>
      <c r="Z38" s="710">
        <f>SUM(Z35:Z37)</f>
        <v/>
      </c>
      <c r="AA38" s="710">
        <f>SUM(AA35:AA37)</f>
        <v/>
      </c>
      <c r="AB38" s="710">
        <f>SUM(AB35:AB37)</f>
        <v/>
      </c>
      <c r="AC38" s="711">
        <f>SUM(K38+O38+S38+W38+AA38+AB38)</f>
        <v/>
      </c>
      <c r="AD38" s="335">
        <f>IF(F38=0,"",K38/(F38/((YEAR(E35)*12+MONTH(E35))-(YEAR(D35)*12+MONTH(D35))+1)))</f>
        <v/>
      </c>
      <c r="AE38" s="336">
        <f>G38/F38</f>
        <v/>
      </c>
      <c r="AF38" s="711">
        <f>F38-G38</f>
        <v/>
      </c>
      <c r="AG38" s="337">
        <f>AG35</f>
        <v/>
      </c>
      <c r="AH38" s="335">
        <f>AC38/AG35</f>
        <v/>
      </c>
      <c r="AI38" s="718">
        <f>AG35-AC38</f>
        <v/>
      </c>
      <c r="AJ38" s="713" t="inlineStr"/>
      <c r="AK38" s="713" t="inlineStr"/>
      <c r="AL38" s="713" t="inlineStr"/>
      <c r="AM38" s="713" t="inlineStr"/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4466.016626</v>
      </c>
      <c r="H39" s="703" t="n">
        <v>564.94934</v>
      </c>
      <c r="I39" s="703" t="n">
        <v>0</v>
      </c>
      <c r="J39" s="703" t="n">
        <v>0</v>
      </c>
      <c r="K39" s="703">
        <f>SUM(H39:J39)</f>
        <v/>
      </c>
      <c r="L39" s="703" t="n">
        <v>0</v>
      </c>
      <c r="M39" s="703" t="n">
        <v>3092.4036</v>
      </c>
      <c r="N39" s="703" t="n">
        <v>1.356844</v>
      </c>
      <c r="O39" s="703">
        <f>SUM(L39:N39)</f>
        <v/>
      </c>
      <c r="P39" s="703" t="n">
        <v>178.04748</v>
      </c>
      <c r="Q39" s="703" t="n">
        <v>0</v>
      </c>
      <c r="R39" s="703" t="n">
        <v>32.11807</v>
      </c>
      <c r="S39" s="703">
        <f>SUM(P39:R39)</f>
        <v/>
      </c>
      <c r="T39" s="703" t="n">
        <v>47.229437</v>
      </c>
      <c r="U39" s="703" t="n">
        <v>0</v>
      </c>
      <c r="V39" s="703" t="n">
        <v>24.120644</v>
      </c>
      <c r="W39" s="703">
        <f>SUM(T39:V39)</f>
        <v/>
      </c>
      <c r="X39" s="703" t="n">
        <v>524.574731</v>
      </c>
      <c r="Y39" s="703" t="n">
        <v>0</v>
      </c>
      <c r="Z39" s="703" t="n">
        <v>1.216481</v>
      </c>
      <c r="AA39" s="703">
        <f>SUM(X39:Z39)</f>
        <v/>
      </c>
      <c r="AB39" s="703" t="n">
        <v>0</v>
      </c>
      <c r="AC39" s="318">
        <f>SUM(K39+O39+S39+W39+AA39+AB39)</f>
        <v/>
      </c>
      <c r="AD39" s="319">
        <f>IF(F39=0,"",K39/(F39/((YEAR(E39)*12+MONTH(E39))-(YEAR(D39)*12+MONTH(D39))+1)))</f>
        <v/>
      </c>
      <c r="AE39" s="319">
        <f>G39/F39</f>
        <v/>
      </c>
      <c r="AF39" s="704">
        <f>F39-G39</f>
        <v/>
      </c>
      <c r="AG39" s="321">
        <f>SUM(F39:F40)</f>
        <v/>
      </c>
      <c r="AH39" s="322">
        <f>AH41</f>
        <v/>
      </c>
      <c r="AI39" s="717">
        <f>AI41</f>
        <v/>
      </c>
      <c r="AJ39" s="706" t="inlineStr"/>
      <c r="AK39" s="706" t="inlineStr"/>
      <c r="AL39" s="706" t="inlineStr"/>
      <c r="AM39" s="706" t="inlineStr"/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30182.364843</v>
      </c>
      <c r="H40" s="707" t="n">
        <v>3874.376797</v>
      </c>
      <c r="I40" s="707" t="n">
        <v>0</v>
      </c>
      <c r="J40" s="707" t="n">
        <v>0</v>
      </c>
      <c r="K40" s="707">
        <f>SUM(H40:J40)</f>
        <v/>
      </c>
      <c r="L40" s="707" t="n">
        <v>5263.972173</v>
      </c>
      <c r="M40" s="707" t="n">
        <v>1110.4548</v>
      </c>
      <c r="N40" s="707" t="n">
        <v>213.797407</v>
      </c>
      <c r="O40" s="707">
        <f>SUM(L40:N40)</f>
        <v/>
      </c>
      <c r="P40" s="707" t="n">
        <v>3533.62581</v>
      </c>
      <c r="Q40" s="707" t="n">
        <v>2435.06874</v>
      </c>
      <c r="R40" s="707" t="n">
        <v>188.462147</v>
      </c>
      <c r="S40" s="707">
        <f>SUM(P40:R40)</f>
        <v/>
      </c>
      <c r="T40" s="707" t="n">
        <v>9546.464904</v>
      </c>
      <c r="U40" s="707" t="n">
        <v>0</v>
      </c>
      <c r="V40" s="707" t="n">
        <v>401.214551</v>
      </c>
      <c r="W40" s="707">
        <f>SUM(T40:V40)</f>
        <v/>
      </c>
      <c r="X40" s="707" t="n">
        <v>1081.878995</v>
      </c>
      <c r="Y40" s="707" t="n">
        <v>523.50012</v>
      </c>
      <c r="Z40" s="707" t="n">
        <v>135.589522</v>
      </c>
      <c r="AA40" s="707">
        <f>SUM(X40:Z40)</f>
        <v/>
      </c>
      <c r="AB40" s="707" t="n">
        <v>1873.958877</v>
      </c>
      <c r="AC40" s="271">
        <f>SUM(K40+O40+S40+W40+AA40+AB40)</f>
        <v/>
      </c>
      <c r="AD40" s="326">
        <f>IF(F40=0,"",K40/(F40/((YEAR(E40)*12+MONTH(E40))-(YEAR(D40)*12+MONTH(D40))+1)))</f>
        <v/>
      </c>
      <c r="AE40" s="326">
        <f>G40/F40</f>
        <v/>
      </c>
      <c r="AF40" s="708">
        <f>F40-G40</f>
        <v/>
      </c>
      <c r="AG40" s="513" t="n"/>
      <c r="AH40" s="513" t="n"/>
      <c r="AI40" s="513" t="n"/>
      <c r="AJ40" s="706" t="inlineStr"/>
      <c r="AK40" s="706" t="inlineStr"/>
      <c r="AL40" s="706" t="inlineStr"/>
      <c r="AM40" s="706" t="inlineStr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1">
        <f>SUM(K41+O41+S41+W41+AA41+AB41)</f>
        <v/>
      </c>
      <c r="AD41" s="335">
        <f>IF(F41=0,"",K41/(F41/((YEAR(E39)*12+MONTH(E39))-(YEAR(D39)*12+MONTH(D39))+1)))</f>
        <v/>
      </c>
      <c r="AE41" s="336">
        <f>G41/F41</f>
        <v/>
      </c>
      <c r="AF41" s="711">
        <f>F41-G41</f>
        <v/>
      </c>
      <c r="AG41" s="337">
        <f>AG39</f>
        <v/>
      </c>
      <c r="AH41" s="335">
        <f>AC41/AG39</f>
        <v/>
      </c>
      <c r="AI41" s="718">
        <f>AG39-AC41</f>
        <v/>
      </c>
      <c r="AJ41" s="713" t="inlineStr"/>
      <c r="AK41" s="713" t="inlineStr"/>
      <c r="AL41" s="713" t="inlineStr"/>
      <c r="AM41" s="713" t="inlineStr"/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19075.255019</v>
      </c>
      <c r="H42" s="703" t="n">
        <v>2671.888277</v>
      </c>
      <c r="I42" s="703" t="n">
        <v>0</v>
      </c>
      <c r="J42" s="703" t="n">
        <v>0</v>
      </c>
      <c r="K42" s="703">
        <f>SUM(H42:J42)</f>
        <v/>
      </c>
      <c r="L42" s="703" t="n">
        <v>3250.598551</v>
      </c>
      <c r="M42" s="703" t="n">
        <v>241.63794</v>
      </c>
      <c r="N42" s="703" t="n">
        <v>423.133041</v>
      </c>
      <c r="O42" s="703">
        <f>SUM(L42:N42)</f>
        <v/>
      </c>
      <c r="P42" s="703" t="n">
        <v>1492.14231</v>
      </c>
      <c r="Q42" s="703" t="n">
        <v>0</v>
      </c>
      <c r="R42" s="703" t="n">
        <v>381.121236</v>
      </c>
      <c r="S42" s="703">
        <f>SUM(P42:R42)</f>
        <v/>
      </c>
      <c r="T42" s="703" t="n">
        <v>2747.788321</v>
      </c>
      <c r="U42" s="703" t="n">
        <v>0</v>
      </c>
      <c r="V42" s="703" t="n">
        <v>613.27548</v>
      </c>
      <c r="W42" s="703">
        <f>SUM(T42:V42)</f>
        <v/>
      </c>
      <c r="X42" s="703" t="n">
        <v>1566.390968</v>
      </c>
      <c r="Y42" s="703" t="n">
        <v>1037.679365</v>
      </c>
      <c r="Z42" s="703" t="n">
        <v>313.732955</v>
      </c>
      <c r="AA42" s="703">
        <f>SUM(X42:Z42)</f>
        <v/>
      </c>
      <c r="AB42" s="703" t="n">
        <v>4335.866577</v>
      </c>
      <c r="AC42" s="318">
        <f>SUM(K42+O42+S42+W42+AA42+AB42)</f>
        <v/>
      </c>
      <c r="AD42" s="319">
        <f>IF(F42=0,"",K42/(F42/((YEAR(E42)*12+MONTH(E42))-(YEAR(D42)*12+MONTH(D42))+1)))</f>
        <v/>
      </c>
      <c r="AE42" s="319">
        <f>G42/F42</f>
        <v/>
      </c>
      <c r="AF42" s="704">
        <f>F42-G42</f>
        <v/>
      </c>
      <c r="AG42" s="321">
        <f>SUM(F42:F46)</f>
        <v/>
      </c>
      <c r="AH42" s="322">
        <f>AH47</f>
        <v/>
      </c>
      <c r="AI42" s="717">
        <f>AI47</f>
        <v/>
      </c>
      <c r="AJ42" s="706" t="inlineStr"/>
      <c r="AK42" s="706" t="inlineStr"/>
      <c r="AL42" s="706" t="inlineStr"/>
      <c r="AM42" s="706" t="inlineStr"/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17997.824303</v>
      </c>
      <c r="H43" s="707" t="n">
        <v>3060.639999</v>
      </c>
      <c r="I43" s="707" t="n">
        <v>0</v>
      </c>
      <c r="J43" s="707" t="n">
        <v>0</v>
      </c>
      <c r="K43" s="707">
        <f>SUM(H43:J43)</f>
        <v/>
      </c>
      <c r="L43" s="707" t="n">
        <v>2579.146174</v>
      </c>
      <c r="M43" s="707" t="n">
        <v>2029.71366</v>
      </c>
      <c r="N43" s="707" t="n">
        <v>1483.741412</v>
      </c>
      <c r="O43" s="707">
        <f>SUM(L43:N43)</f>
        <v/>
      </c>
      <c r="P43" s="707" t="n">
        <v>567.268131</v>
      </c>
      <c r="Q43" s="707" t="n">
        <v>0</v>
      </c>
      <c r="R43" s="707" t="n">
        <v>1668.680328</v>
      </c>
      <c r="S43" s="707">
        <f>SUM(P43:R43)</f>
        <v/>
      </c>
      <c r="T43" s="707" t="n">
        <v>1550.383391</v>
      </c>
      <c r="U43" s="707" t="n">
        <v>0</v>
      </c>
      <c r="V43" s="707" t="n">
        <v>2273.498356</v>
      </c>
      <c r="W43" s="707">
        <f>SUM(T43:V43)</f>
        <v/>
      </c>
      <c r="X43" s="707" t="n">
        <v>1396.194268</v>
      </c>
      <c r="Y43" s="707" t="n">
        <v>0</v>
      </c>
      <c r="Z43" s="707" t="n">
        <v>1388.558583</v>
      </c>
      <c r="AA43" s="707">
        <f>SUM(X43:Z43)</f>
        <v/>
      </c>
      <c r="AB43" s="707" t="n">
        <v>7202.586607</v>
      </c>
      <c r="AC43" s="271">
        <f>SUM(K43+O43+S43+W43+AA43+AB43)</f>
        <v/>
      </c>
      <c r="AD43" s="326">
        <f>IF(F43=0,"",K43/(F43/((YEAR(E43)*12+MONTH(E43))-(YEAR(D43)*12+MONTH(D43))+1)))</f>
        <v/>
      </c>
      <c r="AE43" s="326">
        <f>G43/F43</f>
        <v/>
      </c>
      <c r="AF43" s="708">
        <f>F43-G43</f>
        <v/>
      </c>
      <c r="AG43" s="500" t="n"/>
      <c r="AH43" s="500" t="n"/>
      <c r="AI43" s="500" t="n"/>
      <c r="AJ43" s="706" t="inlineStr"/>
      <c r="AK43" s="706" t="inlineStr"/>
      <c r="AL43" s="706" t="inlineStr"/>
      <c r="AM43" s="706" t="inlineStr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1151.237143</v>
      </c>
      <c r="H44" s="707" t="n">
        <v>644.8338</v>
      </c>
      <c r="I44" s="707" t="n">
        <v>64.736256</v>
      </c>
      <c r="J44" s="707" t="n">
        <v>0</v>
      </c>
      <c r="K44" s="707">
        <f>SUM(H44:J44)</f>
        <v/>
      </c>
      <c r="L44" s="707" t="n">
        <v>0</v>
      </c>
      <c r="M44" s="707" t="n">
        <v>0</v>
      </c>
      <c r="N44" s="707" t="n">
        <v>20.217377</v>
      </c>
      <c r="O44" s="707">
        <f>SUM(L44:N44)</f>
        <v/>
      </c>
      <c r="P44" s="707" t="n">
        <v>410.9235</v>
      </c>
      <c r="Q44" s="707" t="n">
        <v>0</v>
      </c>
      <c r="R44" s="707" t="n">
        <v>4.340061</v>
      </c>
      <c r="S44" s="707">
        <f>SUM(P44:R44)</f>
        <v/>
      </c>
      <c r="T44" s="707" t="n">
        <v>0</v>
      </c>
      <c r="U44" s="707" t="n">
        <v>0</v>
      </c>
      <c r="V44" s="707" t="n">
        <v>5.058234</v>
      </c>
      <c r="W44" s="707">
        <f>SUM(T44:V44)</f>
        <v/>
      </c>
      <c r="X44" s="707" t="n">
        <v>0</v>
      </c>
      <c r="Y44" s="707" t="n">
        <v>0</v>
      </c>
      <c r="Z44" s="707" t="n">
        <v>1.127915</v>
      </c>
      <c r="AA44" s="707">
        <f>SUM(X44:Z44)</f>
        <v/>
      </c>
      <c r="AB44" s="707" t="n">
        <v>0</v>
      </c>
      <c r="AC44" s="271">
        <f>SUM(K44+O44+S44+W44+AA44+AB44)</f>
        <v/>
      </c>
      <c r="AD44" s="326">
        <f>IF(F44=0,"",K44/(F44/((YEAR(E44)*12+MONTH(E44))-(YEAR(D44)*12+MONTH(D44))+1)))</f>
        <v/>
      </c>
      <c r="AE44" s="326">
        <f>G44/F44</f>
        <v/>
      </c>
      <c r="AF44" s="708">
        <f>F44-G44</f>
        <v/>
      </c>
      <c r="AG44" s="500" t="n"/>
      <c r="AH44" s="500" t="n"/>
      <c r="AI44" s="500" t="n"/>
      <c r="AJ44" s="706" t="inlineStr"/>
      <c r="AK44" s="706" t="inlineStr"/>
      <c r="AL44" s="706" t="inlineStr"/>
      <c r="AM44" s="706" t="inlineStr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1086.743489</v>
      </c>
      <c r="I45" s="707" t="n">
        <v>0</v>
      </c>
      <c r="J45" s="707" t="n">
        <v>0</v>
      </c>
      <c r="K45" s="707">
        <f>SUM(H45:J45)</f>
        <v/>
      </c>
      <c r="L45" s="707" t="n">
        <v>2310.349392</v>
      </c>
      <c r="M45" s="707" t="n">
        <v>0</v>
      </c>
      <c r="N45" s="707" t="n">
        <v>582.016803</v>
      </c>
      <c r="O45" s="707">
        <f>SUM(L45:N45)</f>
        <v/>
      </c>
      <c r="P45" s="707" t="n">
        <v>753.431552</v>
      </c>
      <c r="Q45" s="707" t="n">
        <v>0</v>
      </c>
      <c r="R45" s="707" t="n">
        <v>581.619744</v>
      </c>
      <c r="S45" s="707">
        <f>SUM(P45:R45)</f>
        <v/>
      </c>
      <c r="T45" s="707" t="n">
        <v>1958.298381</v>
      </c>
      <c r="U45" s="707" t="n">
        <v>0</v>
      </c>
      <c r="V45" s="707" t="n">
        <v>662.594343</v>
      </c>
      <c r="W45" s="707">
        <f>SUM(T45:V45)</f>
        <v/>
      </c>
      <c r="X45" s="707" t="n">
        <v>2837.047697</v>
      </c>
      <c r="Y45" s="707" t="n">
        <v>0</v>
      </c>
      <c r="Z45" s="707" t="n">
        <v>463.983498</v>
      </c>
      <c r="AA45" s="707">
        <f>SUM(X45:Z45)</f>
        <v/>
      </c>
      <c r="AB45" s="707" t="n">
        <v>2545.018293</v>
      </c>
      <c r="AC45" s="271">
        <f>SUM(K45+O45+S45+W45+AA45+AB45)</f>
        <v/>
      </c>
      <c r="AD45" s="326">
        <f>IF(F45=0,"",K45/(F45/MAX(1,(YEAR(E45)*12+MONTH(E45))-(YEAR(D45)*12+MONTH(D45))+1)))</f>
        <v/>
      </c>
      <c r="AE45" s="326">
        <f>G45/F45</f>
        <v/>
      </c>
      <c r="AF45" s="708">
        <f>F45-G45</f>
        <v/>
      </c>
      <c r="AG45" s="500" t="n"/>
      <c r="AH45" s="500" t="n"/>
      <c r="AI45" s="500" t="n"/>
      <c r="AJ45" s="706" t="inlineStr"/>
      <c r="AK45" s="706" t="inlineStr"/>
      <c r="AL45" s="706" t="inlineStr"/>
      <c r="AM45" s="706" t="inlineStr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30829.389306</v>
      </c>
      <c r="H46" s="707" t="n">
        <v>5706.245061</v>
      </c>
      <c r="I46" s="707" t="n">
        <v>0</v>
      </c>
      <c r="J46" s="707" t="n">
        <v>0</v>
      </c>
      <c r="K46" s="707">
        <f>SUM(H46:J46)</f>
        <v/>
      </c>
      <c r="L46" s="707" t="n">
        <v>5099.256359</v>
      </c>
      <c r="M46" s="707" t="n">
        <v>0</v>
      </c>
      <c r="N46" s="707" t="n">
        <v>856.473493</v>
      </c>
      <c r="O46" s="707">
        <f>SUM(L46:N46)</f>
        <v/>
      </c>
      <c r="P46" s="707" t="n">
        <v>937.141286</v>
      </c>
      <c r="Q46" s="707" t="n">
        <v>0</v>
      </c>
      <c r="R46" s="707" t="n">
        <v>1775.786688</v>
      </c>
      <c r="S46" s="707">
        <f>SUM(P46:R46)</f>
        <v/>
      </c>
      <c r="T46" s="707" t="n">
        <v>3160.387028</v>
      </c>
      <c r="U46" s="707" t="n">
        <v>0</v>
      </c>
      <c r="V46" s="707" t="n">
        <v>3880.484178</v>
      </c>
      <c r="W46" s="707">
        <f>SUM(T46:V46)</f>
        <v/>
      </c>
      <c r="X46" s="707" t="n">
        <v>3065.24731</v>
      </c>
      <c r="Y46" s="707" t="n">
        <v>0</v>
      </c>
      <c r="Z46" s="707" t="n">
        <v>1466.609142</v>
      </c>
      <c r="AA46" s="707">
        <f>SUM(X46:Z46)</f>
        <v/>
      </c>
      <c r="AB46" s="707" t="n">
        <v>4881.758761</v>
      </c>
      <c r="AC46" s="271">
        <f>SUM(K46+O46+S46+W46+AA46+AB46)</f>
        <v/>
      </c>
      <c r="AD46" s="326">
        <f>IF(F46=0,"",K46/(F46/((YEAR(E46)*12+MONTH(E46))-(YEAR(D46)*12+MONTH(D46))+1)))</f>
        <v/>
      </c>
      <c r="AE46" s="326">
        <f>G46/F46</f>
        <v/>
      </c>
      <c r="AF46" s="708">
        <f>F46-G46</f>
        <v/>
      </c>
      <c r="AG46" s="513" t="n"/>
      <c r="AH46" s="513" t="n"/>
      <c r="AI46" s="513" t="n"/>
      <c r="AJ46" s="706" t="inlineStr"/>
      <c r="AK46" s="706" t="inlineStr"/>
      <c r="AL46" s="706" t="inlineStr"/>
      <c r="AM46" s="706" t="inlineStr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SUM(K47+O47+S47+W47+AA47+AB47)</f>
        <v/>
      </c>
      <c r="AD47" s="335">
        <f>IF(F47=0,"",K47/(F47/((YEAR(E42)*12+MONTH(E42))-(YEAR(D42)*12+MONTH(D42))+1)))</f>
        <v/>
      </c>
      <c r="AE47" s="336">
        <f>G47/F47</f>
        <v/>
      </c>
      <c r="AF47" s="710">
        <f>F47-G47</f>
        <v/>
      </c>
      <c r="AG47" s="337">
        <f>AG42</f>
        <v/>
      </c>
      <c r="AH47" s="335">
        <f>AC47/AG42</f>
        <v/>
      </c>
      <c r="AI47" s="712">
        <f>AG42-AC47</f>
        <v/>
      </c>
      <c r="AJ47" s="713" t="inlineStr"/>
      <c r="AK47" s="713" t="inlineStr"/>
      <c r="AL47" s="713" t="inlineStr"/>
      <c r="AM47" s="713" t="inlineStr"/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F9+F14+F19+F23+F27+F31+F34+F38+F41+F47</f>
        <v/>
      </c>
      <c r="G48" s="720">
        <f>G9+G14+G19+G23+G27+G31+G34+G38+G41+G47</f>
        <v/>
      </c>
      <c r="H48" s="720">
        <f>H9+H14+H19+H23+H27+H31+H34+H38+H41+H47</f>
        <v/>
      </c>
      <c r="I48" s="720">
        <f>I9+I14+I19+I23+I27+I31+I34+I38+I41+I47</f>
        <v/>
      </c>
      <c r="J48" s="720">
        <f>J9+J14+J19+J23+J27+J31+J34+J38+J41+J47</f>
        <v/>
      </c>
      <c r="K48" s="720">
        <f>K9+K14+K19+K23+K27+K31+K34+K38+K41+K47</f>
        <v/>
      </c>
      <c r="L48" s="720">
        <f>L9+L14+L19+L23+L27+L31+L34+L38+L41+L47</f>
        <v/>
      </c>
      <c r="M48" s="720">
        <f>M9+M14+M19+M23+M27+M31+M34+M38+M41+M47</f>
        <v/>
      </c>
      <c r="N48" s="720">
        <f>N9+N14+N19+N23+N27+N31+N34+N38+N41+N47</f>
        <v/>
      </c>
      <c r="O48" s="720">
        <f>O9+O14+O19+O23+O27+O31+O34+O38+O41+O47</f>
        <v/>
      </c>
      <c r="P48" s="720">
        <f>P9+P14+P19+P23+P27+P31+P34+P38+P41+P47</f>
        <v/>
      </c>
      <c r="Q48" s="720">
        <f>Q9+Q14+Q19+Q23+Q27+Q31+Q34+Q38+Q41+Q47</f>
        <v/>
      </c>
      <c r="R48" s="720">
        <f>R9+R14+R19+R23+R27+R31+R34+R38+R41+R47</f>
        <v/>
      </c>
      <c r="S48" s="720">
        <f>S9+S14+S19+S23+S27+S31+S34+S38+S41+S47</f>
        <v/>
      </c>
      <c r="T48" s="720">
        <f>T9+T14+T19+T23+T27+T31+T34+T38+T41+T47</f>
        <v/>
      </c>
      <c r="U48" s="720">
        <f>U9+U14+U19+U23+U27+U31+U34+U38+U41+U47</f>
        <v/>
      </c>
      <c r="V48" s="720">
        <f>V9+V14+V19+V23+V27+V31+V34+V38+V41+V47</f>
        <v/>
      </c>
      <c r="W48" s="720">
        <f>W9+W14+W19+W23+W27+W31+W34+W38+W41+W47</f>
        <v/>
      </c>
      <c r="X48" s="720">
        <f>X9+X14+X19+X23+X27+X31+X34+X38+X41+X47</f>
        <v/>
      </c>
      <c r="Y48" s="722">
        <f>Y9+Y14+Y19+Y23+Y27+Y31+Y34+Y38+Y41+Y47</f>
        <v/>
      </c>
      <c r="Z48" s="722">
        <f>Z9+Z14+Z19+Z23+Z27+Z31+Z34+Z38+Z41+Z47</f>
        <v/>
      </c>
      <c r="AA48" s="722">
        <f>AA9+AA14+AA19+AA23+AA27+AA31+AA34+AA38+AA41+AA47</f>
        <v/>
      </c>
      <c r="AB48" s="722">
        <f>AB9+AB14+AB19+AB23+AB27+AB31+AB34+AB38+AB41+AB47</f>
        <v/>
      </c>
      <c r="AC48" s="728">
        <f>AC9+AC14+AC19+AC23+AC27+AC31+AC34+AC38+AC41+AC47</f>
        <v/>
      </c>
      <c r="AD48" s="350">
        <f>K48/(F48/((YEAR(E4)*12+MONTH(E4))-(YEAR(D4)*12+MONTH(D4))+1))</f>
        <v/>
      </c>
      <c r="AE48" s="350">
        <f>G48/F48</f>
        <v/>
      </c>
      <c r="AF48" s="722">
        <f>F48-G48</f>
        <v/>
      </c>
      <c r="AG48" s="352">
        <f>AG9+AG14+AG19+AG23+AG27+AG31+AG34+AG38+AG41+AG47</f>
        <v/>
      </c>
      <c r="AH48" s="353">
        <f>AC48/AG48</f>
        <v/>
      </c>
      <c r="AI48" s="722">
        <f>AG48-AC48</f>
        <v/>
      </c>
      <c r="AJ48" s="723" t="inlineStr"/>
      <c r="AK48" s="723" t="inlineStr"/>
      <c r="AL48" s="723" t="inlineStr"/>
      <c r="AM48" s="723" t="inlineStr"/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7" t="inlineStr"/>
    </row>
    <row r="49" ht="14.25" customFormat="1" customHeight="1" s="483">
      <c r="AF49" s="633" t="inlineStr">
        <is>
          <t>公司目标</t>
        </is>
      </c>
      <c r="AG49" s="633" t="n">
        <v>934969.485968</v>
      </c>
      <c r="AH49" s="252">
        <f>IF(AG49&lt;&gt;0,AC48/AG49,"")</f>
        <v/>
      </c>
      <c r="AI49" s="663">
        <f>AG49-AC48</f>
        <v/>
      </c>
    </row>
    <row r="50" ht="35.1" customFormat="1" customHeight="1" s="483"/>
    <row r="51" ht="24" customFormat="1" customHeight="1" s="483"/>
  </sheetData>
  <mergeCells count="87">
    <mergeCell ref="A48:E48"/>
    <mergeCell ref="AI4:AI8"/>
    <mergeCell ref="A20:A22"/>
    <mergeCell ref="A4:A8"/>
    <mergeCell ref="U2:U3"/>
    <mergeCell ref="AI15:AI18"/>
    <mergeCell ref="AH10:AH13"/>
    <mergeCell ref="A2:A3"/>
    <mergeCell ref="A24:A26"/>
    <mergeCell ref="AG32:AG33"/>
    <mergeCell ref="C2:C3"/>
    <mergeCell ref="E2:E3"/>
    <mergeCell ref="AH28:AH30"/>
    <mergeCell ref="W2:W3"/>
    <mergeCell ref="AH39:AH40"/>
    <mergeCell ref="AG35:AG37"/>
    <mergeCell ref="A23:E23"/>
    <mergeCell ref="AA2:AA3"/>
    <mergeCell ref="AC2:AC3"/>
    <mergeCell ref="A10:A13"/>
    <mergeCell ref="AH32:AH33"/>
    <mergeCell ref="AI20:AI22"/>
    <mergeCell ref="V2:V3"/>
    <mergeCell ref="X2:X3"/>
    <mergeCell ref="A34:E34"/>
    <mergeCell ref="AG28:AG30"/>
    <mergeCell ref="A42:A46"/>
    <mergeCell ref="N2:N3"/>
    <mergeCell ref="F2:F3"/>
    <mergeCell ref="P2:P3"/>
    <mergeCell ref="H2:H3"/>
    <mergeCell ref="AI32:AI33"/>
    <mergeCell ref="AF2:AF3"/>
    <mergeCell ref="K2:K3"/>
    <mergeCell ref="AH2:AH3"/>
    <mergeCell ref="O2:O3"/>
    <mergeCell ref="Q2:Q3"/>
    <mergeCell ref="A14:E14"/>
    <mergeCell ref="AI2:AI3"/>
    <mergeCell ref="AI24:AI26"/>
    <mergeCell ref="AH42:AH46"/>
    <mergeCell ref="A38:E38"/>
    <mergeCell ref="AH20:AH22"/>
    <mergeCell ref="A39:A40"/>
    <mergeCell ref="AH4:AH8"/>
    <mergeCell ref="AI35:AI37"/>
    <mergeCell ref="A31:E31"/>
    <mergeCell ref="S2:S3"/>
    <mergeCell ref="AG10:AG13"/>
    <mergeCell ref="AI10:AI13"/>
    <mergeCell ref="B2:B3"/>
    <mergeCell ref="D2:D3"/>
    <mergeCell ref="A28:A30"/>
    <mergeCell ref="Z2:Z3"/>
    <mergeCell ref="AG42:AG46"/>
    <mergeCell ref="AB2:AB3"/>
    <mergeCell ref="AI42:AI46"/>
    <mergeCell ref="AG20:AG22"/>
    <mergeCell ref="T2:T3"/>
    <mergeCell ref="AD2:AD3"/>
    <mergeCell ref="AG4:AG8"/>
    <mergeCell ref="AI28:AI30"/>
    <mergeCell ref="AH24:AH26"/>
    <mergeCell ref="A47:E47"/>
    <mergeCell ref="AG15:AG18"/>
    <mergeCell ref="AG39:AG40"/>
    <mergeCell ref="AI39:AI40"/>
    <mergeCell ref="AH35:AH37"/>
    <mergeCell ref="A15:A18"/>
    <mergeCell ref="G2:G3"/>
    <mergeCell ref="I2:I3"/>
    <mergeCell ref="AG1:AH1"/>
    <mergeCell ref="M2:M3"/>
    <mergeCell ref="AE2:AE3"/>
    <mergeCell ref="AG2:AG3"/>
    <mergeCell ref="AG24:AG26"/>
    <mergeCell ref="Y2:Y3"/>
    <mergeCell ref="A35:A37"/>
    <mergeCell ref="A41:E41"/>
    <mergeCell ref="A27:E27"/>
    <mergeCell ref="AH15:AH18"/>
    <mergeCell ref="A32:A33"/>
    <mergeCell ref="R2:R3"/>
    <mergeCell ref="J2:J3"/>
    <mergeCell ref="L2:L3"/>
    <mergeCell ref="A19:E19"/>
    <mergeCell ref="A9:E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hidden="1" width="9" customWidth="1" style="533" min="27" max="27"/>
    <col hidden="1" width="13" customWidth="1" style="483" min="28" max="30"/>
    <col hidden="1" width="9" customWidth="1" style="533" min="31" max="65"/>
  </cols>
  <sheetData>
    <row r="1" ht="20.25" customFormat="1" customHeight="1" s="483">
      <c r="A1" s="754" t="inlineStr">
        <is>
          <t>私人财富管理部折标销售进度表-截止20260703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552" t="inlineStr">
        <is>
          <t>上半年时间进度</t>
        </is>
      </c>
      <c r="AM1" s="70">
        <f>AN7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传统202607</t>
        </is>
      </c>
      <c r="I2" s="541" t="inlineStr">
        <is>
          <t>保险202607</t>
        </is>
      </c>
      <c r="J2" s="541" t="inlineStr">
        <is>
          <t>管理费202607</t>
        </is>
      </c>
      <c r="K2" s="669" t="inlineStr">
        <is>
          <t>2026年
7月折标</t>
        </is>
      </c>
      <c r="L2" s="541" t="inlineStr">
        <is>
          <t>传统202606</t>
        </is>
      </c>
      <c r="M2" s="541" t="inlineStr">
        <is>
          <t>保险202606</t>
        </is>
      </c>
      <c r="N2" s="541" t="inlineStr">
        <is>
          <t>管理费202606</t>
        </is>
      </c>
      <c r="O2" s="669" t="inlineStr">
        <is>
          <t>2026年
6月折标</t>
        </is>
      </c>
      <c r="P2" s="541" t="inlineStr">
        <is>
          <t>传统202605</t>
        </is>
      </c>
      <c r="Q2" s="541" t="inlineStr">
        <is>
          <t>保险202605</t>
        </is>
      </c>
      <c r="R2" s="541" t="inlineStr">
        <is>
          <t>管理费202605</t>
        </is>
      </c>
      <c r="S2" s="669" t="inlineStr">
        <is>
          <t>2026年
5月折标</t>
        </is>
      </c>
      <c r="T2" s="541" t="inlineStr">
        <is>
          <t>传统202604</t>
        </is>
      </c>
      <c r="U2" s="541" t="inlineStr">
        <is>
          <t>保险202604</t>
        </is>
      </c>
      <c r="V2" s="541" t="inlineStr">
        <is>
          <t>管理费202604</t>
        </is>
      </c>
      <c r="W2" s="669" t="inlineStr">
        <is>
          <t>2026年
4月折标</t>
        </is>
      </c>
      <c r="X2" s="541" t="inlineStr">
        <is>
          <t>传统202603</t>
        </is>
      </c>
      <c r="Y2" s="541" t="inlineStr">
        <is>
          <t>保险202603</t>
        </is>
      </c>
      <c r="Z2" s="541" t="inlineStr">
        <is>
          <t>管理费202603</t>
        </is>
      </c>
      <c r="AA2" s="669" t="inlineStr">
        <is>
          <t>2026年
3月折标</t>
        </is>
      </c>
      <c r="AB2" s="541" t="inlineStr">
        <is>
          <t>传统202602</t>
        </is>
      </c>
      <c r="AC2" s="541" t="inlineStr">
        <is>
          <t>保险202602</t>
        </is>
      </c>
      <c r="AD2" s="541" t="inlineStr">
        <is>
          <t>管理费202602</t>
        </is>
      </c>
      <c r="AE2" s="669" t="inlineStr">
        <is>
          <t>2026年
2月折标</t>
        </is>
      </c>
      <c r="AF2" s="669" t="inlineStr">
        <is>
          <t>2026年
1月折标</t>
        </is>
      </c>
      <c r="AG2" s="670" t="inlineStr">
        <is>
          <t>2026年YTD折标</t>
        </is>
      </c>
      <c r="AH2" s="671" t="inlineStr">
        <is>
          <t>月度
完成率</t>
        </is>
      </c>
      <c r="AI2" s="666" t="inlineStr">
        <is>
          <t>考核期完成率（累计）</t>
        </is>
      </c>
      <c r="AJ2" s="560" t="inlineStr">
        <is>
          <t>考核期差距</t>
        </is>
      </c>
      <c r="AK2" s="561" t="inlineStr">
        <is>
          <t>财富中心
上半年年任务</t>
        </is>
      </c>
      <c r="AL2" s="79" t="inlineStr">
        <is>
          <t>财富中心
上半年任务完成率</t>
        </is>
      </c>
      <c r="AM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23833.51005</v>
      </c>
      <c r="H4" s="703" t="n">
        <v>0</v>
      </c>
      <c r="I4" s="703" t="n">
        <v>0</v>
      </c>
      <c r="J4" s="703" t="n">
        <v>0</v>
      </c>
      <c r="K4" s="703">
        <f>SUM(H4:J4)</f>
        <v/>
      </c>
      <c r="L4" s="703" t="n">
        <v>927.52544</v>
      </c>
      <c r="M4" s="703" t="n">
        <v>0</v>
      </c>
      <c r="N4" s="703" t="n">
        <v>1414.024996</v>
      </c>
      <c r="O4" s="703">
        <f>SUM(L4:N4)</f>
        <v/>
      </c>
      <c r="P4" s="703" t="n">
        <v>1183.338361</v>
      </c>
      <c r="Q4" s="703" t="n">
        <v>0</v>
      </c>
      <c r="R4" s="703" t="n">
        <v>627.793934</v>
      </c>
      <c r="S4" s="703">
        <f>SUM(P4:R4)</f>
        <v/>
      </c>
      <c r="T4" s="703" t="n">
        <v>3163.949074</v>
      </c>
      <c r="U4" s="703" t="n">
        <v>0</v>
      </c>
      <c r="V4" s="703" t="n">
        <v>535.227607</v>
      </c>
      <c r="W4" s="703">
        <f>SUM(T4:V4)</f>
        <v/>
      </c>
      <c r="X4" s="703" t="n">
        <v>8704.796721000001</v>
      </c>
      <c r="Y4" s="703" t="n">
        <v>0</v>
      </c>
      <c r="Z4" s="703" t="n">
        <v>1242.252932</v>
      </c>
      <c r="AA4" s="703">
        <f>SUM(X4:Z4)</f>
        <v/>
      </c>
      <c r="AB4" s="703" t="n">
        <v>1402.304143</v>
      </c>
      <c r="AC4" s="703" t="n">
        <v>742.65048</v>
      </c>
      <c r="AD4" s="703" t="n">
        <v>430.381249</v>
      </c>
      <c r="AE4" s="703">
        <f>SUM(AB4:AD4)</f>
        <v/>
      </c>
      <c r="AF4" s="703" t="n">
        <v>3459.265113</v>
      </c>
      <c r="AG4" s="318">
        <f>SUM(K4+O4+S4+W4+AA4+AE4+AF4)</f>
        <v/>
      </c>
      <c r="AH4" s="319">
        <f>IF(F4=0,"",K4/(F4/((YEAR(E4)*12+MONTH(E4))-(YEAR(D4)*12+MONTH(D4))+1)))</f>
        <v/>
      </c>
      <c r="AI4" s="319">
        <f>G4/F4</f>
        <v/>
      </c>
      <c r="AJ4" s="704">
        <f>F4-G4</f>
        <v/>
      </c>
      <c r="AK4" s="321">
        <f>SUM(F4:F8)</f>
        <v/>
      </c>
      <c r="AL4" s="322">
        <f>AL9</f>
        <v/>
      </c>
      <c r="AM4" s="705">
        <f>AM9</f>
        <v/>
      </c>
      <c r="AN4" s="706" t="inlineStr"/>
      <c r="AO4" s="706" t="inlineStr"/>
      <c r="AP4" s="706" t="inlineStr">
        <is>
          <t>开始日期</t>
        </is>
      </c>
      <c r="AQ4" s="706" t="inlineStr">
        <is>
          <t>结束日期</t>
        </is>
      </c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21051.850186</v>
      </c>
      <c r="H5" s="707" t="n">
        <v>0</v>
      </c>
      <c r="I5" s="707" t="n">
        <v>0</v>
      </c>
      <c r="J5" s="707" t="n">
        <v>0</v>
      </c>
      <c r="K5" s="707">
        <f>SUM(H5:J5)</f>
        <v/>
      </c>
      <c r="L5" s="707" t="n">
        <v>821.769062</v>
      </c>
      <c r="M5" s="707" t="n">
        <v>3261.7728</v>
      </c>
      <c r="N5" s="707" t="n">
        <v>370.957895</v>
      </c>
      <c r="O5" s="707">
        <f>SUM(L5:N5)</f>
        <v/>
      </c>
      <c r="P5" s="707" t="n">
        <v>593.9975920000001</v>
      </c>
      <c r="Q5" s="707" t="n">
        <v>0</v>
      </c>
      <c r="R5" s="707" t="n">
        <v>382.045052</v>
      </c>
      <c r="S5" s="707">
        <f>SUM(P5:R5)</f>
        <v/>
      </c>
      <c r="T5" s="707" t="n">
        <v>249.800095</v>
      </c>
      <c r="U5" s="707" t="n">
        <v>5040.9216</v>
      </c>
      <c r="V5" s="707" t="n">
        <v>342.801462</v>
      </c>
      <c r="W5" s="707">
        <f>SUM(T5:V5)</f>
        <v/>
      </c>
      <c r="X5" s="707" t="n">
        <v>1613.445926</v>
      </c>
      <c r="Y5" s="707" t="n">
        <v>0</v>
      </c>
      <c r="Z5" s="707" t="n">
        <v>488.407071</v>
      </c>
      <c r="AA5" s="707">
        <f>SUM(X5:Z5)</f>
        <v/>
      </c>
      <c r="AB5" s="707" t="n">
        <v>454.800547</v>
      </c>
      <c r="AC5" s="707" t="n">
        <v>0</v>
      </c>
      <c r="AD5" s="707" t="n">
        <v>289.117436</v>
      </c>
      <c r="AE5" s="707">
        <f>SUM(AB5:AD5)</f>
        <v/>
      </c>
      <c r="AF5" s="707" t="n">
        <v>3311.566531</v>
      </c>
      <c r="AG5" s="271">
        <f>SUM(K5+O5+S5+W5+AA5+AE5+AF5)</f>
        <v/>
      </c>
      <c r="AH5" s="326">
        <f>IF(F5=0,"",K5/(F5/((YEAR(E5)*12+MONTH(E5))-(YEAR(D5)*12+MONTH(D5))+1)))</f>
        <v/>
      </c>
      <c r="AI5" s="326">
        <f>G5/F5</f>
        <v/>
      </c>
      <c r="AJ5" s="708">
        <f>F5-G5</f>
        <v/>
      </c>
      <c r="AK5" s="500" t="n"/>
      <c r="AL5" s="500" t="n"/>
      <c r="AM5" s="500" t="n"/>
      <c r="AN5" s="706" t="inlineStr"/>
      <c r="AO5" s="706" t="inlineStr"/>
      <c r="AP5" s="328" t="n">
        <v>46023</v>
      </c>
      <c r="AQ5" s="328" t="n">
        <v>46203</v>
      </c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4331.903745</v>
      </c>
      <c r="H6" s="707" t="n">
        <v>0</v>
      </c>
      <c r="I6" s="707" t="n">
        <v>0</v>
      </c>
      <c r="J6" s="707" t="n">
        <v>0</v>
      </c>
      <c r="K6" s="707">
        <f>SUM(H6:J6)</f>
        <v/>
      </c>
      <c r="L6" s="707" t="n">
        <v>1989.75777</v>
      </c>
      <c r="M6" s="707" t="n">
        <v>0</v>
      </c>
      <c r="N6" s="707" t="n">
        <v>2342.145975</v>
      </c>
      <c r="O6" s="707">
        <f>SUM(L6:N6)</f>
        <v/>
      </c>
      <c r="P6" s="707" t="n">
        <v>15009.556327</v>
      </c>
      <c r="Q6" s="707" t="n">
        <v>0</v>
      </c>
      <c r="R6" s="707" t="n">
        <v>1609.578423</v>
      </c>
      <c r="S6" s="707">
        <f>SUM(P6:R6)</f>
        <v/>
      </c>
      <c r="T6" s="707" t="n">
        <v>3788.477067</v>
      </c>
      <c r="U6" s="707" t="n">
        <v>0</v>
      </c>
      <c r="V6" s="707" t="n">
        <v>1122.243766</v>
      </c>
      <c r="W6" s="707">
        <f>SUM(T6:V6)</f>
        <v/>
      </c>
      <c r="X6" s="707" t="n">
        <v>1444.66245</v>
      </c>
      <c r="Y6" s="707" t="n">
        <v>0</v>
      </c>
      <c r="Z6" s="707" t="n">
        <v>1063.763858</v>
      </c>
      <c r="AA6" s="707">
        <f>SUM(X6:Z6)</f>
        <v/>
      </c>
      <c r="AB6" s="707" t="n">
        <v>9688.821542</v>
      </c>
      <c r="AC6" s="707" t="n">
        <v>0</v>
      </c>
      <c r="AD6" s="707" t="n">
        <v>606.6776630000001</v>
      </c>
      <c r="AE6" s="707">
        <f>SUM(AB6:AD6)</f>
        <v/>
      </c>
      <c r="AF6" s="707" t="n">
        <v>13116.995922</v>
      </c>
      <c r="AG6" s="271">
        <f>SUM(K6+O6+S6+W6+AA6+AE6+AF6)</f>
        <v/>
      </c>
      <c r="AH6" s="326">
        <f>IF(F6=0,"",K6/(F6/((YEAR(E6)*12+MONTH(E6))-(YEAR(D6)*12+MONTH(D6))+1)))</f>
        <v/>
      </c>
      <c r="AI6" s="326">
        <f>G6/F6</f>
        <v/>
      </c>
      <c r="AJ6" s="708">
        <f>F6-G6</f>
        <v/>
      </c>
      <c r="AK6" s="500" t="n"/>
      <c r="AL6" s="500" t="n"/>
      <c r="AM6" s="500" t="n"/>
      <c r="AN6" s="706" t="inlineStr"/>
      <c r="AO6" s="706" t="inlineStr"/>
      <c r="AP6" s="706" t="inlineStr">
        <is>
          <t>计算日期</t>
        </is>
      </c>
      <c r="AQ6" s="706">
        <f>W5-V5</f>
        <v/>
      </c>
      <c r="AR6" s="706" t="inlineStr">
        <is>
          <t>时间进度</t>
        </is>
      </c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3874.421583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125.538504</v>
      </c>
      <c r="M7" s="707" t="n">
        <v>0</v>
      </c>
      <c r="N7" s="707" t="n">
        <v>202.092562</v>
      </c>
      <c r="O7" s="707">
        <f>SUM(L7:N7)</f>
        <v/>
      </c>
      <c r="P7" s="707" t="n">
        <v>66.7758</v>
      </c>
      <c r="Q7" s="707" t="n">
        <v>0</v>
      </c>
      <c r="R7" s="707" t="n">
        <v>22.323011</v>
      </c>
      <c r="S7" s="707">
        <f>SUM(P7:R7)</f>
        <v/>
      </c>
      <c r="T7" s="707" t="n">
        <v>133.5516</v>
      </c>
      <c r="U7" s="707" t="n">
        <v>0</v>
      </c>
      <c r="V7" s="707" t="n">
        <v>22.107856</v>
      </c>
      <c r="W7" s="707">
        <f>SUM(T7:V7)</f>
        <v/>
      </c>
      <c r="X7" s="707" t="n">
        <v>500.150742</v>
      </c>
      <c r="Y7" s="707" t="n">
        <v>0</v>
      </c>
      <c r="Z7" s="707" t="n">
        <v>157.397938</v>
      </c>
      <c r="AA7" s="707">
        <f>SUM(X7:Z7)</f>
        <v/>
      </c>
      <c r="AB7" s="707" t="n">
        <v>267.1032</v>
      </c>
      <c r="AC7" s="707" t="n">
        <v>0</v>
      </c>
      <c r="AD7" s="707" t="n">
        <v>25.494675</v>
      </c>
      <c r="AE7" s="707">
        <f>SUM(AB7:AD7)</f>
        <v/>
      </c>
      <c r="AF7" s="707" t="n">
        <v>2351.885696</v>
      </c>
      <c r="AG7" s="271">
        <f>SUM(K7+O7+S7+W7+AA7+AE7+AF7)</f>
        <v/>
      </c>
      <c r="AH7" s="326">
        <f>IF(F7=0,"",K7/(F7/((YEAR(E7)*12+MONTH(E7))-(YEAR(D7)*12+MONTH(D7))+1)))</f>
        <v/>
      </c>
      <c r="AI7" s="326">
        <f>G7/F7</f>
        <v/>
      </c>
      <c r="AJ7" s="708">
        <f>F7-G7</f>
        <v/>
      </c>
      <c r="AK7" s="500" t="n"/>
      <c r="AL7" s="500" t="n"/>
      <c r="AM7" s="500" t="n"/>
      <c r="AN7" s="706" t="inlineStr"/>
      <c r="AO7" s="706" t="inlineStr"/>
      <c r="AP7" s="709" t="n">
        <v>46206</v>
      </c>
      <c r="AQ7" s="330">
        <f>AQ5-AP5+1</f>
        <v/>
      </c>
      <c r="AR7" s="331">
        <f>(AP7-AP5+1)/AQ7</f>
        <v/>
      </c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599.869512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95.21789800000001</v>
      </c>
      <c r="M8" s="707" t="n">
        <v>264.17664</v>
      </c>
      <c r="N8" s="707" t="n">
        <v>67.830038</v>
      </c>
      <c r="O8" s="707">
        <f>SUM(L8:N8)</f>
        <v/>
      </c>
      <c r="P8" s="707" t="n">
        <v>130.02444</v>
      </c>
      <c r="Q8" s="707" t="n">
        <v>0</v>
      </c>
      <c r="R8" s="707" t="n">
        <v>16.066547</v>
      </c>
      <c r="S8" s="707">
        <f>SUM(P8:R8)</f>
        <v/>
      </c>
      <c r="T8" s="707" t="n">
        <v>0</v>
      </c>
      <c r="U8" s="707" t="n">
        <v>0</v>
      </c>
      <c r="V8" s="707" t="n">
        <v>12.779778</v>
      </c>
      <c r="W8" s="707">
        <f>SUM(T8:V8)</f>
        <v/>
      </c>
      <c r="X8" s="707" t="n">
        <v>0</v>
      </c>
      <c r="Y8" s="707" t="n">
        <v>25509.5568</v>
      </c>
      <c r="Z8" s="707" t="n">
        <v>13.774172</v>
      </c>
      <c r="AA8" s="707">
        <f>SUM(X8:Z8)</f>
        <v/>
      </c>
      <c r="AB8" s="707" t="n">
        <v>41.2776</v>
      </c>
      <c r="AC8" s="707" t="n">
        <v>0</v>
      </c>
      <c r="AD8" s="707" t="n">
        <v>18.646322</v>
      </c>
      <c r="AE8" s="707">
        <f>SUM(AB8:AD8)</f>
        <v/>
      </c>
      <c r="AF8" s="707" t="n">
        <v>683.02396</v>
      </c>
      <c r="AG8" s="271">
        <f>SUM(K8+O8+S8+W8+AA8+AE8+AF8)</f>
        <v/>
      </c>
      <c r="AH8" s="326">
        <f>IF(F8=0,"",K8/(F8/((YEAR(E8)*12+MONTH(E8))-(YEAR(D8)*12+MONTH(D8))+1)))</f>
        <v/>
      </c>
      <c r="AI8" s="326">
        <f>G8/F8</f>
        <v/>
      </c>
      <c r="AJ8" s="708">
        <f>F8-G8</f>
        <v/>
      </c>
      <c r="AK8" s="513" t="n"/>
      <c r="AL8" s="513" t="n"/>
      <c r="AM8" s="513" t="n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1">
        <f>SUM(K9+O9+S9+W9+AA9+AE9+AF9)</f>
        <v/>
      </c>
      <c r="AH9" s="335">
        <f>IF(F9=0,"",K9/(F9/((YEAR(E4)*12+MONTH(E4))-(YEAR(D4)*12+MONTH(D4))+1)))</f>
        <v/>
      </c>
      <c r="AI9" s="336">
        <f>G9/F9</f>
        <v/>
      </c>
      <c r="AJ9" s="711">
        <f>F9-G9</f>
        <v/>
      </c>
      <c r="AK9" s="337">
        <f>AK4</f>
        <v/>
      </c>
      <c r="AL9" s="335">
        <f>AG9/AK4</f>
        <v/>
      </c>
      <c r="AM9" s="712">
        <f>AK4-AG9</f>
        <v/>
      </c>
      <c r="AN9" s="713" t="inlineStr"/>
      <c r="AO9" s="713" t="inlineStr"/>
      <c r="AP9" s="340" t="n">
        <v>46136</v>
      </c>
      <c r="AQ9" s="713" t="inlineStr"/>
      <c r="AR9" s="341">
        <f>(AD10-DATE(YEAR(AD10),1,1)+1)/AE9</f>
        <v/>
      </c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24941.640018</v>
      </c>
      <c r="H10" s="703" t="n">
        <v>878.31432</v>
      </c>
      <c r="I10" s="703" t="n">
        <v>0</v>
      </c>
      <c r="J10" s="703" t="n">
        <v>0</v>
      </c>
      <c r="K10" s="703">
        <f>SUM(H10:J10)</f>
        <v/>
      </c>
      <c r="L10" s="703" t="n">
        <v>3599.205131</v>
      </c>
      <c r="M10" s="703" t="n">
        <v>0</v>
      </c>
      <c r="N10" s="703" t="n">
        <v>206.592585</v>
      </c>
      <c r="O10" s="703">
        <f>SUM(L10:N10)</f>
        <v/>
      </c>
      <c r="P10" s="703" t="n">
        <v>4233.38058</v>
      </c>
      <c r="Q10" s="703" t="n">
        <v>0</v>
      </c>
      <c r="R10" s="703" t="n">
        <v>103.388547</v>
      </c>
      <c r="S10" s="703">
        <f>SUM(P10:R10)</f>
        <v/>
      </c>
      <c r="T10" s="703" t="n">
        <v>2418.943367</v>
      </c>
      <c r="U10" s="703" t="n">
        <v>2443.706261</v>
      </c>
      <c r="V10" s="703" t="n">
        <v>88.105912</v>
      </c>
      <c r="W10" s="703">
        <f>SUM(T10:V10)</f>
        <v/>
      </c>
      <c r="X10" s="703" t="n">
        <v>2574.496213</v>
      </c>
      <c r="Y10" s="703" t="n">
        <v>2927.70165</v>
      </c>
      <c r="Z10" s="703" t="n">
        <v>154.748145</v>
      </c>
      <c r="AA10" s="703">
        <f>SUM(X10:Z10)</f>
        <v/>
      </c>
      <c r="AB10" s="703" t="n">
        <v>745.691219</v>
      </c>
      <c r="AC10" s="703" t="n">
        <v>2330.36622</v>
      </c>
      <c r="AD10" s="703" t="n">
        <v>72.478376</v>
      </c>
      <c r="AE10" s="703">
        <f>SUM(AB10:AD10)</f>
        <v/>
      </c>
      <c r="AF10" s="703" t="n">
        <v>3042.835811</v>
      </c>
      <c r="AG10" s="318">
        <f>SUM(K10+O10+S10+W10+AA10+AE10+AF10)</f>
        <v/>
      </c>
      <c r="AH10" s="319">
        <f>IF(F10=0,"",K10/(F10/((YEAR(E10)*12+MONTH(E10))-(YEAR(D10)*12+MONTH(D10))+1)))</f>
        <v/>
      </c>
      <c r="AI10" s="319">
        <f>G10/F10</f>
        <v/>
      </c>
      <c r="AJ10" s="704">
        <f>F10-G10</f>
        <v/>
      </c>
      <c r="AK10" s="321">
        <f>SUM(F10:F13)</f>
        <v/>
      </c>
      <c r="AL10" s="322">
        <f>AL14</f>
        <v/>
      </c>
      <c r="AM10" s="705">
        <f>AM14</f>
        <v/>
      </c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340.263021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304.3131</v>
      </c>
      <c r="M11" s="707" t="n">
        <v>0</v>
      </c>
      <c r="N11" s="707" t="n">
        <v>35.949921</v>
      </c>
      <c r="O11" s="707">
        <f>SUM(L11:N11)</f>
        <v/>
      </c>
      <c r="P11" s="707" t="n">
        <v>139.11456</v>
      </c>
      <c r="Q11" s="707" t="n">
        <v>2956.1844</v>
      </c>
      <c r="R11" s="707" t="n">
        <v>14.716853</v>
      </c>
      <c r="S11" s="707">
        <f>SUM(P11:R11)</f>
        <v/>
      </c>
      <c r="T11" s="707" t="n">
        <v>280.185418</v>
      </c>
      <c r="U11" s="707" t="n">
        <v>773.505646</v>
      </c>
      <c r="V11" s="707" t="n">
        <v>3.573146</v>
      </c>
      <c r="W11" s="707">
        <f>SUM(T11:V11)</f>
        <v/>
      </c>
      <c r="X11" s="707" t="n">
        <v>43.4733</v>
      </c>
      <c r="Y11" s="707" t="n">
        <v>0</v>
      </c>
      <c r="Z11" s="707" t="n">
        <v>10.334614</v>
      </c>
      <c r="AA11" s="707">
        <f>SUM(X11:Z11)</f>
        <v/>
      </c>
      <c r="AB11" s="707" t="n">
        <v>0</v>
      </c>
      <c r="AC11" s="707" t="n">
        <v>0</v>
      </c>
      <c r="AD11" s="707" t="n">
        <v>0</v>
      </c>
      <c r="AE11" s="707">
        <f>SUM(AB11:AD11)</f>
        <v/>
      </c>
      <c r="AF11" s="707" t="n">
        <v>0</v>
      </c>
      <c r="AG11" s="271">
        <f>SUM(K11+O11+S11+W11+AA11+AE11+AF11)</f>
        <v/>
      </c>
      <c r="AH11" s="326">
        <f>IF(F11=0,"",K11/(F11/((YEAR(E11)*12+MONTH(E11))-(YEAR(D11)*12+MONTH(D11))+1)))</f>
        <v/>
      </c>
      <c r="AI11" s="326">
        <f>G11/F11</f>
        <v/>
      </c>
      <c r="AJ11" s="708">
        <f>F11-G11</f>
        <v/>
      </c>
      <c r="AK11" s="500" t="n"/>
      <c r="AL11" s="500" t="n"/>
      <c r="AM11" s="500" t="n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22552.233026</v>
      </c>
      <c r="H12" s="707" t="n">
        <v>0</v>
      </c>
      <c r="I12" s="707" t="n">
        <v>0</v>
      </c>
      <c r="J12" s="707" t="n">
        <v>0</v>
      </c>
      <c r="K12" s="707">
        <f>SUM(H12:J12)</f>
        <v/>
      </c>
      <c r="L12" s="707" t="n">
        <v>5138.663789</v>
      </c>
      <c r="M12" s="707" t="n">
        <v>0</v>
      </c>
      <c r="N12" s="707" t="n">
        <v>787.892575</v>
      </c>
      <c r="O12" s="707">
        <f>SUM(L12:N12)</f>
        <v/>
      </c>
      <c r="P12" s="707" t="n">
        <v>527.86032</v>
      </c>
      <c r="Q12" s="707" t="n">
        <v>0</v>
      </c>
      <c r="R12" s="707" t="n">
        <v>176.99322</v>
      </c>
      <c r="S12" s="707">
        <f>SUM(P12:R12)</f>
        <v/>
      </c>
      <c r="T12" s="707" t="n">
        <v>5719.894428</v>
      </c>
      <c r="U12" s="707" t="n">
        <v>0</v>
      </c>
      <c r="V12" s="707" t="n">
        <v>170.991639</v>
      </c>
      <c r="W12" s="707">
        <f>SUM(T12:V12)</f>
        <v/>
      </c>
      <c r="X12" s="707" t="n">
        <v>2659.960961</v>
      </c>
      <c r="Y12" s="707" t="n">
        <v>0</v>
      </c>
      <c r="Z12" s="707" t="n">
        <v>743.622962</v>
      </c>
      <c r="AA12" s="707">
        <f>SUM(X12:Z12)</f>
        <v/>
      </c>
      <c r="AB12" s="707" t="n">
        <v>0</v>
      </c>
      <c r="AC12" s="707" t="n">
        <v>0</v>
      </c>
      <c r="AD12" s="707" t="n">
        <v>144.157177</v>
      </c>
      <c r="AE12" s="707">
        <f>SUM(AB12:AD12)</f>
        <v/>
      </c>
      <c r="AF12" s="707" t="n">
        <v>6482.195956</v>
      </c>
      <c r="AG12" s="271">
        <f>SUM(K12+O12+S12+W12+AA12+AE12+AF12)</f>
        <v/>
      </c>
      <c r="AH12" s="326">
        <f>IF(F12=0,"",K12/(F12/((YEAR(E12)*12+MONTH(E12))-(YEAR(D12)*12+MONTH(D12))+1)))</f>
        <v/>
      </c>
      <c r="AI12" s="326">
        <f>G12/F12</f>
        <v/>
      </c>
      <c r="AJ12" s="708">
        <f>F12-G12</f>
        <v/>
      </c>
      <c r="AK12" s="500" t="n"/>
      <c r="AL12" s="500" t="n"/>
      <c r="AM12" s="500" t="n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13278.691594</v>
      </c>
      <c r="H13" s="707" t="n">
        <v>99.6255</v>
      </c>
      <c r="I13" s="707" t="n">
        <v>0</v>
      </c>
      <c r="J13" s="707" t="n">
        <v>0</v>
      </c>
      <c r="K13" s="707">
        <f>SUM(H13:J13)</f>
        <v/>
      </c>
      <c r="L13" s="707" t="n">
        <v>2826.176184</v>
      </c>
      <c r="M13" s="707" t="n">
        <v>0</v>
      </c>
      <c r="N13" s="707" t="n">
        <v>411.016877</v>
      </c>
      <c r="O13" s="707">
        <f>SUM(L13:N13)</f>
        <v/>
      </c>
      <c r="P13" s="707" t="n">
        <v>1000.951193</v>
      </c>
      <c r="Q13" s="707" t="n">
        <v>0</v>
      </c>
      <c r="R13" s="707" t="n">
        <v>278.383375</v>
      </c>
      <c r="S13" s="707">
        <f>SUM(P13:R13)</f>
        <v/>
      </c>
      <c r="T13" s="707" t="n">
        <v>3291.566745</v>
      </c>
      <c r="U13" s="707" t="n">
        <v>0</v>
      </c>
      <c r="V13" s="707" t="n">
        <v>242.965979</v>
      </c>
      <c r="W13" s="707">
        <f>SUM(T13:V13)</f>
        <v/>
      </c>
      <c r="X13" s="707" t="n">
        <v>3556.620439</v>
      </c>
      <c r="Y13" s="707" t="n">
        <v>0</v>
      </c>
      <c r="Z13" s="707" t="n">
        <v>446.103228</v>
      </c>
      <c r="AA13" s="707">
        <f>SUM(X13:Z13)</f>
        <v/>
      </c>
      <c r="AB13" s="707" t="n">
        <v>1054.327266</v>
      </c>
      <c r="AC13" s="707" t="n">
        <v>0</v>
      </c>
      <c r="AD13" s="707" t="n">
        <v>170.580309</v>
      </c>
      <c r="AE13" s="707">
        <f>SUM(AB13:AD13)</f>
        <v/>
      </c>
      <c r="AF13" s="707" t="n">
        <v>692.512431</v>
      </c>
      <c r="AG13" s="271">
        <f>SUM(K13+O13+S13+W13+AA13+AE13+AF13)</f>
        <v/>
      </c>
      <c r="AH13" s="326">
        <f>IF(F13=0,"",K13/(F13/((YEAR(E13)*12+MONTH(E13))-(YEAR(D13)*12+MONTH(D13))+1)))</f>
        <v/>
      </c>
      <c r="AI13" s="326">
        <f>G13/F13</f>
        <v/>
      </c>
      <c r="AJ13" s="708">
        <f>F13-G13</f>
        <v/>
      </c>
      <c r="AK13" s="513" t="n"/>
      <c r="AL13" s="513" t="n"/>
      <c r="AM13" s="513" t="n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333">
        <f>SUM(K14+O14+S14+W14+AA14+AE14+AF14)</f>
        <v/>
      </c>
      <c r="AH14" s="335">
        <f>IF(F14=0,"",K14/(F14/((YEAR(E10)*12+MONTH(E10))-(YEAR(D10)*12+MONTH(D10))+1)))</f>
        <v/>
      </c>
      <c r="AI14" s="336">
        <f>G14/F14</f>
        <v/>
      </c>
      <c r="AJ14" s="715">
        <f>F14-G14</f>
        <v/>
      </c>
      <c r="AK14" s="337">
        <f>AK10</f>
        <v/>
      </c>
      <c r="AL14" s="335">
        <f>AG14/AK10</f>
        <v/>
      </c>
      <c r="AM14" s="712">
        <f>AK10-AG14</f>
        <v/>
      </c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10901.075288</v>
      </c>
      <c r="H15" s="703" t="n">
        <v>0</v>
      </c>
      <c r="I15" s="703" t="n">
        <v>0</v>
      </c>
      <c r="J15" s="703" t="n">
        <v>0</v>
      </c>
      <c r="K15" s="703">
        <f>SUM(H15:J15)</f>
        <v/>
      </c>
      <c r="L15" s="703" t="n">
        <v>1519.142625</v>
      </c>
      <c r="M15" s="703" t="n">
        <v>0</v>
      </c>
      <c r="N15" s="703" t="n">
        <v>201.494206</v>
      </c>
      <c r="O15" s="703">
        <f>SUM(L15:N15)</f>
        <v/>
      </c>
      <c r="P15" s="703" t="n">
        <v>1776.618655</v>
      </c>
      <c r="Q15" s="703" t="n">
        <v>0</v>
      </c>
      <c r="R15" s="703" t="n">
        <v>64.972886</v>
      </c>
      <c r="S15" s="703">
        <f>SUM(P15:R15)</f>
        <v/>
      </c>
      <c r="T15" s="703" t="n">
        <v>2171.402323</v>
      </c>
      <c r="U15" s="703" t="n">
        <v>0</v>
      </c>
      <c r="V15" s="703" t="n">
        <v>15.631431</v>
      </c>
      <c r="W15" s="703">
        <f>SUM(T15:V15)</f>
        <v/>
      </c>
      <c r="X15" s="703" t="n">
        <v>1305.1575</v>
      </c>
      <c r="Y15" s="703" t="n">
        <v>1178.4864</v>
      </c>
      <c r="Z15" s="703" t="n">
        <v>22.441342</v>
      </c>
      <c r="AA15" s="703">
        <f>SUM(X15:Z15)</f>
        <v/>
      </c>
      <c r="AB15" s="703" t="n">
        <v>0</v>
      </c>
      <c r="AC15" s="703" t="n">
        <v>0</v>
      </c>
      <c r="AD15" s="703" t="n">
        <v>15.177921</v>
      </c>
      <c r="AE15" s="703">
        <f>SUM(AB15:AD15)</f>
        <v/>
      </c>
      <c r="AF15" s="703" t="n">
        <v>2630.55</v>
      </c>
      <c r="AG15" s="724">
        <f>SUM(K15+O15+S15+W15+AA15+AE15+AF15)</f>
        <v/>
      </c>
      <c r="AH15" s="319">
        <f>IF(F15=0,"",K15/(F15/((YEAR(E15)*12+MONTH(E15))-(YEAR(D15)*12+MONTH(D15))+1)))</f>
        <v/>
      </c>
      <c r="AI15" s="319">
        <f>G15/F15</f>
        <v/>
      </c>
      <c r="AJ15" s="724">
        <f>F15-G15</f>
        <v/>
      </c>
      <c r="AK15" s="321">
        <f>SUM(F15:F18)</f>
        <v/>
      </c>
      <c r="AL15" s="322">
        <f>AL19</f>
        <v/>
      </c>
      <c r="AM15" s="717">
        <f>AM19</f>
        <v/>
      </c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0</v>
      </c>
      <c r="M16" s="707" t="n">
        <v>700.6272</v>
      </c>
      <c r="N16" s="707" t="n">
        <v>11.31433</v>
      </c>
      <c r="O16" s="707">
        <f>SUM(L16:N16)</f>
        <v/>
      </c>
      <c r="P16" s="707" t="n">
        <v>0</v>
      </c>
      <c r="Q16" s="707" t="n">
        <v>0</v>
      </c>
      <c r="R16" s="707" t="n">
        <v>2.157894</v>
      </c>
      <c r="S16" s="707">
        <f>SUM(P16:R16)</f>
        <v/>
      </c>
      <c r="T16" s="707" t="n">
        <v>0</v>
      </c>
      <c r="U16" s="707" t="n">
        <v>0</v>
      </c>
      <c r="V16" s="707" t="n">
        <v>2.058637</v>
      </c>
      <c r="W16" s="707">
        <f>SUM(T16:V16)</f>
        <v/>
      </c>
      <c r="X16" s="707" t="n">
        <v>0</v>
      </c>
      <c r="Y16" s="707" t="n">
        <v>0</v>
      </c>
      <c r="Z16" s="707" t="n">
        <v>3.23046</v>
      </c>
      <c r="AA16" s="707">
        <f>SUM(X16:Z16)</f>
        <v/>
      </c>
      <c r="AB16" s="707" t="n">
        <v>25.0224</v>
      </c>
      <c r="AC16" s="707" t="n">
        <v>1050.9408</v>
      </c>
      <c r="AD16" s="707" t="n">
        <v>3.667668</v>
      </c>
      <c r="AE16" s="707">
        <f>SUM(AB16:AD16)</f>
        <v/>
      </c>
      <c r="AF16" s="707" t="n">
        <v>125.112</v>
      </c>
      <c r="AG16" s="271">
        <f>SUM(K16+O16+S16+W16+AA16+AE16+AF16)</f>
        <v/>
      </c>
      <c r="AH16" s="326">
        <f>IF(F16=0,"",K16/(F16/((YEAR(E16)*12+MONTH(E16))-(YEAR(D16)*12+MONTH(D16))+1)))</f>
        <v/>
      </c>
      <c r="AI16" s="326">
        <f>G16/F16</f>
        <v/>
      </c>
      <c r="AJ16" s="708">
        <f>F16-G16</f>
        <v/>
      </c>
      <c r="AK16" s="500" t="n"/>
      <c r="AL16" s="500" t="n"/>
      <c r="AM16" s="500" t="n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4876.923178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412.205196</v>
      </c>
      <c r="M17" s="707" t="n">
        <v>0</v>
      </c>
      <c r="N17" s="707" t="n">
        <v>23.739146</v>
      </c>
      <c r="O17" s="707">
        <f>SUM(L17:N17)</f>
        <v/>
      </c>
      <c r="P17" s="707" t="n">
        <v>539.9043</v>
      </c>
      <c r="Q17" s="707" t="n">
        <v>1859.14872</v>
      </c>
      <c r="R17" s="707" t="n">
        <v>44.064709</v>
      </c>
      <c r="S17" s="707">
        <f>SUM(P17:R17)</f>
        <v/>
      </c>
      <c r="T17" s="707" t="n">
        <v>0</v>
      </c>
      <c r="U17" s="707" t="n">
        <v>0</v>
      </c>
      <c r="V17" s="707" t="n">
        <v>43.453355</v>
      </c>
      <c r="W17" s="707">
        <f>SUM(T17:V17)</f>
        <v/>
      </c>
      <c r="X17" s="707" t="n">
        <v>0</v>
      </c>
      <c r="Y17" s="707" t="n">
        <v>1943.65548</v>
      </c>
      <c r="Z17" s="707" t="n">
        <v>10.752272</v>
      </c>
      <c r="AA17" s="707">
        <f>SUM(X17:Z17)</f>
        <v/>
      </c>
      <c r="AB17" s="707" t="n">
        <v>0</v>
      </c>
      <c r="AC17" s="707" t="n">
        <v>0</v>
      </c>
      <c r="AD17" s="707" t="n">
        <v>0</v>
      </c>
      <c r="AE17" s="707">
        <f>SUM(AB17:AD17)</f>
        <v/>
      </c>
      <c r="AF17" s="707" t="n">
        <v>0</v>
      </c>
      <c r="AG17" s="271">
        <f>SUM(K17+O17+S17+W17+AA17+AE17+AF17)</f>
        <v/>
      </c>
      <c r="AH17" s="326">
        <f>IF(F17=0,"",K17/(F17/MAX(1,(YEAR(E17)*12+MONTH(E17))-(YEAR(D17)*12+MONTH(D17))+1)))</f>
        <v/>
      </c>
      <c r="AI17" s="326">
        <f>G17/F17</f>
        <v/>
      </c>
      <c r="AJ17" s="708">
        <f>F17-G17</f>
        <v/>
      </c>
      <c r="AK17" s="500" t="n"/>
      <c r="AL17" s="500" t="n"/>
      <c r="AM17" s="500" t="n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35392.541557</v>
      </c>
      <c r="H18" s="707" t="n">
        <v>0</v>
      </c>
      <c r="I18" s="707" t="n">
        <v>0</v>
      </c>
      <c r="J18" s="707" t="n">
        <v>0</v>
      </c>
      <c r="K18" s="707">
        <f>SUM(H18:J18)</f>
        <v/>
      </c>
      <c r="L18" s="707" t="n">
        <v>4003.165648</v>
      </c>
      <c r="M18" s="707" t="n">
        <v>0</v>
      </c>
      <c r="N18" s="707" t="n">
        <v>548.368526</v>
      </c>
      <c r="O18" s="707">
        <f>SUM(L18:N18)</f>
        <v/>
      </c>
      <c r="P18" s="707" t="n">
        <v>1274.903482</v>
      </c>
      <c r="Q18" s="707" t="n">
        <v>3566.1951</v>
      </c>
      <c r="R18" s="707" t="n">
        <v>343.572179</v>
      </c>
      <c r="S18" s="707">
        <f>SUM(P18:R18)</f>
        <v/>
      </c>
      <c r="T18" s="707" t="n">
        <v>2660.12632</v>
      </c>
      <c r="U18" s="707" t="n">
        <v>0</v>
      </c>
      <c r="V18" s="707" t="n">
        <v>331.400492</v>
      </c>
      <c r="W18" s="707">
        <f>SUM(T18:V18)</f>
        <v/>
      </c>
      <c r="X18" s="707" t="n">
        <v>3406.959578</v>
      </c>
      <c r="Y18" s="707" t="n">
        <v>14793.1056</v>
      </c>
      <c r="Z18" s="707" t="n">
        <v>606.358521</v>
      </c>
      <c r="AA18" s="707">
        <f>SUM(X18:Z18)</f>
        <v/>
      </c>
      <c r="AB18" s="707" t="n">
        <v>3557.362586</v>
      </c>
      <c r="AC18" s="707" t="n">
        <v>0</v>
      </c>
      <c r="AD18" s="707" t="n">
        <v>301.023526</v>
      </c>
      <c r="AE18" s="707">
        <f>SUM(AB18:AD18)</f>
        <v/>
      </c>
      <c r="AF18" s="707" t="n">
        <v>8988.571889000001</v>
      </c>
      <c r="AG18" s="271">
        <f>SUM(K18+O18+S18+W18+AA18+AE18+AF18)</f>
        <v/>
      </c>
      <c r="AH18" s="326">
        <f>IF(F18=0,"",K18/(F18/((YEAR(E18)*12+MONTH(E18))-(YEAR(D18)*12+MONTH(D18))+1)))</f>
        <v/>
      </c>
      <c r="AI18" s="326">
        <f>G18/F18</f>
        <v/>
      </c>
      <c r="AJ18" s="708">
        <f>F18-G18</f>
        <v/>
      </c>
      <c r="AK18" s="513" t="n"/>
      <c r="AL18" s="513" t="n"/>
      <c r="AM18" s="513" t="n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0">
        <f>SUM(AC15:AC18)</f>
        <v/>
      </c>
      <c r="AD19" s="710">
        <f>SUM(AD15:AD18)</f>
        <v/>
      </c>
      <c r="AE19" s="710">
        <f>SUM(AE15:AE18)</f>
        <v/>
      </c>
      <c r="AF19" s="710">
        <f>SUM(AF15:AF18)</f>
        <v/>
      </c>
      <c r="AG19" s="711">
        <f>SUM(K19+O19+S19+W19+AA19+AE19+AF19)</f>
        <v/>
      </c>
      <c r="AH19" s="335">
        <f>IF(F19=0,"",K19/(F19/((YEAR(E15)*12+MONTH(E15))-(YEAR(D15)*12+MONTH(D15))+1)))</f>
        <v/>
      </c>
      <c r="AI19" s="336">
        <f>G19/F19</f>
        <v/>
      </c>
      <c r="AJ19" s="711">
        <f>F19-G19</f>
        <v/>
      </c>
      <c r="AK19" s="337">
        <f>AK15</f>
        <v/>
      </c>
      <c r="AL19" s="335">
        <f>AG19/AK15</f>
        <v/>
      </c>
      <c r="AM19" s="712">
        <f>AK15-AG19</f>
        <v/>
      </c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0</v>
      </c>
      <c r="I20" s="703" t="n">
        <v>0</v>
      </c>
      <c r="J20" s="703" t="n">
        <v>0</v>
      </c>
      <c r="K20" s="703">
        <f>SUM(H20:J20)</f>
        <v/>
      </c>
      <c r="L20" s="703" t="n">
        <v>458.289</v>
      </c>
      <c r="M20" s="703" t="n">
        <v>0</v>
      </c>
      <c r="N20" s="703" t="n">
        <v>90.34230599999999</v>
      </c>
      <c r="O20" s="703">
        <f>SUM(L20:N20)</f>
        <v/>
      </c>
      <c r="P20" s="703" t="n">
        <v>305.526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703" t="n">
        <v>0</v>
      </c>
      <c r="Z20" s="703" t="n">
        <v>32.04495</v>
      </c>
      <c r="AA20" s="703">
        <f>SUM(X20:Z20)</f>
        <v/>
      </c>
      <c r="AB20" s="703" t="n">
        <v>0</v>
      </c>
      <c r="AC20" s="703" t="n">
        <v>0</v>
      </c>
      <c r="AD20" s="703" t="n">
        <v>0</v>
      </c>
      <c r="AE20" s="703">
        <f>SUM(AB20:AD20)</f>
        <v/>
      </c>
      <c r="AF20" s="703" t="n">
        <v>0</v>
      </c>
      <c r="AG20" s="318">
        <f>SUM(K20+O20+S20+W20+AA20+AE20+AF20)</f>
        <v/>
      </c>
      <c r="AH20" s="319">
        <f>IF(F20=0,"",K20/(F20/((YEAR(E20)*12+MONTH(E20))-(YEAR(D20)*12+MONTH(D20))+1)))</f>
        <v/>
      </c>
      <c r="AI20" s="319">
        <f>G20/F20</f>
        <v/>
      </c>
      <c r="AJ20" s="704">
        <f>F20-G20</f>
        <v/>
      </c>
      <c r="AK20" s="321">
        <f>SUM(F20:F22)</f>
        <v/>
      </c>
      <c r="AL20" s="322">
        <f>AL23</f>
        <v/>
      </c>
      <c r="AM20" s="705">
        <f>AM23</f>
        <v/>
      </c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5531.658127</v>
      </c>
      <c r="H21" s="707" t="n">
        <v>0</v>
      </c>
      <c r="I21" s="707" t="n">
        <v>0</v>
      </c>
      <c r="J21" s="707" t="n">
        <v>0</v>
      </c>
      <c r="K21" s="707">
        <f>SUM(H21:J21)</f>
        <v/>
      </c>
      <c r="L21" s="707" t="n">
        <v>33.876</v>
      </c>
      <c r="M21" s="707" t="n">
        <v>0</v>
      </c>
      <c r="N21" s="707" t="n">
        <v>56.784195</v>
      </c>
      <c r="O21" s="707">
        <f>SUM(L21:N21)</f>
        <v/>
      </c>
      <c r="P21" s="707" t="n">
        <v>494.115336</v>
      </c>
      <c r="Q21" s="707" t="n">
        <v>0</v>
      </c>
      <c r="R21" s="707" t="n">
        <v>46.211266</v>
      </c>
      <c r="S21" s="707">
        <f>SUM(P21:R21)</f>
        <v/>
      </c>
      <c r="T21" s="707" t="n">
        <v>0</v>
      </c>
      <c r="U21" s="707" t="n">
        <v>0</v>
      </c>
      <c r="V21" s="707" t="n">
        <v>37.443523</v>
      </c>
      <c r="W21" s="707">
        <f>SUM(T21:V21)</f>
        <v/>
      </c>
      <c r="X21" s="707" t="n">
        <v>198.1746</v>
      </c>
      <c r="Y21" s="707" t="n">
        <v>0</v>
      </c>
      <c r="Z21" s="707" t="n">
        <v>29.640215</v>
      </c>
      <c r="AA21" s="707">
        <f>SUM(X21:Z21)</f>
        <v/>
      </c>
      <c r="AB21" s="707" t="n">
        <v>0.8469</v>
      </c>
      <c r="AC21" s="707" t="n">
        <v>4558.0158</v>
      </c>
      <c r="AD21" s="707" t="n">
        <v>19.389048</v>
      </c>
      <c r="AE21" s="707">
        <f>SUM(AB21:AD21)</f>
        <v/>
      </c>
      <c r="AF21" s="707" t="n">
        <v>21.644177</v>
      </c>
      <c r="AG21" s="271">
        <f>SUM(K21+O21+S21+W21+AA21+AE21+AF21)</f>
        <v/>
      </c>
      <c r="AH21" s="326">
        <f>IF(F21=0,"",K21/(F21/((YEAR(E21)*12+MONTH(E21))-(YEAR(D21)*12+MONTH(D21))+1)))</f>
        <v/>
      </c>
      <c r="AI21" s="326">
        <f>G21/F21</f>
        <v/>
      </c>
      <c r="AJ21" s="708">
        <f>F21-G21</f>
        <v/>
      </c>
      <c r="AK21" s="500" t="n"/>
      <c r="AL21" s="500" t="n"/>
      <c r="AM21" s="500" t="n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12757.896475</v>
      </c>
      <c r="H22" s="707" t="n">
        <v>0</v>
      </c>
      <c r="I22" s="707" t="n">
        <v>0</v>
      </c>
      <c r="J22" s="707" t="n">
        <v>0</v>
      </c>
      <c r="K22" s="707">
        <f>SUM(H22:J22)</f>
        <v/>
      </c>
      <c r="L22" s="707" t="n">
        <v>1355.08581</v>
      </c>
      <c r="M22" s="707" t="n">
        <v>0</v>
      </c>
      <c r="N22" s="707" t="n">
        <v>318.416359</v>
      </c>
      <c r="O22" s="707">
        <f>SUM(L22:N22)</f>
        <v/>
      </c>
      <c r="P22" s="707" t="n">
        <v>2200.72469</v>
      </c>
      <c r="Q22" s="707" t="n">
        <v>0</v>
      </c>
      <c r="R22" s="707" t="n">
        <v>130.270558</v>
      </c>
      <c r="S22" s="707">
        <f>SUM(P22:R22)</f>
        <v/>
      </c>
      <c r="T22" s="707" t="n">
        <v>1832.902273</v>
      </c>
      <c r="U22" s="707" t="n">
        <v>0</v>
      </c>
      <c r="V22" s="707" t="n">
        <v>114.994826</v>
      </c>
      <c r="W22" s="707">
        <f>SUM(T22:V22)</f>
        <v/>
      </c>
      <c r="X22" s="707" t="n">
        <v>220.16475</v>
      </c>
      <c r="Y22" s="707" t="n">
        <v>0</v>
      </c>
      <c r="Z22" s="707" t="n">
        <v>158.674065</v>
      </c>
      <c r="AA22" s="707">
        <f>SUM(X22:Z22)</f>
        <v/>
      </c>
      <c r="AB22" s="707" t="n">
        <v>3847.561596</v>
      </c>
      <c r="AC22" s="707" t="n">
        <v>0</v>
      </c>
      <c r="AD22" s="707" t="n">
        <v>39.036743</v>
      </c>
      <c r="AE22" s="707">
        <f>SUM(AB22:AD22)</f>
        <v/>
      </c>
      <c r="AF22" s="707" t="n">
        <v>2540.064804</v>
      </c>
      <c r="AG22" s="271">
        <f>SUM(K22+O22+S22+W22+AA22+AE22+AF22)</f>
        <v/>
      </c>
      <c r="AH22" s="326">
        <f>IF(F22=0,"",K22/(F22/((YEAR(E22)*12+MONTH(E22))-(YEAR(D22)*12+MONTH(D22))+1)))</f>
        <v/>
      </c>
      <c r="AI22" s="326">
        <f>G22/F22</f>
        <v/>
      </c>
      <c r="AJ22" s="708">
        <f>F22-G22</f>
        <v/>
      </c>
      <c r="AK22" s="513" t="n"/>
      <c r="AL22" s="513" t="n"/>
      <c r="AM22" s="513" t="n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710">
        <f>SUM(AC20:AC22)</f>
        <v/>
      </c>
      <c r="AD23" s="710">
        <f>SUM(AD20:AD22)</f>
        <v/>
      </c>
      <c r="AE23" s="710">
        <f>SUM(AE20:AE22)</f>
        <v/>
      </c>
      <c r="AF23" s="710">
        <f>SUM(AF20:AF22)</f>
        <v/>
      </c>
      <c r="AG23" s="333">
        <f>SUM(K23+O23+S23+W23+AA23+AE23+AF23)</f>
        <v/>
      </c>
      <c r="AH23" s="335">
        <f>IF(F23=0,"",K23/(F23/((YEAR(E20)*12+MONTH(E20))-(YEAR(D20)*12+MONTH(D20))+1)))</f>
        <v/>
      </c>
      <c r="AI23" s="336">
        <f>G23/F23</f>
        <v/>
      </c>
      <c r="AJ23" s="715">
        <f>F23-G23</f>
        <v/>
      </c>
      <c r="AK23" s="337">
        <f>AK20</f>
        <v/>
      </c>
      <c r="AL23" s="335">
        <f>AG23/AK20</f>
        <v/>
      </c>
      <c r="AM23" s="712">
        <f>AK20-AG23</f>
        <v/>
      </c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6743.892493</v>
      </c>
      <c r="H24" s="703" t="n">
        <v>0</v>
      </c>
      <c r="I24" s="703" t="n">
        <v>0</v>
      </c>
      <c r="J24" s="703" t="n">
        <v>0</v>
      </c>
      <c r="K24" s="703">
        <f>SUM(H24:J24)</f>
        <v/>
      </c>
      <c r="L24" s="703" t="n">
        <v>979.721418</v>
      </c>
      <c r="M24" s="703" t="n">
        <v>0</v>
      </c>
      <c r="N24" s="703" t="n">
        <v>713.811077</v>
      </c>
      <c r="O24" s="703">
        <f>SUM(L24:N24)</f>
        <v/>
      </c>
      <c r="P24" s="703" t="n">
        <v>121.826127</v>
      </c>
      <c r="Q24" s="703" t="n">
        <v>0</v>
      </c>
      <c r="R24" s="703" t="n">
        <v>638.531805</v>
      </c>
      <c r="S24" s="703">
        <f>SUM(P24:R24)</f>
        <v/>
      </c>
      <c r="T24" s="703" t="n">
        <v>88.54274700000001</v>
      </c>
      <c r="U24" s="703" t="n">
        <v>0</v>
      </c>
      <c r="V24" s="703" t="n">
        <v>616.124389</v>
      </c>
      <c r="W24" s="703">
        <f>SUM(T24:V24)</f>
        <v/>
      </c>
      <c r="X24" s="703" t="n">
        <v>50.830377</v>
      </c>
      <c r="Y24" s="703" t="n">
        <v>0</v>
      </c>
      <c r="Z24" s="703" t="n">
        <v>791.318135</v>
      </c>
      <c r="AA24" s="703">
        <f>SUM(X24:Z24)</f>
        <v/>
      </c>
      <c r="AB24" s="703" t="n">
        <v>153.11976</v>
      </c>
      <c r="AC24" s="703" t="n">
        <v>0</v>
      </c>
      <c r="AD24" s="703" t="n">
        <v>560.548117</v>
      </c>
      <c r="AE24" s="703">
        <f>SUM(AB24:AD24)</f>
        <v/>
      </c>
      <c r="AF24" s="703" t="n">
        <v>2029.518541</v>
      </c>
      <c r="AG24" s="724">
        <f>SUM(K24+O24+S24+W24+AA24+AE24+AF24)</f>
        <v/>
      </c>
      <c r="AH24" s="319">
        <f>IF(F24=0,"",K24/(F24/((YEAR(E24)*12+MONTH(E24))-(YEAR(D24)*12+MONTH(D24))+1)))</f>
        <v/>
      </c>
      <c r="AI24" s="319">
        <f>G24/F24</f>
        <v/>
      </c>
      <c r="AJ24" s="724">
        <f>F24-G24</f>
        <v/>
      </c>
      <c r="AK24" s="321">
        <f>SUM(F24:F26)</f>
        <v/>
      </c>
      <c r="AL24" s="322">
        <f>AL27</f>
        <v/>
      </c>
      <c r="AM24" s="725">
        <f>AM27</f>
        <v/>
      </c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249.741626</v>
      </c>
      <c r="H25" s="707" t="n">
        <v>0</v>
      </c>
      <c r="I25" s="707" t="n">
        <v>0</v>
      </c>
      <c r="J25" s="707" t="n">
        <v>0</v>
      </c>
      <c r="K25" s="707">
        <f>SUM(H25:J25)</f>
        <v/>
      </c>
      <c r="L25" s="707" t="n">
        <v>53.4066</v>
      </c>
      <c r="M25" s="707" t="n">
        <v>0</v>
      </c>
      <c r="N25" s="707" t="n">
        <v>22.083459</v>
      </c>
      <c r="O25" s="707">
        <f>SUM(L25:N25)</f>
        <v/>
      </c>
      <c r="P25" s="707" t="n">
        <v>3.1134</v>
      </c>
      <c r="Q25" s="707" t="n">
        <v>0</v>
      </c>
      <c r="R25" s="707" t="n">
        <v>19.121258</v>
      </c>
      <c r="S25" s="707">
        <f>SUM(P25:R25)</f>
        <v/>
      </c>
      <c r="T25" s="707" t="n">
        <v>137.257846</v>
      </c>
      <c r="U25" s="707" t="n">
        <v>3685.0554</v>
      </c>
      <c r="V25" s="707" t="n">
        <v>14.759064</v>
      </c>
      <c r="W25" s="707">
        <f>SUM(T25:V25)</f>
        <v/>
      </c>
      <c r="X25" s="707" t="n">
        <v>0</v>
      </c>
      <c r="Y25" s="707" t="n">
        <v>0</v>
      </c>
      <c r="Z25" s="707" t="n">
        <v>2.181886</v>
      </c>
      <c r="AA25" s="707">
        <f>SUM(X25:Z25)</f>
        <v/>
      </c>
      <c r="AB25" s="707" t="n">
        <v>0</v>
      </c>
      <c r="AC25" s="707" t="n">
        <v>0</v>
      </c>
      <c r="AD25" s="707" t="n">
        <v>1.481485</v>
      </c>
      <c r="AE25" s="707">
        <f>SUM(AB25:AD25)</f>
        <v/>
      </c>
      <c r="AF25" s="707" t="n">
        <v>66.75825</v>
      </c>
      <c r="AG25" s="271">
        <f>SUM(K25+O25+S25+W25+AA25+AE25+AF25)</f>
        <v/>
      </c>
      <c r="AH25" s="326">
        <f>IF(F25=0,"",K25/(F25/((YEAR(E25)*12+MONTH(E25))-(YEAR(D25)*12+MONTH(D25))+1)))</f>
        <v/>
      </c>
      <c r="AI25" s="326">
        <f>G25/F25</f>
        <v/>
      </c>
      <c r="AJ25" s="708">
        <f>F25-G25</f>
        <v/>
      </c>
      <c r="AK25" s="500" t="n"/>
      <c r="AL25" s="500" t="n"/>
      <c r="AM25" s="500" t="n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26857.431927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48.797589</v>
      </c>
      <c r="M26" s="707" t="n">
        <v>0</v>
      </c>
      <c r="N26" s="707" t="n">
        <v>353.318319</v>
      </c>
      <c r="O26" s="707">
        <f>SUM(L26:N26)</f>
        <v/>
      </c>
      <c r="P26" s="707" t="n">
        <v>2300.387433</v>
      </c>
      <c r="Q26" s="707" t="n">
        <v>0</v>
      </c>
      <c r="R26" s="707" t="n">
        <v>234.231608</v>
      </c>
      <c r="S26" s="707">
        <f>SUM(P26:R26)</f>
        <v/>
      </c>
      <c r="T26" s="707" t="n">
        <v>-6272.243033</v>
      </c>
      <c r="U26" s="707" t="n">
        <v>0</v>
      </c>
      <c r="V26" s="707" t="n">
        <v>210.102519</v>
      </c>
      <c r="W26" s="707">
        <f>SUM(T26:V26)</f>
        <v/>
      </c>
      <c r="X26" s="707" t="n">
        <v>2164.476574</v>
      </c>
      <c r="Y26" s="707" t="n">
        <v>0</v>
      </c>
      <c r="Z26" s="707" t="n">
        <v>365.27682</v>
      </c>
      <c r="AA26" s="707">
        <f>SUM(X26:Z26)</f>
        <v/>
      </c>
      <c r="AB26" s="707" t="n">
        <v>2346.171162</v>
      </c>
      <c r="AC26" s="707" t="n">
        <v>0</v>
      </c>
      <c r="AD26" s="707" t="n">
        <v>187.41719</v>
      </c>
      <c r="AE26" s="707">
        <f>SUM(AB26:AD26)</f>
        <v/>
      </c>
      <c r="AF26" s="707" t="n">
        <v>24919.495747</v>
      </c>
      <c r="AG26" s="271">
        <f>SUM(K26+O26+S26+W26+AA26+AE26+AF26)</f>
        <v/>
      </c>
      <c r="AH26" s="326">
        <f>IF(F26=0,"",K26/(F26/((YEAR(E26)*12+MONTH(E26))-(YEAR(D26)*12+MONTH(D26))+1)))</f>
        <v/>
      </c>
      <c r="AI26" s="326">
        <f>G26/F26</f>
        <v/>
      </c>
      <c r="AJ26" s="708">
        <f>F26-G26</f>
        <v/>
      </c>
      <c r="AK26" s="513" t="n"/>
      <c r="AL26" s="513" t="n"/>
      <c r="AM26" s="513" t="n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710">
        <f>SUM(AC24:AC26)</f>
        <v/>
      </c>
      <c r="AD27" s="710">
        <f>SUM(AD24:AD26)</f>
        <v/>
      </c>
      <c r="AE27" s="710">
        <f>SUM(AE24:AE26)</f>
        <v/>
      </c>
      <c r="AF27" s="710">
        <f>SUM(AF24:AF26)</f>
        <v/>
      </c>
      <c r="AG27" s="333">
        <f>SUM(K27+O27+S27+W27+AA27+AE27+AF27)</f>
        <v/>
      </c>
      <c r="AH27" s="335">
        <f>IF(F27=0,"",K27/(F27/((YEAR(E24)*12+MONTH(E24))-(YEAR(D24)*12+MONTH(D24))+1)))</f>
        <v/>
      </c>
      <c r="AI27" s="336">
        <f>G27/F27</f>
        <v/>
      </c>
      <c r="AJ27" s="715">
        <f>F27-G27</f>
        <v/>
      </c>
      <c r="AK27" s="337">
        <f>AK24</f>
        <v/>
      </c>
      <c r="AL27" s="335">
        <f>AG27/AK24</f>
        <v/>
      </c>
      <c r="AM27" s="712">
        <f>AK24-AG27</f>
        <v/>
      </c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392.606344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129.52368</v>
      </c>
      <c r="M28" s="703" t="n">
        <v>0</v>
      </c>
      <c r="N28" s="703" t="n">
        <v>60.359225</v>
      </c>
      <c r="O28" s="703">
        <f>SUM(L28:N28)</f>
        <v/>
      </c>
      <c r="P28" s="703" t="n">
        <v>0</v>
      </c>
      <c r="Q28" s="703" t="n">
        <v>0</v>
      </c>
      <c r="R28" s="703" t="n">
        <v>26.609284</v>
      </c>
      <c r="S28" s="703">
        <f>SUM(P28:R28)</f>
        <v/>
      </c>
      <c r="T28" s="703" t="n">
        <v>0</v>
      </c>
      <c r="U28" s="703" t="n">
        <v>0</v>
      </c>
      <c r="V28" s="703" t="n">
        <v>25.715569</v>
      </c>
      <c r="W28" s="703">
        <f>SUM(T28:V28)</f>
        <v/>
      </c>
      <c r="X28" s="703" t="n">
        <v>103.23148</v>
      </c>
      <c r="Y28" s="703" t="n">
        <v>0</v>
      </c>
      <c r="Z28" s="703" t="n">
        <v>47.167105</v>
      </c>
      <c r="AA28" s="703">
        <f>SUM(X28:Z28)</f>
        <v/>
      </c>
      <c r="AB28" s="703" t="n">
        <v>51.706393</v>
      </c>
      <c r="AC28" s="703" t="n">
        <v>90.204069</v>
      </c>
      <c r="AD28" s="703" t="n">
        <v>16.925117</v>
      </c>
      <c r="AE28" s="703">
        <f>SUM(AB28:AD28)</f>
        <v/>
      </c>
      <c r="AF28" s="703" t="n">
        <v>193.330405</v>
      </c>
      <c r="AG28" s="724">
        <f>SUM(K28+O28+S28+W28+AA28+AE28+AF28)</f>
        <v/>
      </c>
      <c r="AH28" s="319">
        <f>IF(F28=0,"",K28/(F28/((YEAR(E28)*12+MONTH(E28))-(YEAR(D28)*12+MONTH(D28))+1)))</f>
        <v/>
      </c>
      <c r="AI28" s="319">
        <f>G28/F28</f>
        <v/>
      </c>
      <c r="AJ28" s="724">
        <f>F28-G28</f>
        <v/>
      </c>
      <c r="AK28" s="321">
        <f>SUM(F28:F30)</f>
        <v/>
      </c>
      <c r="AL28" s="322">
        <f>AL31</f>
        <v/>
      </c>
      <c r="AM28" s="725">
        <f>AM31</f>
        <v/>
      </c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</row>
    <row r="29" outlineLevel="1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38682.291621</v>
      </c>
      <c r="H29" s="707" t="n">
        <v>0</v>
      </c>
      <c r="I29" s="707" t="n">
        <v>0</v>
      </c>
      <c r="J29" s="707" t="n">
        <v>0</v>
      </c>
      <c r="K29" s="707">
        <f>SUM(H29:J29)</f>
        <v/>
      </c>
      <c r="L29" s="707" t="n">
        <v>2106.18954</v>
      </c>
      <c r="M29" s="707" t="n">
        <v>2057.0004</v>
      </c>
      <c r="N29" s="707" t="n">
        <v>575.061492</v>
      </c>
      <c r="O29" s="707">
        <f>SUM(L29:N29)</f>
        <v/>
      </c>
      <c r="P29" s="707" t="n">
        <v>536.6088</v>
      </c>
      <c r="Q29" s="707" t="n">
        <v>0</v>
      </c>
      <c r="R29" s="707" t="n">
        <v>722.01536</v>
      </c>
      <c r="S29" s="707">
        <f>SUM(P29:R29)</f>
        <v/>
      </c>
      <c r="T29" s="707" t="n">
        <v>1351.820914</v>
      </c>
      <c r="U29" s="707" t="n">
        <v>20570.004</v>
      </c>
      <c r="V29" s="707" t="n">
        <v>668.034433</v>
      </c>
      <c r="W29" s="707">
        <f>SUM(T29:V29)</f>
        <v/>
      </c>
      <c r="X29" s="707" t="n">
        <v>3314.503374</v>
      </c>
      <c r="Y29" s="707" t="n">
        <v>0</v>
      </c>
      <c r="Z29" s="707" t="n">
        <v>713.569709</v>
      </c>
      <c r="AA29" s="707">
        <f>SUM(X29:Z29)</f>
        <v/>
      </c>
      <c r="AB29" s="707" t="n">
        <v>4769.379014</v>
      </c>
      <c r="AC29" s="707" t="n">
        <v>0</v>
      </c>
      <c r="AD29" s="707" t="n">
        <v>228.136442</v>
      </c>
      <c r="AE29" s="707">
        <f>SUM(AB29:AD29)</f>
        <v/>
      </c>
      <c r="AF29" s="707" t="n">
        <v>1069.968142</v>
      </c>
      <c r="AG29" s="271">
        <f>SUM(K29+O29+S29+W29+AA29+AE29+AF29)</f>
        <v/>
      </c>
      <c r="AH29" s="326">
        <f>IF(F29=0,"",K29/(F29/((YEAR(E29)*12+MONTH(E29))-(YEAR(D29)*12+MONTH(D29))+1)))</f>
        <v/>
      </c>
      <c r="AI29" s="326">
        <f>G29/F29</f>
        <v/>
      </c>
      <c r="AJ29" s="708">
        <f>F29-G29</f>
        <v/>
      </c>
      <c r="AK29" s="500" t="n"/>
      <c r="AL29" s="500" t="n"/>
      <c r="AM29" s="500" t="n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</row>
    <row r="30" outlineLevel="1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16996.429799</v>
      </c>
      <c r="H30" s="707" t="n">
        <v>0</v>
      </c>
      <c r="I30" s="707" t="n">
        <v>0</v>
      </c>
      <c r="J30" s="707" t="n">
        <v>0</v>
      </c>
      <c r="K30" s="707">
        <f>SUM(H30:J30)</f>
        <v/>
      </c>
      <c r="L30" s="707" t="n">
        <v>518.45904</v>
      </c>
      <c r="M30" s="707" t="n">
        <v>1637.52732</v>
      </c>
      <c r="N30" s="707" t="n">
        <v>284.729185</v>
      </c>
      <c r="O30" s="707">
        <f>SUM(L30:N30)</f>
        <v/>
      </c>
      <c r="P30" s="707" t="n">
        <v>994.77807</v>
      </c>
      <c r="Q30" s="707" t="n">
        <v>0</v>
      </c>
      <c r="R30" s="707" t="n">
        <v>185.511372</v>
      </c>
      <c r="S30" s="707">
        <f>SUM(P30:R30)</f>
        <v/>
      </c>
      <c r="T30" s="707" t="n">
        <v>949.2912</v>
      </c>
      <c r="U30" s="707" t="n">
        <v>0</v>
      </c>
      <c r="V30" s="707" t="n">
        <v>144.291309</v>
      </c>
      <c r="W30" s="707">
        <f>SUM(T30:V30)</f>
        <v/>
      </c>
      <c r="X30" s="707" t="n">
        <v>2158.292651</v>
      </c>
      <c r="Y30" s="707" t="n">
        <v>8187.6366</v>
      </c>
      <c r="Z30" s="707" t="n">
        <v>194.447373</v>
      </c>
      <c r="AA30" s="707">
        <f>SUM(X30:Z30)</f>
        <v/>
      </c>
      <c r="AB30" s="707" t="n">
        <v>474.6456</v>
      </c>
      <c r="AC30" s="707" t="n">
        <v>0</v>
      </c>
      <c r="AD30" s="707" t="n">
        <v>122.035472</v>
      </c>
      <c r="AE30" s="707">
        <f>SUM(AB30:AD30)</f>
        <v/>
      </c>
      <c r="AF30" s="707" t="n">
        <v>1144.784607</v>
      </c>
      <c r="AG30" s="271">
        <f>SUM(K30+O30+S30+W30+AA30+AE30+AF30)</f>
        <v/>
      </c>
      <c r="AH30" s="326">
        <f>IF(F30=0,"",K30/(F30/((YEAR(E30)*12+MONTH(E30))-(YEAR(D30)*12+MONTH(D30))+1)))</f>
        <v/>
      </c>
      <c r="AI30" s="326">
        <f>G30/F30</f>
        <v/>
      </c>
      <c r="AJ30" s="708">
        <f>F30-G30</f>
        <v/>
      </c>
      <c r="AK30" s="513" t="n"/>
      <c r="AL30" s="513" t="n"/>
      <c r="AM30" s="513" t="n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</row>
    <row r="31" outlineLevel="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710">
        <f>SUM(Y28:Y30)</f>
        <v/>
      </c>
      <c r="Z31" s="710">
        <f>SUM(Z28:Z30)</f>
        <v/>
      </c>
      <c r="AA31" s="710">
        <f>SUM(AA28:AA30)</f>
        <v/>
      </c>
      <c r="AB31" s="710">
        <f>SUM(AB28:AB30)</f>
        <v/>
      </c>
      <c r="AC31" s="710">
        <f>SUM(AC28:AC30)</f>
        <v/>
      </c>
      <c r="AD31" s="710">
        <f>SUM(AD28:AD30)</f>
        <v/>
      </c>
      <c r="AE31" s="710">
        <f>SUM(AE28:AE30)</f>
        <v/>
      </c>
      <c r="AF31" s="710">
        <f>SUM(AF28:AF30)</f>
        <v/>
      </c>
      <c r="AG31" s="333">
        <f>SUM(K31+O31+S31+W31+AA31+AE31+AF31)</f>
        <v/>
      </c>
      <c r="AH31" s="335">
        <f>IF(F31=0,"",K31/(F31/((YEAR(E28)*12+MONTH(E28))-(YEAR(D28)*12+MONTH(D28))+1)))</f>
        <v/>
      </c>
      <c r="AI31" s="336">
        <f>G31/F31</f>
        <v/>
      </c>
      <c r="AJ31" s="715">
        <f>F31-G31</f>
        <v/>
      </c>
      <c r="AK31" s="337">
        <f>AK28</f>
        <v/>
      </c>
      <c r="AL31" s="335">
        <f>AG31/AK28</f>
        <v/>
      </c>
      <c r="AM31" s="712">
        <f>AK28-AG31</f>
        <v/>
      </c>
      <c r="AN31" s="713" t="inlineStr"/>
      <c r="AO31" s="713" t="inlineStr"/>
      <c r="AP31" s="713" t="inlineStr"/>
      <c r="AQ31" s="713" t="inlineStr"/>
      <c r="AR31" s="713" t="inlineStr"/>
      <c r="AS31" s="713" t="inlineStr"/>
      <c r="AT31" s="713" t="inlineStr"/>
      <c r="AU31" s="713" t="inlineStr"/>
      <c r="AV31" s="713" t="inlineStr"/>
      <c r="AW31" s="713" t="inlineStr"/>
      <c r="AX31" s="713" t="inlineStr"/>
      <c r="AY31" s="713" t="inlineStr"/>
      <c r="AZ31" s="713" t="inlineStr"/>
      <c r="BA31" s="713" t="inlineStr"/>
      <c r="BB31" s="713" t="inlineStr"/>
      <c r="BC31" s="713" t="inlineStr"/>
      <c r="BD31" s="713" t="inlineStr"/>
      <c r="BE31" s="713" t="inlineStr"/>
      <c r="BF31" s="713" t="inlineStr"/>
      <c r="BG31" s="713" t="inlineStr"/>
      <c r="BH31" s="713" t="inlineStr"/>
      <c r="BI31" s="713" t="inlineStr"/>
      <c r="BJ31" s="713" t="inlineStr"/>
      <c r="BK31" s="713" t="inlineStr"/>
      <c r="BL31" s="713" t="inlineStr"/>
      <c r="BM31" s="713" t="inlineStr"/>
    </row>
    <row r="32" outlineLevel="1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8505.362580000001</v>
      </c>
      <c r="H32" s="703" t="n">
        <v>0</v>
      </c>
      <c r="I32" s="703" t="n">
        <v>0</v>
      </c>
      <c r="J32" s="703" t="n">
        <v>0</v>
      </c>
      <c r="K32" s="703">
        <f>SUM(H32:J32)</f>
        <v/>
      </c>
      <c r="L32" s="703" t="n">
        <v>2008.1841</v>
      </c>
      <c r="M32" s="703" t="n">
        <v>646.53732</v>
      </c>
      <c r="N32" s="703" t="n">
        <v>131.738053</v>
      </c>
      <c r="O32" s="703">
        <f>SUM(L32:N32)</f>
        <v/>
      </c>
      <c r="P32" s="703" t="n">
        <v>1610.465688</v>
      </c>
      <c r="Q32" s="703" t="n">
        <v>110.192882</v>
      </c>
      <c r="R32" s="703" t="n">
        <v>23.921364</v>
      </c>
      <c r="S32" s="703">
        <f>SUM(P32:R32)</f>
        <v/>
      </c>
      <c r="T32" s="703" t="n">
        <v>1008.99006</v>
      </c>
      <c r="U32" s="703" t="n">
        <v>0</v>
      </c>
      <c r="V32" s="703" t="n">
        <v>42.539952</v>
      </c>
      <c r="W32" s="703">
        <f>SUM(T32:V32)</f>
        <v/>
      </c>
      <c r="X32" s="703" t="n">
        <v>0</v>
      </c>
      <c r="Y32" s="703" t="n">
        <v>342.296351</v>
      </c>
      <c r="Z32" s="703" t="n">
        <v>99.729601</v>
      </c>
      <c r="AA32" s="703">
        <f>SUM(X32:Z32)</f>
        <v/>
      </c>
      <c r="AB32" s="703" t="n">
        <v>440.8209</v>
      </c>
      <c r="AC32" s="703" t="n">
        <v>0</v>
      </c>
      <c r="AD32" s="703" t="n">
        <v>27.757259</v>
      </c>
      <c r="AE32" s="703">
        <f>SUM(AB32:AD32)</f>
        <v/>
      </c>
      <c r="AF32" s="703" t="n">
        <v>1313.905711</v>
      </c>
      <c r="AG32" s="724">
        <f>SUM(K32+O32+S32+W32+AA32+AE32+AF32)</f>
        <v/>
      </c>
      <c r="AH32" s="319">
        <f>IF(F32=0,"",K32/(F32/((YEAR(E32)*12+MONTH(E32))-(YEAR(D32)*12+MONTH(D32))+1)))</f>
        <v/>
      </c>
      <c r="AI32" s="319">
        <f>G32/F32</f>
        <v/>
      </c>
      <c r="AJ32" s="724">
        <f>F32-G32</f>
        <v/>
      </c>
      <c r="AK32" s="321">
        <f>SUM(F32:F33)</f>
        <v/>
      </c>
      <c r="AL32" s="322">
        <f>AL34</f>
        <v/>
      </c>
      <c r="AM32" s="725">
        <f>AM34</f>
        <v/>
      </c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</row>
    <row r="33" outlineLevel="1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48399.243659</v>
      </c>
      <c r="H33" s="707" t="n">
        <v>0</v>
      </c>
      <c r="I33" s="707" t="n">
        <v>0</v>
      </c>
      <c r="J33" s="707" t="n">
        <v>0</v>
      </c>
      <c r="K33" s="707">
        <f>SUM(H33:J33)</f>
        <v/>
      </c>
      <c r="L33" s="707" t="n">
        <v>7286.709456</v>
      </c>
      <c r="M33" s="707" t="n">
        <v>0</v>
      </c>
      <c r="N33" s="707" t="n">
        <v>539.369584</v>
      </c>
      <c r="O33" s="707">
        <f>SUM(L33:N33)</f>
        <v/>
      </c>
      <c r="P33" s="707" t="n">
        <v>8333.122670999999</v>
      </c>
      <c r="Q33" s="707" t="n">
        <v>0</v>
      </c>
      <c r="R33" s="707" t="n">
        <v>378.574951</v>
      </c>
      <c r="S33" s="707">
        <f>SUM(P33:R33)</f>
        <v/>
      </c>
      <c r="T33" s="707" t="n">
        <v>1259.210798</v>
      </c>
      <c r="U33" s="707" t="n">
        <v>3101.9274</v>
      </c>
      <c r="V33" s="707" t="n">
        <v>318.667286</v>
      </c>
      <c r="W33" s="707">
        <f>SUM(T33:V33)</f>
        <v/>
      </c>
      <c r="X33" s="707" t="n">
        <v>10803.329409</v>
      </c>
      <c r="Y33" s="707" t="n">
        <v>0</v>
      </c>
      <c r="Z33" s="707" t="n">
        <v>396.373158</v>
      </c>
      <c r="AA33" s="707">
        <f>SUM(X33:Z33)</f>
        <v/>
      </c>
      <c r="AB33" s="707" t="n">
        <v>6594.535422</v>
      </c>
      <c r="AC33" s="707" t="n">
        <v>0</v>
      </c>
      <c r="AD33" s="707" t="n">
        <v>271.914403</v>
      </c>
      <c r="AE33" s="707">
        <f>SUM(AB33:AD33)</f>
        <v/>
      </c>
      <c r="AF33" s="707" t="n">
        <v>9115.509121999999</v>
      </c>
      <c r="AG33" s="271">
        <f>SUM(K33+O33+S33+W33+AA33+AE33+AF33)</f>
        <v/>
      </c>
      <c r="AH33" s="326">
        <f>IF(F33=0,"",K33/(F33/((YEAR(E33)*12+MONTH(E33))-(YEAR(D33)*12+MONTH(D33))+1)))</f>
        <v/>
      </c>
      <c r="AI33" s="326">
        <f>G33/F33</f>
        <v/>
      </c>
      <c r="AJ33" s="708">
        <f>F33-G33</f>
        <v/>
      </c>
      <c r="AK33" s="513" t="n"/>
      <c r="AL33" s="513" t="n"/>
      <c r="AM33" s="513" t="n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</row>
    <row r="34" outlineLevel="1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710">
        <f>SUM(Y32:Y33)</f>
        <v/>
      </c>
      <c r="Z34" s="710">
        <f>SUM(Z32:Z33)</f>
        <v/>
      </c>
      <c r="AA34" s="710">
        <f>SUM(AA32:AA33)</f>
        <v/>
      </c>
      <c r="AB34" s="710">
        <f>SUM(AB32:AB33)</f>
        <v/>
      </c>
      <c r="AC34" s="710">
        <f>SUM(AC32:AC33)</f>
        <v/>
      </c>
      <c r="AD34" s="710">
        <f>SUM(AD32:AD33)</f>
        <v/>
      </c>
      <c r="AE34" s="710">
        <f>SUM(AE32:AE33)</f>
        <v/>
      </c>
      <c r="AF34" s="710">
        <f>SUM(AF32:AF33)</f>
        <v/>
      </c>
      <c r="AG34" s="333">
        <f>SUM(K34+O34+S34+W34+AA34+AE34+AF34)</f>
        <v/>
      </c>
      <c r="AH34" s="335">
        <f>IF(F34=0,"",K34/(F34/((YEAR(E32)*12+MONTH(E32))-(YEAR(D32)*12+MONTH(D32))+1)))</f>
        <v/>
      </c>
      <c r="AI34" s="336">
        <f>G34/F34</f>
        <v/>
      </c>
      <c r="AJ34" s="715">
        <f>F34-G34</f>
        <v/>
      </c>
      <c r="AK34" s="337">
        <f>AK32</f>
        <v/>
      </c>
      <c r="AL34" s="335">
        <f>AG34/AK32</f>
        <v/>
      </c>
      <c r="AM34" s="712">
        <f>AK32-AG34</f>
        <v/>
      </c>
      <c r="AN34" s="713" t="inlineStr"/>
      <c r="AO34" s="713" t="inlineStr"/>
      <c r="AP34" s="713" t="inlineStr"/>
      <c r="AQ34" s="713" t="inlineStr"/>
      <c r="AR34" s="713" t="inlineStr"/>
      <c r="AS34" s="713" t="inlineStr"/>
      <c r="AT34" s="713" t="inlineStr"/>
      <c r="AU34" s="713" t="inlineStr"/>
      <c r="AV34" s="713" t="inlineStr"/>
      <c r="AW34" s="713" t="inlineStr"/>
      <c r="AX34" s="713" t="inlineStr"/>
      <c r="AY34" s="713" t="inlineStr"/>
      <c r="AZ34" s="713" t="inlineStr"/>
      <c r="BA34" s="713" t="inlineStr"/>
      <c r="BB34" s="713" t="inlineStr"/>
      <c r="BC34" s="713" t="inlineStr"/>
      <c r="BD34" s="713" t="inlineStr"/>
      <c r="BE34" s="713" t="inlineStr"/>
      <c r="BF34" s="713" t="inlineStr"/>
      <c r="BG34" s="713" t="inlineStr"/>
      <c r="BH34" s="713" t="inlineStr"/>
      <c r="BI34" s="713" t="inlineStr"/>
      <c r="BJ34" s="713" t="inlineStr"/>
      <c r="BK34" s="713" t="inlineStr"/>
      <c r="BL34" s="713" t="inlineStr"/>
      <c r="BM34" s="713" t="inlineStr"/>
    </row>
    <row r="35" outlineLevel="1" ht="14.25" customFormat="1" customHeight="1" s="483">
      <c r="A35" s="703" t="inlineStr">
        <is>
          <t>理财师005</t>
        </is>
      </c>
      <c r="B35" s="703" t="inlineStr">
        <is>
          <t>理财师030</t>
        </is>
      </c>
      <c r="C35" s="703" t="inlineStr">
        <is>
          <t>私人财富管理顾问PWA1-1</t>
        </is>
      </c>
      <c r="D35" s="693" t="n">
        <v>46195</v>
      </c>
      <c r="E35" s="693" t="n">
        <v>46377</v>
      </c>
      <c r="F35" s="703" t="n">
        <v>7461.34</v>
      </c>
      <c r="G35" s="703" t="n">
        <v>248.422704</v>
      </c>
      <c r="H35" s="703" t="n">
        <v>0</v>
      </c>
      <c r="I35" s="703" t="n">
        <v>0</v>
      </c>
      <c r="J35" s="703" t="n">
        <v>0</v>
      </c>
      <c r="K35" s="703">
        <f>SUM(H35:J35)</f>
        <v/>
      </c>
      <c r="L35" s="703" t="n">
        <v>247.0689</v>
      </c>
      <c r="M35" s="703" t="n">
        <v>0</v>
      </c>
      <c r="N35" s="703" t="n">
        <v>1.353804</v>
      </c>
      <c r="O35" s="703">
        <f>SUM(L35:N35)</f>
        <v/>
      </c>
      <c r="P35" s="703" t="n">
        <v>0</v>
      </c>
      <c r="Q35" s="703" t="n">
        <v>0</v>
      </c>
      <c r="R35" s="703" t="n">
        <v>0</v>
      </c>
      <c r="S35" s="703">
        <f>SUM(P35:R35)</f>
        <v/>
      </c>
      <c r="T35" s="703" t="n">
        <v>0</v>
      </c>
      <c r="U35" s="703" t="n">
        <v>0</v>
      </c>
      <c r="V35" s="703" t="n">
        <v>0</v>
      </c>
      <c r="W35" s="703">
        <f>SUM(T35:V35)</f>
        <v/>
      </c>
      <c r="X35" s="703" t="n">
        <v>0</v>
      </c>
      <c r="Y35" s="703" t="n">
        <v>0</v>
      </c>
      <c r="Z35" s="703" t="n">
        <v>0</v>
      </c>
      <c r="AA35" s="703">
        <f>SUM(X35:Z35)</f>
        <v/>
      </c>
      <c r="AB35" s="703" t="n">
        <v>0</v>
      </c>
      <c r="AC35" s="703" t="n">
        <v>0</v>
      </c>
      <c r="AD35" s="703" t="n">
        <v>0</v>
      </c>
      <c r="AE35" s="703">
        <f>SUM(AB35:AD35)</f>
        <v/>
      </c>
      <c r="AF35" s="703" t="n">
        <v>0</v>
      </c>
      <c r="AG35" s="724">
        <f>SUM(K35+O35+S35+W35+AA35+AE35+AF35)</f>
        <v/>
      </c>
      <c r="AH35" s="319">
        <f>IF(F35=0,"",K35/(F35/((YEAR(E35)*12+MONTH(E35))-(YEAR(D35)*12+MONTH(D35))+1)))</f>
        <v/>
      </c>
      <c r="AI35" s="319">
        <f>G35/F35</f>
        <v/>
      </c>
      <c r="AJ35" s="724">
        <f>F35-G35</f>
        <v/>
      </c>
      <c r="AK35" s="321">
        <f>SUM(F35:F37)</f>
        <v/>
      </c>
      <c r="AL35" s="322">
        <f>AL38</f>
        <v/>
      </c>
      <c r="AM35" s="725">
        <f>AM38</f>
        <v/>
      </c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</row>
    <row r="36" outlineLevel="1" ht="14.25" customFormat="1" customHeight="1" s="483">
      <c r="A36" s="500" t="n"/>
      <c r="B36" s="707" t="inlineStr">
        <is>
          <t>理财师026</t>
        </is>
      </c>
      <c r="C36" s="707" t="inlineStr">
        <is>
          <t>观察期PWA0-1</t>
        </is>
      </c>
      <c r="D36" s="676" t="n">
        <v>46113</v>
      </c>
      <c r="E36" s="676" t="n">
        <v>46203</v>
      </c>
      <c r="F36" s="707" t="n">
        <v>1943.13</v>
      </c>
      <c r="G36" s="707" t="n">
        <v>902.785562</v>
      </c>
      <c r="H36" s="707" t="n">
        <v>0</v>
      </c>
      <c r="I36" s="707" t="n">
        <v>0</v>
      </c>
      <c r="J36" s="707" t="n">
        <v>0</v>
      </c>
      <c r="K36" s="707">
        <f>SUM(H36:J36)</f>
        <v/>
      </c>
      <c r="L36" s="707" t="n">
        <v>288.6936</v>
      </c>
      <c r="M36" s="707" t="n">
        <v>0</v>
      </c>
      <c r="N36" s="707" t="n">
        <v>29.506523</v>
      </c>
      <c r="O36" s="707">
        <f>SUM(L36:N36)</f>
        <v/>
      </c>
      <c r="P36" s="707" t="n">
        <v>114.611359</v>
      </c>
      <c r="Q36" s="707" t="n">
        <v>0</v>
      </c>
      <c r="R36" s="707" t="n">
        <v>18.055825</v>
      </c>
      <c r="S36" s="707">
        <f>SUM(P36:R36)</f>
        <v/>
      </c>
      <c r="T36" s="707" t="n">
        <v>437.370804</v>
      </c>
      <c r="U36" s="707" t="n">
        <v>0</v>
      </c>
      <c r="V36" s="707" t="n">
        <v>14.547451</v>
      </c>
      <c r="W36" s="707">
        <f>SUM(T36:V36)</f>
        <v/>
      </c>
      <c r="X36" s="707" t="n">
        <v>809.929895</v>
      </c>
      <c r="Y36" s="707" t="n">
        <v>0</v>
      </c>
      <c r="Z36" s="707" t="n">
        <v>47.501776</v>
      </c>
      <c r="AA36" s="707">
        <f>SUM(X36:Z36)</f>
        <v/>
      </c>
      <c r="AB36" s="707" t="n">
        <v>176.20858</v>
      </c>
      <c r="AC36" s="707" t="n">
        <v>0</v>
      </c>
      <c r="AD36" s="707" t="n">
        <v>11.404098</v>
      </c>
      <c r="AE36" s="707">
        <f>SUM(AB36:AD36)</f>
        <v/>
      </c>
      <c r="AF36" s="707" t="n">
        <v>12.282809</v>
      </c>
      <c r="AG36" s="271">
        <f>SUM(K36+O36+S36+W36+AA36+AE36+AF36)</f>
        <v/>
      </c>
      <c r="AH36" s="326">
        <f>IF(F36=0,"",K36/(F36/((YEAR(E36)*12+MONTH(E36))-(YEAR(D36)*12+MONTH(D36))+1)))</f>
        <v/>
      </c>
      <c r="AI36" s="326">
        <f>G36/F36</f>
        <v/>
      </c>
      <c r="AJ36" s="708">
        <f>F36-G36</f>
        <v/>
      </c>
      <c r="AK36" s="500" t="n"/>
      <c r="AL36" s="500" t="n"/>
      <c r="AM36" s="500" t="n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15054.841018</v>
      </c>
      <c r="H37" s="707" t="n">
        <v>0</v>
      </c>
      <c r="I37" s="707" t="n">
        <v>0</v>
      </c>
      <c r="J37" s="707" t="n">
        <v>0</v>
      </c>
      <c r="K37" s="707">
        <f>SUM(H37:J37)</f>
        <v/>
      </c>
      <c r="L37" s="707" t="n">
        <v>3761.446338</v>
      </c>
      <c r="M37" s="707" t="n">
        <v>0</v>
      </c>
      <c r="N37" s="707" t="n">
        <v>456.121636</v>
      </c>
      <c r="O37" s="707">
        <f>SUM(L37:N37)</f>
        <v/>
      </c>
      <c r="P37" s="707" t="n">
        <v>907.591957</v>
      </c>
      <c r="Q37" s="707" t="n">
        <v>0</v>
      </c>
      <c r="R37" s="707" t="n">
        <v>364.243787</v>
      </c>
      <c r="S37" s="707">
        <f>SUM(P37:R37)</f>
        <v/>
      </c>
      <c r="T37" s="707" t="n">
        <v>1870.349984</v>
      </c>
      <c r="U37" s="707" t="n">
        <v>2312.474666</v>
      </c>
      <c r="V37" s="707" t="n">
        <v>319.48223</v>
      </c>
      <c r="W37" s="707">
        <f>SUM(T37:V37)</f>
        <v/>
      </c>
      <c r="X37" s="707" t="n">
        <v>731.292658</v>
      </c>
      <c r="Y37" s="707" t="n">
        <v>1925.150771</v>
      </c>
      <c r="Z37" s="707" t="n">
        <v>383.775324</v>
      </c>
      <c r="AA37" s="707">
        <f>SUM(X37:Z37)</f>
        <v/>
      </c>
      <c r="AB37" s="707" t="n">
        <v>1738.204897</v>
      </c>
      <c r="AC37" s="707" t="n">
        <v>0</v>
      </c>
      <c r="AD37" s="707" t="n">
        <v>284.706769</v>
      </c>
      <c r="AE37" s="707">
        <f>SUM(AB37:AD37)</f>
        <v/>
      </c>
      <c r="AF37" s="707" t="n">
        <v>1538.392041</v>
      </c>
      <c r="AG37" s="271">
        <f>SUM(K37+O37+S37+W37+AA37+AE37+AF37)</f>
        <v/>
      </c>
      <c r="AH37" s="326">
        <f>IF(F37=0,"",K37/(F37/((YEAR(E37)*12+MONTH(E37))-(YEAR(D37)*12+MONTH(D37))+1)))</f>
        <v/>
      </c>
      <c r="AI37" s="326">
        <f>G37/F37</f>
        <v/>
      </c>
      <c r="AJ37" s="708">
        <f>F37-G37</f>
        <v/>
      </c>
      <c r="AK37" s="513" t="n"/>
      <c r="AL37" s="513" t="n"/>
      <c r="AM37" s="513" t="n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SUM(F35:F37)</f>
        <v/>
      </c>
      <c r="G38" s="710">
        <f>SUM(G35:G37)</f>
        <v/>
      </c>
      <c r="H38" s="710">
        <f>SUM(H35:H37)</f>
        <v/>
      </c>
      <c r="I38" s="710">
        <f>SUM(I35:I37)</f>
        <v/>
      </c>
      <c r="J38" s="710">
        <f>SUM(J35:J37)</f>
        <v/>
      </c>
      <c r="K38" s="710">
        <f>SUM(K35:K37)</f>
        <v/>
      </c>
      <c r="L38" s="710">
        <f>SUM(L35:L37)</f>
        <v/>
      </c>
      <c r="M38" s="710">
        <f>SUM(M35:M37)</f>
        <v/>
      </c>
      <c r="N38" s="710">
        <f>SUM(N35:N37)</f>
        <v/>
      </c>
      <c r="O38" s="710">
        <f>SUM(O35:O37)</f>
        <v/>
      </c>
      <c r="P38" s="710">
        <f>SUM(P35:P37)</f>
        <v/>
      </c>
      <c r="Q38" s="710">
        <f>SUM(Q35:Q37)</f>
        <v/>
      </c>
      <c r="R38" s="710">
        <f>SUM(R35:R37)</f>
        <v/>
      </c>
      <c r="S38" s="710">
        <f>SUM(S35:S37)</f>
        <v/>
      </c>
      <c r="T38" s="710">
        <f>SUM(T35:T37)</f>
        <v/>
      </c>
      <c r="U38" s="710">
        <f>SUM(U35:U37)</f>
        <v/>
      </c>
      <c r="V38" s="710">
        <f>SUM(V35:V37)</f>
        <v/>
      </c>
      <c r="W38" s="710">
        <f>SUM(W35:W37)</f>
        <v/>
      </c>
      <c r="X38" s="710">
        <f>SUM(X35:X37)</f>
        <v/>
      </c>
      <c r="Y38" s="710">
        <f>SUM(Y35:Y37)</f>
        <v/>
      </c>
      <c r="Z38" s="710">
        <f>SUM(Z35:Z37)</f>
        <v/>
      </c>
      <c r="AA38" s="710">
        <f>SUM(AA35:AA37)</f>
        <v/>
      </c>
      <c r="AB38" s="710">
        <f>SUM(AB35:AB37)</f>
        <v/>
      </c>
      <c r="AC38" s="710">
        <f>SUM(AC35:AC37)</f>
        <v/>
      </c>
      <c r="AD38" s="710">
        <f>SUM(AD35:AD37)</f>
        <v/>
      </c>
      <c r="AE38" s="710">
        <f>SUM(AE35:AE37)</f>
        <v/>
      </c>
      <c r="AF38" s="710">
        <f>SUM(AF35:AF37)</f>
        <v/>
      </c>
      <c r="AG38" s="711">
        <f>SUM(K38+O38+S38+W38+AA38+AE38+AF38)</f>
        <v/>
      </c>
      <c r="AH38" s="335">
        <f>IF(F38=0,"",K38/(F38/((YEAR(E35)*12+MONTH(E35))-(YEAR(D35)*12+MONTH(D35))+1)))</f>
        <v/>
      </c>
      <c r="AI38" s="336">
        <f>G38/F38</f>
        <v/>
      </c>
      <c r="AJ38" s="711">
        <f>F38-G38</f>
        <v/>
      </c>
      <c r="AK38" s="337">
        <f>AK35</f>
        <v/>
      </c>
      <c r="AL38" s="335">
        <f>AG38/AK35</f>
        <v/>
      </c>
      <c r="AM38" s="718">
        <f>AK35-AG38</f>
        <v/>
      </c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  <c r="BJ38" s="713" t="inlineStr"/>
      <c r="BK38" s="713" t="inlineStr"/>
      <c r="BL38" s="713" t="inlineStr"/>
      <c r="BM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4549.955946</v>
      </c>
      <c r="H39" s="703" t="n">
        <v>0</v>
      </c>
      <c r="I39" s="703" t="n">
        <v>0</v>
      </c>
      <c r="J39" s="703" t="n">
        <v>0</v>
      </c>
      <c r="K39" s="703">
        <f>SUM(H39:J39)</f>
        <v/>
      </c>
      <c r="L39" s="703" t="n">
        <v>564.94934</v>
      </c>
      <c r="M39" s="703" t="n">
        <v>0</v>
      </c>
      <c r="N39" s="703" t="n">
        <v>24.288755</v>
      </c>
      <c r="O39" s="703">
        <f>SUM(L39:N39)</f>
        <v/>
      </c>
      <c r="P39" s="703" t="n">
        <v>0</v>
      </c>
      <c r="Q39" s="703" t="n">
        <v>3092.4036</v>
      </c>
      <c r="R39" s="703" t="n">
        <v>61.007408</v>
      </c>
      <c r="S39" s="703">
        <f>SUM(P39:R39)</f>
        <v/>
      </c>
      <c r="T39" s="703" t="n">
        <v>178.04748</v>
      </c>
      <c r="U39" s="703" t="n">
        <v>0</v>
      </c>
      <c r="V39" s="703" t="n">
        <v>32.11807</v>
      </c>
      <c r="W39" s="703">
        <f>SUM(T39:V39)</f>
        <v/>
      </c>
      <c r="X39" s="703" t="n">
        <v>47.229437</v>
      </c>
      <c r="Y39" s="703" t="n">
        <v>0</v>
      </c>
      <c r="Z39" s="703" t="n">
        <v>24.120644</v>
      </c>
      <c r="AA39" s="703">
        <f>SUM(X39:Z39)</f>
        <v/>
      </c>
      <c r="AB39" s="703" t="n">
        <v>524.574731</v>
      </c>
      <c r="AC39" s="703" t="n">
        <v>0</v>
      </c>
      <c r="AD39" s="703" t="n">
        <v>1.216481</v>
      </c>
      <c r="AE39" s="703">
        <f>SUM(AB39:AD39)</f>
        <v/>
      </c>
      <c r="AF39" s="703" t="n">
        <v>0</v>
      </c>
      <c r="AG39" s="318">
        <f>SUM(K39+O39+S39+W39+AA39+AE39+AF39)</f>
        <v/>
      </c>
      <c r="AH39" s="319">
        <f>IF(F39=0,"",K39/(F39/((YEAR(E39)*12+MONTH(E39))-(YEAR(D39)*12+MONTH(D39))+1)))</f>
        <v/>
      </c>
      <c r="AI39" s="319">
        <f>G39/F39</f>
        <v/>
      </c>
      <c r="AJ39" s="704">
        <f>F39-G39</f>
        <v/>
      </c>
      <c r="AK39" s="321">
        <f>SUM(F39:F40)</f>
        <v/>
      </c>
      <c r="AL39" s="322">
        <f>AL41</f>
        <v/>
      </c>
      <c r="AM39" s="717">
        <f>AM41</f>
        <v/>
      </c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30595.833432</v>
      </c>
      <c r="H40" s="707" t="n">
        <v>0</v>
      </c>
      <c r="I40" s="707" t="n">
        <v>0</v>
      </c>
      <c r="J40" s="707" t="n">
        <v>0</v>
      </c>
      <c r="K40" s="707">
        <f>SUM(H40:J40)</f>
        <v/>
      </c>
      <c r="L40" s="707" t="n">
        <v>3874.376797</v>
      </c>
      <c r="M40" s="707" t="n">
        <v>0</v>
      </c>
      <c r="N40" s="707" t="n">
        <v>355.339426</v>
      </c>
      <c r="O40" s="707">
        <f>SUM(L40:N40)</f>
        <v/>
      </c>
      <c r="P40" s="707" t="n">
        <v>5263.972173</v>
      </c>
      <c r="Q40" s="707" t="n">
        <v>1110.4548</v>
      </c>
      <c r="R40" s="707" t="n">
        <v>271.92657</v>
      </c>
      <c r="S40" s="707">
        <f>SUM(P40:R40)</f>
        <v/>
      </c>
      <c r="T40" s="707" t="n">
        <v>3533.62581</v>
      </c>
      <c r="U40" s="707" t="n">
        <v>2435.06874</v>
      </c>
      <c r="V40" s="707" t="n">
        <v>188.462147</v>
      </c>
      <c r="W40" s="707">
        <f>SUM(T40:V40)</f>
        <v/>
      </c>
      <c r="X40" s="707" t="n">
        <v>9546.464904</v>
      </c>
      <c r="Y40" s="707" t="n">
        <v>0</v>
      </c>
      <c r="Z40" s="707" t="n">
        <v>401.214551</v>
      </c>
      <c r="AA40" s="707">
        <f>SUM(X40:Z40)</f>
        <v/>
      </c>
      <c r="AB40" s="707" t="n">
        <v>1081.878995</v>
      </c>
      <c r="AC40" s="707" t="n">
        <v>523.50012</v>
      </c>
      <c r="AD40" s="707" t="n">
        <v>135.589522</v>
      </c>
      <c r="AE40" s="707">
        <f>SUM(AB40:AD40)</f>
        <v/>
      </c>
      <c r="AF40" s="707" t="n">
        <v>1873.958877</v>
      </c>
      <c r="AG40" s="271">
        <f>SUM(K40+O40+S40+W40+AA40+AE40+AF40)</f>
        <v/>
      </c>
      <c r="AH40" s="326">
        <f>IF(F40=0,"",K40/(F40/((YEAR(E40)*12+MONTH(E40))-(YEAR(D40)*12+MONTH(D40))+1)))</f>
        <v/>
      </c>
      <c r="AI40" s="326">
        <f>G40/F40</f>
        <v/>
      </c>
      <c r="AJ40" s="708">
        <f>F40-G40</f>
        <v/>
      </c>
      <c r="AK40" s="513" t="n"/>
      <c r="AL40" s="513" t="n"/>
      <c r="AM40" s="513" t="n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0">
        <f>SUM(AC39:AC40)</f>
        <v/>
      </c>
      <c r="AD41" s="710">
        <f>SUM(AD39:AD40)</f>
        <v/>
      </c>
      <c r="AE41" s="710">
        <f>SUM(AE39:AE40)</f>
        <v/>
      </c>
      <c r="AF41" s="710">
        <f>SUM(AF39:AF40)</f>
        <v/>
      </c>
      <c r="AG41" s="711">
        <f>SUM(K41+O41+S41+W41+AA41+AE41+AF41)</f>
        <v/>
      </c>
      <c r="AH41" s="335">
        <f>IF(F41=0,"",K41/(F41/((YEAR(E39)*12+MONTH(E39))-(YEAR(D39)*12+MONTH(D39))+1)))</f>
        <v/>
      </c>
      <c r="AI41" s="336">
        <f>G41/F41</f>
        <v/>
      </c>
      <c r="AJ41" s="711">
        <f>F41-G41</f>
        <v/>
      </c>
      <c r="AK41" s="337">
        <f>AK39</f>
        <v/>
      </c>
      <c r="AL41" s="335">
        <f>AG41/AK39</f>
        <v/>
      </c>
      <c r="AM41" s="718">
        <f>AK39-AG41</f>
        <v/>
      </c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  <c r="BJ41" s="713" t="inlineStr"/>
      <c r="BK41" s="713" t="inlineStr"/>
      <c r="BL41" s="713" t="inlineStr"/>
      <c r="BM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20138.001648</v>
      </c>
      <c r="H42" s="703" t="n">
        <v>280.06875</v>
      </c>
      <c r="I42" s="703" t="n">
        <v>0</v>
      </c>
      <c r="J42" s="703" t="n">
        <v>0</v>
      </c>
      <c r="K42" s="703">
        <f>SUM(H42:J42)</f>
        <v/>
      </c>
      <c r="L42" s="703" t="n">
        <v>2671.888277</v>
      </c>
      <c r="M42" s="703" t="n">
        <v>384.193382</v>
      </c>
      <c r="N42" s="703" t="n">
        <v>658.258825</v>
      </c>
      <c r="O42" s="703">
        <f>SUM(L42:N42)</f>
        <v/>
      </c>
      <c r="P42" s="703" t="n">
        <v>3250.598551</v>
      </c>
      <c r="Q42" s="703" t="n">
        <v>241.63794</v>
      </c>
      <c r="R42" s="703" t="n">
        <v>443.427462</v>
      </c>
      <c r="S42" s="703">
        <f>SUM(P42:R42)</f>
        <v/>
      </c>
      <c r="T42" s="703" t="n">
        <v>1492.14231</v>
      </c>
      <c r="U42" s="703" t="n">
        <v>0</v>
      </c>
      <c r="V42" s="703" t="n">
        <v>381.121236</v>
      </c>
      <c r="W42" s="703">
        <f>SUM(T42:V42)</f>
        <v/>
      </c>
      <c r="X42" s="703" t="n">
        <v>2747.788321</v>
      </c>
      <c r="Y42" s="703" t="n">
        <v>0</v>
      </c>
      <c r="Z42" s="703" t="n">
        <v>613.27548</v>
      </c>
      <c r="AA42" s="703">
        <f>SUM(X42:Z42)</f>
        <v/>
      </c>
      <c r="AB42" s="703" t="n">
        <v>1566.390968</v>
      </c>
      <c r="AC42" s="703" t="n">
        <v>1037.679365</v>
      </c>
      <c r="AD42" s="703" t="n">
        <v>313.732955</v>
      </c>
      <c r="AE42" s="703">
        <f>SUM(AB42:AD42)</f>
        <v/>
      </c>
      <c r="AF42" s="703" t="n">
        <v>4335.866577</v>
      </c>
      <c r="AG42" s="318">
        <f>SUM(K42+O42+S42+W42+AA42+AE42+AF42)</f>
        <v/>
      </c>
      <c r="AH42" s="319">
        <f>IF(F42=0,"",K42/(F42/((YEAR(E42)*12+MONTH(E42))-(YEAR(D42)*12+MONTH(D42))+1)))</f>
        <v/>
      </c>
      <c r="AI42" s="319">
        <f>G42/F42</f>
        <v/>
      </c>
      <c r="AJ42" s="704">
        <f>F42-G42</f>
        <v/>
      </c>
      <c r="AK42" s="321">
        <f>SUM(F42:F46)</f>
        <v/>
      </c>
      <c r="AL42" s="322">
        <f>AL47</f>
        <v/>
      </c>
      <c r="AM42" s="717">
        <f>AM47</f>
        <v/>
      </c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20188.11911</v>
      </c>
      <c r="H43" s="707" t="n">
        <v>0</v>
      </c>
      <c r="I43" s="707" t="n">
        <v>0</v>
      </c>
      <c r="J43" s="707" t="n">
        <v>0</v>
      </c>
      <c r="K43" s="707">
        <f>SUM(H43:J43)</f>
        <v/>
      </c>
      <c r="L43" s="707" t="n">
        <v>3060.639999</v>
      </c>
      <c r="M43" s="707" t="n">
        <v>0</v>
      </c>
      <c r="N43" s="707" t="n">
        <v>1897.773763</v>
      </c>
      <c r="O43" s="707">
        <f>SUM(L43:N43)</f>
        <v/>
      </c>
      <c r="P43" s="707" t="n">
        <v>2579.146174</v>
      </c>
      <c r="Q43" s="707" t="n">
        <v>2029.71366</v>
      </c>
      <c r="R43" s="707" t="n">
        <v>1776.262456</v>
      </c>
      <c r="S43" s="707">
        <f>SUM(P43:R43)</f>
        <v/>
      </c>
      <c r="T43" s="707" t="n">
        <v>567.268131</v>
      </c>
      <c r="U43" s="707" t="n">
        <v>0</v>
      </c>
      <c r="V43" s="707" t="n">
        <v>1668.680328</v>
      </c>
      <c r="W43" s="707">
        <f>SUM(T43:V43)</f>
        <v/>
      </c>
      <c r="X43" s="707" t="n">
        <v>1550.383391</v>
      </c>
      <c r="Y43" s="707" t="n">
        <v>0</v>
      </c>
      <c r="Z43" s="707" t="n">
        <v>2273.498356</v>
      </c>
      <c r="AA43" s="707">
        <f>SUM(X43:Z43)</f>
        <v/>
      </c>
      <c r="AB43" s="707" t="n">
        <v>1396.194268</v>
      </c>
      <c r="AC43" s="707" t="n">
        <v>0</v>
      </c>
      <c r="AD43" s="707" t="n">
        <v>1388.558583</v>
      </c>
      <c r="AE43" s="707">
        <f>SUM(AB43:AD43)</f>
        <v/>
      </c>
      <c r="AF43" s="707" t="n">
        <v>7202.586607</v>
      </c>
      <c r="AG43" s="271">
        <f>SUM(K43+O43+S43+W43+AA43+AE43+AF43)</f>
        <v/>
      </c>
      <c r="AH43" s="326">
        <f>IF(F43=0,"",K43/(F43/((YEAR(E43)*12+MONTH(E43))-(YEAR(D43)*12+MONTH(D43))+1)))</f>
        <v/>
      </c>
      <c r="AI43" s="326">
        <f>G43/F43</f>
        <v/>
      </c>
      <c r="AJ43" s="708">
        <f>F43-G43</f>
        <v/>
      </c>
      <c r="AK43" s="500" t="n"/>
      <c r="AL43" s="500" t="n"/>
      <c r="AM43" s="500" t="n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1189.566397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644.8338</v>
      </c>
      <c r="M44" s="707" t="n">
        <v>64.736256</v>
      </c>
      <c r="N44" s="707" t="n">
        <v>38.329254</v>
      </c>
      <c r="O44" s="707">
        <f>SUM(L44:N44)</f>
        <v/>
      </c>
      <c r="P44" s="707" t="n">
        <v>0</v>
      </c>
      <c r="Q44" s="707" t="n">
        <v>0</v>
      </c>
      <c r="R44" s="707" t="n">
        <v>20.217377</v>
      </c>
      <c r="S44" s="707">
        <f>SUM(P44:R44)</f>
        <v/>
      </c>
      <c r="T44" s="707" t="n">
        <v>410.9235</v>
      </c>
      <c r="U44" s="707" t="n">
        <v>0</v>
      </c>
      <c r="V44" s="707" t="n">
        <v>4.340061</v>
      </c>
      <c r="W44" s="707">
        <f>SUM(T44:V44)</f>
        <v/>
      </c>
      <c r="X44" s="707" t="n">
        <v>0</v>
      </c>
      <c r="Y44" s="707" t="n">
        <v>0</v>
      </c>
      <c r="Z44" s="707" t="n">
        <v>5.058234</v>
      </c>
      <c r="AA44" s="707">
        <f>SUM(X44:Z44)</f>
        <v/>
      </c>
      <c r="AB44" s="707" t="n">
        <v>0</v>
      </c>
      <c r="AC44" s="707" t="n">
        <v>0</v>
      </c>
      <c r="AD44" s="707" t="n">
        <v>1.127915</v>
      </c>
      <c r="AE44" s="707">
        <f>SUM(AB44:AD44)</f>
        <v/>
      </c>
      <c r="AF44" s="707" t="n">
        <v>0</v>
      </c>
      <c r="AG44" s="271">
        <f>SUM(K44+O44+S44+W44+AA44+AE44+AF44)</f>
        <v/>
      </c>
      <c r="AH44" s="326">
        <f>IF(F44=0,"",K44/(F44/((YEAR(E44)*12+MONTH(E44))-(YEAR(D44)*12+MONTH(D44))+1)))</f>
        <v/>
      </c>
      <c r="AI44" s="326">
        <f>G44/F44</f>
        <v/>
      </c>
      <c r="AJ44" s="708">
        <f>F44-G44</f>
        <v/>
      </c>
      <c r="AK44" s="500" t="n"/>
      <c r="AL44" s="500" t="n"/>
      <c r="AM44" s="500" t="n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0</v>
      </c>
      <c r="I45" s="707" t="n">
        <v>0</v>
      </c>
      <c r="J45" s="707" t="n">
        <v>0</v>
      </c>
      <c r="K45" s="707">
        <f>SUM(H45:J45)</f>
        <v/>
      </c>
      <c r="L45" s="707" t="n">
        <v>1086.743489</v>
      </c>
      <c r="M45" s="707" t="n">
        <v>0</v>
      </c>
      <c r="N45" s="707" t="n">
        <v>631.560503</v>
      </c>
      <c r="O45" s="707">
        <f>SUM(L45:N45)</f>
        <v/>
      </c>
      <c r="P45" s="707" t="n">
        <v>2310.349392</v>
      </c>
      <c r="Q45" s="707" t="n">
        <v>0</v>
      </c>
      <c r="R45" s="707" t="n">
        <v>582.016803</v>
      </c>
      <c r="S45" s="707">
        <f>SUM(P45:R45)</f>
        <v/>
      </c>
      <c r="T45" s="707" t="n">
        <v>753.431552</v>
      </c>
      <c r="U45" s="707" t="n">
        <v>0</v>
      </c>
      <c r="V45" s="707" t="n">
        <v>581.619744</v>
      </c>
      <c r="W45" s="707">
        <f>SUM(T45:V45)</f>
        <v/>
      </c>
      <c r="X45" s="707" t="n">
        <v>1958.298381</v>
      </c>
      <c r="Y45" s="707" t="n">
        <v>0</v>
      </c>
      <c r="Z45" s="707" t="n">
        <v>662.594343</v>
      </c>
      <c r="AA45" s="707">
        <f>SUM(X45:Z45)</f>
        <v/>
      </c>
      <c r="AB45" s="707" t="n">
        <v>2837.047697</v>
      </c>
      <c r="AC45" s="707" t="n">
        <v>0</v>
      </c>
      <c r="AD45" s="707" t="n">
        <v>463.983498</v>
      </c>
      <c r="AE45" s="707">
        <f>SUM(AB45:AD45)</f>
        <v/>
      </c>
      <c r="AF45" s="707" t="n">
        <v>2545.018293</v>
      </c>
      <c r="AG45" s="271">
        <f>SUM(K45+O45+S45+W45+AA45+AE45+AF45)</f>
        <v/>
      </c>
      <c r="AH45" s="326">
        <f>IF(F45=0,"",K45/(F45/MAX(1,(YEAR(E45)*12+MONTH(E45))-(YEAR(D45)*12+MONTH(D45))+1)))</f>
        <v/>
      </c>
      <c r="AI45" s="326">
        <f>G45/F45</f>
        <v/>
      </c>
      <c r="AJ45" s="708">
        <f>F45-G45</f>
        <v/>
      </c>
      <c r="AK45" s="500" t="n"/>
      <c r="AL45" s="500" t="n"/>
      <c r="AM45" s="500" t="n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35323.838358</v>
      </c>
      <c r="H46" s="707" t="n">
        <v>0</v>
      </c>
      <c r="I46" s="707" t="n">
        <v>0</v>
      </c>
      <c r="J46" s="707" t="n">
        <v>0</v>
      </c>
      <c r="K46" s="707">
        <f>SUM(H46:J46)</f>
        <v/>
      </c>
      <c r="L46" s="707" t="n">
        <v>5706.245061</v>
      </c>
      <c r="M46" s="707" t="n">
        <v>0</v>
      </c>
      <c r="N46" s="707" t="n">
        <v>3185.247903</v>
      </c>
      <c r="O46" s="707">
        <f>SUM(L46:N46)</f>
        <v/>
      </c>
      <c r="P46" s="707" t="n">
        <v>5099.256359</v>
      </c>
      <c r="Q46" s="707" t="n">
        <v>0</v>
      </c>
      <c r="R46" s="707" t="n">
        <v>2165.674642</v>
      </c>
      <c r="S46" s="707">
        <f>SUM(P46:R46)</f>
        <v/>
      </c>
      <c r="T46" s="707" t="n">
        <v>937.141286</v>
      </c>
      <c r="U46" s="707" t="n">
        <v>0</v>
      </c>
      <c r="V46" s="707" t="n">
        <v>1775.786688</v>
      </c>
      <c r="W46" s="707">
        <f>SUM(T46:V46)</f>
        <v/>
      </c>
      <c r="X46" s="707" t="n">
        <v>3160.387028</v>
      </c>
      <c r="Y46" s="707" t="n">
        <v>0</v>
      </c>
      <c r="Z46" s="707" t="n">
        <v>3880.484178</v>
      </c>
      <c r="AA46" s="707">
        <f>SUM(X46:Z46)</f>
        <v/>
      </c>
      <c r="AB46" s="707" t="n">
        <v>3065.24731</v>
      </c>
      <c r="AC46" s="707" t="n">
        <v>0</v>
      </c>
      <c r="AD46" s="707" t="n">
        <v>1466.609142</v>
      </c>
      <c r="AE46" s="707">
        <f>SUM(AB46:AD46)</f>
        <v/>
      </c>
      <c r="AF46" s="707" t="n">
        <v>4881.758761</v>
      </c>
      <c r="AG46" s="271">
        <f>SUM(K46+O46+S46+W46+AA46+AE46+AF46)</f>
        <v/>
      </c>
      <c r="AH46" s="326">
        <f>IF(F46=0,"",K46/(F46/((YEAR(E46)*12+MONTH(E46))-(YEAR(D46)*12+MONTH(D46))+1)))</f>
        <v/>
      </c>
      <c r="AI46" s="326">
        <f>G46/F46</f>
        <v/>
      </c>
      <c r="AJ46" s="708">
        <f>F46-G46</f>
        <v/>
      </c>
      <c r="AK46" s="513" t="n"/>
      <c r="AL46" s="513" t="n"/>
      <c r="AM46" s="513" t="n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SUM(AC42:AC46)</f>
        <v/>
      </c>
      <c r="AD47" s="710">
        <f>SUM(AD42:AD46)</f>
        <v/>
      </c>
      <c r="AE47" s="710">
        <f>SUM(AE42:AE46)</f>
        <v/>
      </c>
      <c r="AF47" s="710">
        <f>SUM(AF42:AF46)</f>
        <v/>
      </c>
      <c r="AG47" s="710">
        <f>SUM(K47+O47+S47+W47+AA47+AE47+AF47)</f>
        <v/>
      </c>
      <c r="AH47" s="335">
        <f>IF(F47=0,"",K47/(F47/((YEAR(E42)*12+MONTH(E42))-(YEAR(D42)*12+MONTH(D42))+1)))</f>
        <v/>
      </c>
      <c r="AI47" s="336">
        <f>G47/F47</f>
        <v/>
      </c>
      <c r="AJ47" s="710">
        <f>F47-G47</f>
        <v/>
      </c>
      <c r="AK47" s="337">
        <f>AK42</f>
        <v/>
      </c>
      <c r="AL47" s="335">
        <f>AG47/AK42</f>
        <v/>
      </c>
      <c r="AM47" s="712">
        <f>AK42-AG47</f>
        <v/>
      </c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F9+F14+F19+F23+F27+F31+F34+F38+F41+F47</f>
        <v/>
      </c>
      <c r="G48" s="720">
        <f>G9+G14+G19+G23+G27+G31+G34+G38+G41+G47</f>
        <v/>
      </c>
      <c r="H48" s="722">
        <f>H9+H14+H19+H23+H27+H31+H34+H38+H41+H47</f>
        <v/>
      </c>
      <c r="I48" s="722">
        <f>I9+I14+I19+I23+I27+I31+I34+I38+I41+I47</f>
        <v/>
      </c>
      <c r="J48" s="722">
        <f>J9+J14+J19+J23+J27+J31+J34+J38+J41+J47</f>
        <v/>
      </c>
      <c r="K48" s="722">
        <f>K9+K14+K19+K23+K27+K31+K34+K38+K41+K47</f>
        <v/>
      </c>
      <c r="L48" s="720">
        <f>L9+L14+L19+L23+L27+L31+L34+L38+L41+L47</f>
        <v/>
      </c>
      <c r="M48" s="720">
        <f>M9+M14+M19+M23+M27+M31+M34+M38+M41+M47</f>
        <v/>
      </c>
      <c r="N48" s="720">
        <f>N9+N14+N19+N23+N27+N31+N34+N38+N41+N47</f>
        <v/>
      </c>
      <c r="O48" s="720">
        <f>O9+O14+O19+O23+O27+O31+O34+O38+O41+O47</f>
        <v/>
      </c>
      <c r="P48" s="720">
        <f>P9+P14+P19+P23+P27+P31+P34+P38+P41+P47</f>
        <v/>
      </c>
      <c r="Q48" s="720">
        <f>Q9+Q14+Q19+Q23+Q27+Q31+Q34+Q38+Q41+Q47</f>
        <v/>
      </c>
      <c r="R48" s="720">
        <f>R9+R14+R19+R23+R27+R31+R34+R38+R41+R47</f>
        <v/>
      </c>
      <c r="S48" s="720">
        <f>S9+S14+S19+S23+S27+S31+S34+S38+S41+S47</f>
        <v/>
      </c>
      <c r="T48" s="720">
        <f>T9+T14+T19+T23+T27+T31+T34+T38+T41+T47</f>
        <v/>
      </c>
      <c r="U48" s="720">
        <f>U9+U14+U19+U23+U27+U31+U34+U38+U41+U47</f>
        <v/>
      </c>
      <c r="V48" s="720">
        <f>V9+V14+V19+V23+V27+V31+V34+V38+V41+V47</f>
        <v/>
      </c>
      <c r="W48" s="720">
        <f>W9+W14+W19+W23+W27+W31+W34+W38+W41+W47</f>
        <v/>
      </c>
      <c r="X48" s="720">
        <f>X9+X14+X19+X23+X27+X31+X34+X38+X41+X47</f>
        <v/>
      </c>
      <c r="Y48" s="720">
        <f>Y9+Y14+Y19+Y23+Y27+Y31+Y34+Y38+Y41+Y47</f>
        <v/>
      </c>
      <c r="Z48" s="720">
        <f>Z9+Z14+Z19+Z23+Z27+Z31+Z34+Z38+Z41+Z47</f>
        <v/>
      </c>
      <c r="AA48" s="720">
        <f>AA9+AA14+AA19+AA23+AA27+AA31+AA34+AA38+AA41+AA47</f>
        <v/>
      </c>
      <c r="AB48" s="720">
        <f>AB9+AB14+AB19+AB23+AB27+AB31+AB34+AB38+AB41+AB47</f>
        <v/>
      </c>
      <c r="AC48" s="722">
        <f>AC9+AC14+AC19+AC23+AC27+AC31+AC34+AC38+AC41+AC47</f>
        <v/>
      </c>
      <c r="AD48" s="722">
        <f>AD9+AD14+AD19+AD23+AD27+AD31+AD34+AD38+AD41+AD47</f>
        <v/>
      </c>
      <c r="AE48" s="722">
        <f>AE9+AE14+AE19+AE23+AE27+AE31+AE34+AE38+AE41+AE47</f>
        <v/>
      </c>
      <c r="AF48" s="722">
        <f>AF9+AF14+AF19+AF23+AF27+AF31+AF34+AF38+AF41+AF47</f>
        <v/>
      </c>
      <c r="AG48" s="728">
        <f>AG9+AG14+AG19+AG23+AG27+AG31+AG34+AG38+AG41+AG47</f>
        <v/>
      </c>
      <c r="AH48" s="350">
        <f>K48/(F48/((YEAR(E4)*12+MONTH(E4))-(YEAR(D4)*12+MONTH(D4))+1))</f>
        <v/>
      </c>
      <c r="AI48" s="350">
        <f>G48/F48</f>
        <v/>
      </c>
      <c r="AJ48" s="722">
        <f>F48-G48</f>
        <v/>
      </c>
      <c r="AK48" s="352">
        <f>AK9+AK14+AK19+AK23+AK27+AK31+AK34+AK38+AK41+AK47</f>
        <v/>
      </c>
      <c r="AL48" s="353">
        <f>AG48/AK48</f>
        <v/>
      </c>
      <c r="AM48" s="722">
        <f>AK48-AG48</f>
        <v/>
      </c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7" t="inlineStr"/>
    </row>
    <row r="49" ht="14.25" customFormat="1" customHeight="1" s="483">
      <c r="AJ49" s="633" t="inlineStr">
        <is>
          <t>公司目标</t>
        </is>
      </c>
      <c r="AK49" s="633" t="n">
        <v>934969.485968</v>
      </c>
      <c r="AL49" s="252">
        <f>IF(AK49&lt;&gt;0,AG48/AK49,"")</f>
        <v/>
      </c>
      <c r="AM49" s="663">
        <f>AK49-AG48</f>
        <v/>
      </c>
    </row>
    <row r="50" ht="35.1" customFormat="1" customHeight="1" s="483"/>
    <row r="51" ht="24" customFormat="1" customHeight="1" s="483"/>
  </sheetData>
  <mergeCells count="90">
    <mergeCell ref="A48:E48"/>
    <mergeCell ref="A20:A22"/>
    <mergeCell ref="A4:A8"/>
    <mergeCell ref="U2:U3"/>
    <mergeCell ref="AK15:AK18"/>
    <mergeCell ref="AM4:AM8"/>
    <mergeCell ref="A2:A3"/>
    <mergeCell ref="A24:A26"/>
    <mergeCell ref="C2:C3"/>
    <mergeCell ref="E2:E3"/>
    <mergeCell ref="W2:W3"/>
    <mergeCell ref="AK10:AK13"/>
    <mergeCell ref="AM10:AM13"/>
    <mergeCell ref="A23:E23"/>
    <mergeCell ref="AA2:AA3"/>
    <mergeCell ref="AC2:AC3"/>
    <mergeCell ref="A10:A13"/>
    <mergeCell ref="AM2:AM3"/>
    <mergeCell ref="V2:V3"/>
    <mergeCell ref="AK20:AK22"/>
    <mergeCell ref="X2:X3"/>
    <mergeCell ref="AL15:AL18"/>
    <mergeCell ref="A34:E34"/>
    <mergeCell ref="AM20:AM22"/>
    <mergeCell ref="AL24:AL26"/>
    <mergeCell ref="A42:A46"/>
    <mergeCell ref="N2:N3"/>
    <mergeCell ref="F2:F3"/>
    <mergeCell ref="P2:P3"/>
    <mergeCell ref="H2:H3"/>
    <mergeCell ref="AK39:AK40"/>
    <mergeCell ref="AM39:AM40"/>
    <mergeCell ref="AL35:AL37"/>
    <mergeCell ref="AK42:AK46"/>
    <mergeCell ref="AF2:AF3"/>
    <mergeCell ref="AM42:AM46"/>
    <mergeCell ref="K2:K3"/>
    <mergeCell ref="AH2:AH3"/>
    <mergeCell ref="O2:O3"/>
    <mergeCell ref="Q2:Q3"/>
    <mergeCell ref="A14:E14"/>
    <mergeCell ref="AI2:AI3"/>
    <mergeCell ref="AK2:AK3"/>
    <mergeCell ref="AK24:AK26"/>
    <mergeCell ref="AL39:AL40"/>
    <mergeCell ref="AK4:AK8"/>
    <mergeCell ref="A38:E38"/>
    <mergeCell ref="A39:A40"/>
    <mergeCell ref="AM24:AM26"/>
    <mergeCell ref="AK35:AK37"/>
    <mergeCell ref="A31:E31"/>
    <mergeCell ref="S2:S3"/>
    <mergeCell ref="AM35:AM37"/>
    <mergeCell ref="B2:B3"/>
    <mergeCell ref="D2:D3"/>
    <mergeCell ref="AL4:AL8"/>
    <mergeCell ref="A28:A30"/>
    <mergeCell ref="AL32:AL33"/>
    <mergeCell ref="Z2:Z3"/>
    <mergeCell ref="AB2:AB3"/>
    <mergeCell ref="AD2:AD3"/>
    <mergeCell ref="T2:T3"/>
    <mergeCell ref="AK28:AK30"/>
    <mergeCell ref="A47:E47"/>
    <mergeCell ref="AM15:AM18"/>
    <mergeCell ref="AL10:AL13"/>
    <mergeCell ref="A15:A18"/>
    <mergeCell ref="AK32:AK33"/>
    <mergeCell ref="G2:G3"/>
    <mergeCell ref="I2:I3"/>
    <mergeCell ref="AL28:AL30"/>
    <mergeCell ref="M2:M3"/>
    <mergeCell ref="AE2:AE3"/>
    <mergeCell ref="AL42:AL46"/>
    <mergeCell ref="AG2:AG3"/>
    <mergeCell ref="AL20:AL22"/>
    <mergeCell ref="Y2:Y3"/>
    <mergeCell ref="A35:A37"/>
    <mergeCell ref="A41:E41"/>
    <mergeCell ref="AJ2:AJ3"/>
    <mergeCell ref="A27:E27"/>
    <mergeCell ref="A32:A33"/>
    <mergeCell ref="R2:R3"/>
    <mergeCell ref="J2:J3"/>
    <mergeCell ref="AM28:AM30"/>
    <mergeCell ref="L2:L3"/>
    <mergeCell ref="AM32:AM33"/>
    <mergeCell ref="A19:E19"/>
    <mergeCell ref="A9:E9"/>
    <mergeCell ref="AL2:AL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width="9" customWidth="1" style="533" min="27" max="27"/>
    <col hidden="1" width="13" customWidth="1" style="483" min="28" max="30"/>
    <col width="9" customWidth="1" style="533" min="31" max="32"/>
    <col width="13.2143" customWidth="1" style="533" min="33" max="33"/>
    <col width="9" customWidth="1" style="533" min="34" max="35"/>
    <col width="12.7857" customWidth="1" style="533" min="36" max="36"/>
    <col width="11.7143" customWidth="1" style="533" min="37" max="37"/>
    <col width="9" customWidth="1" style="533" min="38" max="41"/>
    <col width="12.3571" customWidth="1" style="533" min="42" max="42"/>
    <col width="11.2857" customWidth="1" style="533" min="43" max="43"/>
    <col width="9" customWidth="1" style="533" min="44" max="65"/>
  </cols>
  <sheetData>
    <row r="1" ht="20.25" customFormat="1" customHeight="1" s="483">
      <c r="A1" s="754" t="inlineStr">
        <is>
          <t>私人财富管理部折标销售进度表-截止20260710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552" t="inlineStr">
        <is>
          <t>上半年时间进度</t>
        </is>
      </c>
      <c r="AM1" s="70">
        <f>AR7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传统202607</t>
        </is>
      </c>
      <c r="I2" s="541" t="inlineStr">
        <is>
          <t>保险202607</t>
        </is>
      </c>
      <c r="J2" s="541" t="inlineStr">
        <is>
          <t>管理费202607</t>
        </is>
      </c>
      <c r="K2" s="669" t="inlineStr">
        <is>
          <t>2026年
7月折标</t>
        </is>
      </c>
      <c r="L2" s="541" t="inlineStr">
        <is>
          <t>传统202606</t>
        </is>
      </c>
      <c r="M2" s="541" t="inlineStr">
        <is>
          <t>保险202606</t>
        </is>
      </c>
      <c r="N2" s="541" t="inlineStr">
        <is>
          <t>管理费202606</t>
        </is>
      </c>
      <c r="O2" s="669" t="inlineStr">
        <is>
          <t>2026年
6月折标</t>
        </is>
      </c>
      <c r="P2" s="541" t="inlineStr">
        <is>
          <t>传统202605</t>
        </is>
      </c>
      <c r="Q2" s="541" t="inlineStr">
        <is>
          <t>保险202605</t>
        </is>
      </c>
      <c r="R2" s="541" t="inlineStr">
        <is>
          <t>管理费202605</t>
        </is>
      </c>
      <c r="S2" s="669" t="inlineStr">
        <is>
          <t>2026年
5月折标</t>
        </is>
      </c>
      <c r="T2" s="541" t="inlineStr">
        <is>
          <t>传统202604</t>
        </is>
      </c>
      <c r="U2" s="541" t="inlineStr">
        <is>
          <t>保险202604</t>
        </is>
      </c>
      <c r="V2" s="541" t="inlineStr">
        <is>
          <t>管理费202604</t>
        </is>
      </c>
      <c r="W2" s="669" t="inlineStr">
        <is>
          <t>2026年
4月折标</t>
        </is>
      </c>
      <c r="X2" s="541" t="inlineStr">
        <is>
          <t>传统202603</t>
        </is>
      </c>
      <c r="Y2" s="541" t="inlineStr">
        <is>
          <t>保险202603</t>
        </is>
      </c>
      <c r="Z2" s="541" t="inlineStr">
        <is>
          <t>管理费202603</t>
        </is>
      </c>
      <c r="AA2" s="669" t="inlineStr">
        <is>
          <t>2026年
3月折标</t>
        </is>
      </c>
      <c r="AB2" s="541" t="inlineStr">
        <is>
          <t>传统202602</t>
        </is>
      </c>
      <c r="AC2" s="541" t="inlineStr">
        <is>
          <t>保险202602</t>
        </is>
      </c>
      <c r="AD2" s="541" t="inlineStr">
        <is>
          <t>管理费202602</t>
        </is>
      </c>
      <c r="AE2" s="669" t="inlineStr">
        <is>
          <t>2026年
2月折标</t>
        </is>
      </c>
      <c r="AF2" s="669" t="inlineStr">
        <is>
          <t>2026年
1月折标</t>
        </is>
      </c>
      <c r="AG2" s="670" t="inlineStr">
        <is>
          <t>2026年YTD折标</t>
        </is>
      </c>
      <c r="AH2" s="671" t="inlineStr">
        <is>
          <t>月度
完成率</t>
        </is>
      </c>
      <c r="AI2" s="666" t="inlineStr">
        <is>
          <t>考核期完成率（累计）</t>
        </is>
      </c>
      <c r="AJ2" s="560" t="inlineStr">
        <is>
          <t>考核期差距</t>
        </is>
      </c>
      <c r="AK2" s="561" t="inlineStr">
        <is>
          <t>财富中心
上半年年任务</t>
        </is>
      </c>
      <c r="AL2" s="79" t="inlineStr">
        <is>
          <t>财富中心
上半年任务完成率</t>
        </is>
      </c>
      <c r="AM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23833.51005</v>
      </c>
      <c r="H4" s="703" t="n">
        <v>0</v>
      </c>
      <c r="I4" s="703" t="n">
        <v>0</v>
      </c>
      <c r="J4" s="703" t="n">
        <v>0</v>
      </c>
      <c r="K4" s="703">
        <f>SUM(H4:J4)</f>
        <v/>
      </c>
      <c r="L4" s="703" t="n">
        <v>927.52544</v>
      </c>
      <c r="M4" s="703" t="n">
        <v>0</v>
      </c>
      <c r="N4" s="703" t="n">
        <v>1414.024996</v>
      </c>
      <c r="O4" s="703">
        <f>SUM(L4:N4)</f>
        <v/>
      </c>
      <c r="P4" s="703" t="n">
        <v>1183.338361</v>
      </c>
      <c r="Q4" s="703" t="n">
        <v>0</v>
      </c>
      <c r="R4" s="703" t="n">
        <v>627.793934</v>
      </c>
      <c r="S4" s="703">
        <f>SUM(P4:R4)</f>
        <v/>
      </c>
      <c r="T4" s="703" t="n">
        <v>3163.949074</v>
      </c>
      <c r="U4" s="703" t="n">
        <v>0</v>
      </c>
      <c r="V4" s="703" t="n">
        <v>535.227607</v>
      </c>
      <c r="W4" s="703">
        <f>SUM(T4:V4)</f>
        <v/>
      </c>
      <c r="X4" s="703" t="n">
        <v>8704.796721000001</v>
      </c>
      <c r="Y4" s="703" t="n">
        <v>0</v>
      </c>
      <c r="Z4" s="703" t="n">
        <v>1242.252932</v>
      </c>
      <c r="AA4" s="703">
        <f>SUM(X4:Z4)</f>
        <v/>
      </c>
      <c r="AB4" s="703" t="n">
        <v>1402.304143</v>
      </c>
      <c r="AC4" s="703" t="n">
        <v>742.65048</v>
      </c>
      <c r="AD4" s="703" t="n">
        <v>430.381249</v>
      </c>
      <c r="AE4" s="703">
        <f>SUM(AB4:AD4)</f>
        <v/>
      </c>
      <c r="AF4" s="703" t="n">
        <v>3459.265113</v>
      </c>
      <c r="AG4" s="318">
        <f>SUM(K4+O4+S4+W4+AA4+AE4+AF4)</f>
        <v/>
      </c>
      <c r="AH4" s="319">
        <f>IF(F4=0,"",K4/(F4/((YEAR(E4)*12+MONTH(E4))-(YEAR(D4)*12+MONTH(D4))+1)))</f>
        <v/>
      </c>
      <c r="AI4" s="319">
        <f>G4/F4</f>
        <v/>
      </c>
      <c r="AJ4" s="704">
        <f>F4-G4</f>
        <v/>
      </c>
      <c r="AK4" s="321">
        <f>SUM(F4:F8)</f>
        <v/>
      </c>
      <c r="AL4" s="322">
        <f>AL9</f>
        <v/>
      </c>
      <c r="AM4" s="705">
        <f>AM9</f>
        <v/>
      </c>
      <c r="AN4" s="706" t="inlineStr"/>
      <c r="AO4" s="706" t="inlineStr"/>
      <c r="AP4" s="706" t="inlineStr">
        <is>
          <t>开始日期</t>
        </is>
      </c>
      <c r="AQ4" s="706" t="inlineStr">
        <is>
          <t>结束日期</t>
        </is>
      </c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21062.719974</v>
      </c>
      <c r="H5" s="707" t="n">
        <v>53.374464</v>
      </c>
      <c r="I5" s="707" t="n">
        <v>0</v>
      </c>
      <c r="J5" s="707" t="n">
        <v>0</v>
      </c>
      <c r="K5" s="707">
        <f>SUM(H5:J5)</f>
        <v/>
      </c>
      <c r="L5" s="707" t="n">
        <v>832.638851</v>
      </c>
      <c r="M5" s="707" t="n">
        <v>3261.7728</v>
      </c>
      <c r="N5" s="707" t="n">
        <v>370.957895</v>
      </c>
      <c r="O5" s="707">
        <f>SUM(L5:N5)</f>
        <v/>
      </c>
      <c r="P5" s="707" t="n">
        <v>593.9975920000001</v>
      </c>
      <c r="Q5" s="707" t="n">
        <v>0</v>
      </c>
      <c r="R5" s="707" t="n">
        <v>382.045052</v>
      </c>
      <c r="S5" s="707">
        <f>SUM(P5:R5)</f>
        <v/>
      </c>
      <c r="T5" s="707" t="n">
        <v>249.800095</v>
      </c>
      <c r="U5" s="707" t="n">
        <v>5040.9216</v>
      </c>
      <c r="V5" s="707" t="n">
        <v>342.801462</v>
      </c>
      <c r="W5" s="707">
        <f>SUM(T5:V5)</f>
        <v/>
      </c>
      <c r="X5" s="707" t="n">
        <v>1613.445926</v>
      </c>
      <c r="Y5" s="707" t="n">
        <v>0</v>
      </c>
      <c r="Z5" s="707" t="n">
        <v>488.407071</v>
      </c>
      <c r="AA5" s="707">
        <f>SUM(X5:Z5)</f>
        <v/>
      </c>
      <c r="AB5" s="707" t="n">
        <v>454.800547</v>
      </c>
      <c r="AC5" s="707" t="n">
        <v>0</v>
      </c>
      <c r="AD5" s="707" t="n">
        <v>289.117436</v>
      </c>
      <c r="AE5" s="707">
        <f>SUM(AB5:AD5)</f>
        <v/>
      </c>
      <c r="AF5" s="707" t="n">
        <v>3311.566531</v>
      </c>
      <c r="AG5" s="271">
        <f>SUM(K5+O5+S5+W5+AA5+AE5+AF5)</f>
        <v/>
      </c>
      <c r="AH5" s="326">
        <f>IF(F5=0,"",K5/(F5/((YEAR(E5)*12+MONTH(E5))-(YEAR(D5)*12+MONTH(D5))+1)))</f>
        <v/>
      </c>
      <c r="AI5" s="326">
        <f>G5/F5</f>
        <v/>
      </c>
      <c r="AJ5" s="708">
        <f>F5-G5</f>
        <v/>
      </c>
      <c r="AK5" s="500" t="n"/>
      <c r="AL5" s="500" t="n"/>
      <c r="AM5" s="500" t="n"/>
      <c r="AN5" s="706" t="inlineStr"/>
      <c r="AO5" s="706" t="inlineStr"/>
      <c r="AP5" s="328" t="n">
        <v>46023</v>
      </c>
      <c r="AQ5" s="328" t="n">
        <v>46203</v>
      </c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9554.108732999999</v>
      </c>
      <c r="H6" s="707" t="n">
        <v>5222.204988</v>
      </c>
      <c r="I6" s="707" t="n">
        <v>0</v>
      </c>
      <c r="J6" s="707" t="n">
        <v>0</v>
      </c>
      <c r="K6" s="707">
        <f>SUM(H6:J6)</f>
        <v/>
      </c>
      <c r="L6" s="707" t="n">
        <v>1989.75777</v>
      </c>
      <c r="M6" s="707" t="n">
        <v>0</v>
      </c>
      <c r="N6" s="707" t="n">
        <v>2342.145975</v>
      </c>
      <c r="O6" s="707">
        <f>SUM(L6:N6)</f>
        <v/>
      </c>
      <c r="P6" s="707" t="n">
        <v>15009.556327</v>
      </c>
      <c r="Q6" s="707" t="n">
        <v>0</v>
      </c>
      <c r="R6" s="707" t="n">
        <v>1609.578423</v>
      </c>
      <c r="S6" s="707">
        <f>SUM(P6:R6)</f>
        <v/>
      </c>
      <c r="T6" s="707" t="n">
        <v>3788.477067</v>
      </c>
      <c r="U6" s="707" t="n">
        <v>0</v>
      </c>
      <c r="V6" s="707" t="n">
        <v>1122.243766</v>
      </c>
      <c r="W6" s="707">
        <f>SUM(T6:V6)</f>
        <v/>
      </c>
      <c r="X6" s="707" t="n">
        <v>1444.66245</v>
      </c>
      <c r="Y6" s="707" t="n">
        <v>0</v>
      </c>
      <c r="Z6" s="707" t="n">
        <v>1063.763858</v>
      </c>
      <c r="AA6" s="707">
        <f>SUM(X6:Z6)</f>
        <v/>
      </c>
      <c r="AB6" s="707" t="n">
        <v>9688.821542</v>
      </c>
      <c r="AC6" s="707" t="n">
        <v>0</v>
      </c>
      <c r="AD6" s="707" t="n">
        <v>606.6776630000001</v>
      </c>
      <c r="AE6" s="707">
        <f>SUM(AB6:AD6)</f>
        <v/>
      </c>
      <c r="AF6" s="707" t="n">
        <v>13116.995922</v>
      </c>
      <c r="AG6" s="271">
        <f>SUM(K6+O6+S6+W6+AA6+AE6+AF6)</f>
        <v/>
      </c>
      <c r="AH6" s="326">
        <f>IF(F6=0,"",K6/(F6/((YEAR(E6)*12+MONTH(E6))-(YEAR(D6)*12+MONTH(D6))+1)))</f>
        <v/>
      </c>
      <c r="AI6" s="326">
        <f>G6/F6</f>
        <v/>
      </c>
      <c r="AJ6" s="708">
        <f>F6-G6</f>
        <v/>
      </c>
      <c r="AK6" s="500" t="n"/>
      <c r="AL6" s="500" t="n"/>
      <c r="AM6" s="500" t="n"/>
      <c r="AN6" s="706" t="inlineStr"/>
      <c r="AO6" s="706" t="inlineStr"/>
      <c r="AP6" s="706" t="inlineStr">
        <is>
          <t>计算日期</t>
        </is>
      </c>
      <c r="AQ6" s="706">
        <f>W5-V5</f>
        <v/>
      </c>
      <c r="AR6" s="706" t="inlineStr">
        <is>
          <t>时间进度</t>
        </is>
      </c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3874.421583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125.538504</v>
      </c>
      <c r="M7" s="707" t="n">
        <v>0</v>
      </c>
      <c r="N7" s="707" t="n">
        <v>202.092562</v>
      </c>
      <c r="O7" s="707">
        <f>SUM(L7:N7)</f>
        <v/>
      </c>
      <c r="P7" s="707" t="n">
        <v>66.7758</v>
      </c>
      <c r="Q7" s="707" t="n">
        <v>0</v>
      </c>
      <c r="R7" s="707" t="n">
        <v>22.323011</v>
      </c>
      <c r="S7" s="707">
        <f>SUM(P7:R7)</f>
        <v/>
      </c>
      <c r="T7" s="707" t="n">
        <v>133.5516</v>
      </c>
      <c r="U7" s="707" t="n">
        <v>0</v>
      </c>
      <c r="V7" s="707" t="n">
        <v>22.107856</v>
      </c>
      <c r="W7" s="707">
        <f>SUM(T7:V7)</f>
        <v/>
      </c>
      <c r="X7" s="707" t="n">
        <v>500.150742</v>
      </c>
      <c r="Y7" s="707" t="n">
        <v>0</v>
      </c>
      <c r="Z7" s="707" t="n">
        <v>157.397938</v>
      </c>
      <c r="AA7" s="707">
        <f>SUM(X7:Z7)</f>
        <v/>
      </c>
      <c r="AB7" s="707" t="n">
        <v>267.1032</v>
      </c>
      <c r="AC7" s="707" t="n">
        <v>0</v>
      </c>
      <c r="AD7" s="707" t="n">
        <v>25.494675</v>
      </c>
      <c r="AE7" s="707">
        <f>SUM(AB7:AD7)</f>
        <v/>
      </c>
      <c r="AF7" s="707" t="n">
        <v>2351.885696</v>
      </c>
      <c r="AG7" s="271">
        <f>SUM(K7+O7+S7+W7+AA7+AE7+AF7)</f>
        <v/>
      </c>
      <c r="AH7" s="326">
        <f>IF(F7=0,"",K7/(F7/((YEAR(E7)*12+MONTH(E7))-(YEAR(D7)*12+MONTH(D7))+1)))</f>
        <v/>
      </c>
      <c r="AI7" s="326">
        <f>G7/F7</f>
        <v/>
      </c>
      <c r="AJ7" s="708">
        <f>F7-G7</f>
        <v/>
      </c>
      <c r="AK7" s="500" t="n"/>
      <c r="AL7" s="500" t="n"/>
      <c r="AM7" s="500" t="n"/>
      <c r="AN7" s="706" t="inlineStr"/>
      <c r="AO7" s="706" t="inlineStr"/>
      <c r="AP7" s="709" t="n">
        <v>46213</v>
      </c>
      <c r="AQ7" s="330">
        <f>AQ5-AP5+1</f>
        <v/>
      </c>
      <c r="AR7" s="331">
        <f>(AP7-AP5+1)/AQ7</f>
        <v/>
      </c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599.869512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95.21789800000001</v>
      </c>
      <c r="M8" s="707" t="n">
        <v>264.17664</v>
      </c>
      <c r="N8" s="707" t="n">
        <v>67.830038</v>
      </c>
      <c r="O8" s="707">
        <f>SUM(L8:N8)</f>
        <v/>
      </c>
      <c r="P8" s="707" t="n">
        <v>130.02444</v>
      </c>
      <c r="Q8" s="707" t="n">
        <v>0</v>
      </c>
      <c r="R8" s="707" t="n">
        <v>16.066547</v>
      </c>
      <c r="S8" s="707">
        <f>SUM(P8:R8)</f>
        <v/>
      </c>
      <c r="T8" s="707" t="n">
        <v>0</v>
      </c>
      <c r="U8" s="707" t="n">
        <v>0</v>
      </c>
      <c r="V8" s="707" t="n">
        <v>12.779778</v>
      </c>
      <c r="W8" s="707">
        <f>SUM(T8:V8)</f>
        <v/>
      </c>
      <c r="X8" s="707" t="n">
        <v>0</v>
      </c>
      <c r="Y8" s="707" t="n">
        <v>25509.5568</v>
      </c>
      <c r="Z8" s="707" t="n">
        <v>13.774172</v>
      </c>
      <c r="AA8" s="707">
        <f>SUM(X8:Z8)</f>
        <v/>
      </c>
      <c r="AB8" s="707" t="n">
        <v>41.2776</v>
      </c>
      <c r="AC8" s="707" t="n">
        <v>0</v>
      </c>
      <c r="AD8" s="707" t="n">
        <v>18.646322</v>
      </c>
      <c r="AE8" s="707">
        <f>SUM(AB8:AD8)</f>
        <v/>
      </c>
      <c r="AF8" s="707" t="n">
        <v>683.02396</v>
      </c>
      <c r="AG8" s="271">
        <f>SUM(K8+O8+S8+W8+AA8+AE8+AF8)</f>
        <v/>
      </c>
      <c r="AH8" s="326">
        <f>IF(F8=0,"",K8/(F8/((YEAR(E8)*12+MONTH(E8))-(YEAR(D8)*12+MONTH(D8))+1)))</f>
        <v/>
      </c>
      <c r="AI8" s="326">
        <f>G8/F8</f>
        <v/>
      </c>
      <c r="AJ8" s="708">
        <f>F8-G8</f>
        <v/>
      </c>
      <c r="AK8" s="513" t="n"/>
      <c r="AL8" s="513" t="n"/>
      <c r="AM8" s="513" t="n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1">
        <f>SUM(K9+O9+S9+W9+AA9+AE9+AF9)</f>
        <v/>
      </c>
      <c r="AH9" s="335">
        <f>IF(F9=0,"",K9/(F9/((YEAR(E4)*12+MONTH(E4))-(YEAR(D4)*12+MONTH(D4))+1)))</f>
        <v/>
      </c>
      <c r="AI9" s="336">
        <f>G9/F9</f>
        <v/>
      </c>
      <c r="AJ9" s="711">
        <f>F9-G9</f>
        <v/>
      </c>
      <c r="AK9" s="337">
        <f>AK4</f>
        <v/>
      </c>
      <c r="AL9" s="335">
        <f>AG9/AK4</f>
        <v/>
      </c>
      <c r="AM9" s="712">
        <f>AK4-AG9</f>
        <v/>
      </c>
      <c r="AN9" s="713" t="inlineStr"/>
      <c r="AO9" s="713" t="inlineStr"/>
      <c r="AP9" s="340" t="n">
        <v>46136</v>
      </c>
      <c r="AQ9" s="713" t="inlineStr"/>
      <c r="AR9" s="341">
        <f>(AD10-DATE(YEAR(AD10),1,1)+1)/AE9</f>
        <v/>
      </c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24941.640018</v>
      </c>
      <c r="H10" s="703" t="n">
        <v>1913.840445</v>
      </c>
      <c r="I10" s="703" t="n">
        <v>0</v>
      </c>
      <c r="J10" s="703" t="n">
        <v>0</v>
      </c>
      <c r="K10" s="703">
        <f>SUM(H10:J10)</f>
        <v/>
      </c>
      <c r="L10" s="703" t="n">
        <v>3599.205131</v>
      </c>
      <c r="M10" s="703" t="n">
        <v>0</v>
      </c>
      <c r="N10" s="703" t="n">
        <v>206.592585</v>
      </c>
      <c r="O10" s="703">
        <f>SUM(L10:N10)</f>
        <v/>
      </c>
      <c r="P10" s="703" t="n">
        <v>4233.38058</v>
      </c>
      <c r="Q10" s="703" t="n">
        <v>0</v>
      </c>
      <c r="R10" s="703" t="n">
        <v>103.388547</v>
      </c>
      <c r="S10" s="703">
        <f>SUM(P10:R10)</f>
        <v/>
      </c>
      <c r="T10" s="703" t="n">
        <v>2418.943367</v>
      </c>
      <c r="U10" s="703" t="n">
        <v>2443.706261</v>
      </c>
      <c r="V10" s="703" t="n">
        <v>88.105912</v>
      </c>
      <c r="W10" s="703">
        <f>SUM(T10:V10)</f>
        <v/>
      </c>
      <c r="X10" s="703" t="n">
        <v>2574.496213</v>
      </c>
      <c r="Y10" s="703" t="n">
        <v>2927.70165</v>
      </c>
      <c r="Z10" s="703" t="n">
        <v>154.748145</v>
      </c>
      <c r="AA10" s="703">
        <f>SUM(X10:Z10)</f>
        <v/>
      </c>
      <c r="AB10" s="703" t="n">
        <v>745.691219</v>
      </c>
      <c r="AC10" s="703" t="n">
        <v>2330.36622</v>
      </c>
      <c r="AD10" s="703" t="n">
        <v>72.478376</v>
      </c>
      <c r="AE10" s="703">
        <f>SUM(AB10:AD10)</f>
        <v/>
      </c>
      <c r="AF10" s="703" t="n">
        <v>3042.835811</v>
      </c>
      <c r="AG10" s="318">
        <f>SUM(K10+O10+S10+W10+AA10+AE10+AF10)</f>
        <v/>
      </c>
      <c r="AH10" s="319">
        <f>IF(F10=0,"",K10/(F10/((YEAR(E10)*12+MONTH(E10))-(YEAR(D10)*12+MONTH(D10))+1)))</f>
        <v/>
      </c>
      <c r="AI10" s="319">
        <f>G10/F10</f>
        <v/>
      </c>
      <c r="AJ10" s="704">
        <f>F10-G10</f>
        <v/>
      </c>
      <c r="AK10" s="321">
        <f>SUM(F10:F13)</f>
        <v/>
      </c>
      <c r="AL10" s="322">
        <f>AL14</f>
        <v/>
      </c>
      <c r="AM10" s="705">
        <f>AM14</f>
        <v/>
      </c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340.263021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304.3131</v>
      </c>
      <c r="M11" s="707" t="n">
        <v>0</v>
      </c>
      <c r="N11" s="707" t="n">
        <v>35.949921</v>
      </c>
      <c r="O11" s="707">
        <f>SUM(L11:N11)</f>
        <v/>
      </c>
      <c r="P11" s="707" t="n">
        <v>139.11456</v>
      </c>
      <c r="Q11" s="707" t="n">
        <v>2956.1844</v>
      </c>
      <c r="R11" s="707" t="n">
        <v>14.716853</v>
      </c>
      <c r="S11" s="707">
        <f>SUM(P11:R11)</f>
        <v/>
      </c>
      <c r="T11" s="707" t="n">
        <v>280.185418</v>
      </c>
      <c r="U11" s="707" t="n">
        <v>773.505646</v>
      </c>
      <c r="V11" s="707" t="n">
        <v>3.573146</v>
      </c>
      <c r="W11" s="707">
        <f>SUM(T11:V11)</f>
        <v/>
      </c>
      <c r="X11" s="707" t="n">
        <v>43.4733</v>
      </c>
      <c r="Y11" s="707" t="n">
        <v>0</v>
      </c>
      <c r="Z11" s="707" t="n">
        <v>10.334614</v>
      </c>
      <c r="AA11" s="707">
        <f>SUM(X11:Z11)</f>
        <v/>
      </c>
      <c r="AB11" s="707" t="n">
        <v>0</v>
      </c>
      <c r="AC11" s="707" t="n">
        <v>0</v>
      </c>
      <c r="AD11" s="707" t="n">
        <v>0</v>
      </c>
      <c r="AE11" s="707">
        <f>SUM(AB11:AD11)</f>
        <v/>
      </c>
      <c r="AF11" s="707" t="n">
        <v>0</v>
      </c>
      <c r="AG11" s="271">
        <f>SUM(K11+O11+S11+W11+AA11+AE11+AF11)</f>
        <v/>
      </c>
      <c r="AH11" s="326">
        <f>IF(F11=0,"",K11/(F11/((YEAR(E11)*12+MONTH(E11))-(YEAR(D11)*12+MONTH(D11))+1)))</f>
        <v/>
      </c>
      <c r="AI11" s="326">
        <f>G11/F11</f>
        <v/>
      </c>
      <c r="AJ11" s="708">
        <f>F11-G11</f>
        <v/>
      </c>
      <c r="AK11" s="500" t="n"/>
      <c r="AL11" s="500" t="n"/>
      <c r="AM11" s="500" t="n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22552.233026</v>
      </c>
      <c r="H12" s="707" t="n">
        <v>1941.251832</v>
      </c>
      <c r="I12" s="707" t="n">
        <v>0</v>
      </c>
      <c r="J12" s="707" t="n">
        <v>0</v>
      </c>
      <c r="K12" s="707">
        <f>SUM(H12:J12)</f>
        <v/>
      </c>
      <c r="L12" s="707" t="n">
        <v>5138.663789</v>
      </c>
      <c r="M12" s="707" t="n">
        <v>0</v>
      </c>
      <c r="N12" s="707" t="n">
        <v>787.892575</v>
      </c>
      <c r="O12" s="707">
        <f>SUM(L12:N12)</f>
        <v/>
      </c>
      <c r="P12" s="707" t="n">
        <v>527.86032</v>
      </c>
      <c r="Q12" s="707" t="n">
        <v>0</v>
      </c>
      <c r="R12" s="707" t="n">
        <v>176.99322</v>
      </c>
      <c r="S12" s="707">
        <f>SUM(P12:R12)</f>
        <v/>
      </c>
      <c r="T12" s="707" t="n">
        <v>5719.894428</v>
      </c>
      <c r="U12" s="707" t="n">
        <v>0</v>
      </c>
      <c r="V12" s="707" t="n">
        <v>170.991639</v>
      </c>
      <c r="W12" s="707">
        <f>SUM(T12:V12)</f>
        <v/>
      </c>
      <c r="X12" s="707" t="n">
        <v>2659.960961</v>
      </c>
      <c r="Y12" s="707" t="n">
        <v>0</v>
      </c>
      <c r="Z12" s="707" t="n">
        <v>743.622962</v>
      </c>
      <c r="AA12" s="707">
        <f>SUM(X12:Z12)</f>
        <v/>
      </c>
      <c r="AB12" s="707" t="n">
        <v>0</v>
      </c>
      <c r="AC12" s="707" t="n">
        <v>0</v>
      </c>
      <c r="AD12" s="707" t="n">
        <v>144.157177</v>
      </c>
      <c r="AE12" s="707">
        <f>SUM(AB12:AD12)</f>
        <v/>
      </c>
      <c r="AF12" s="707" t="n">
        <v>6482.195956</v>
      </c>
      <c r="AG12" s="271">
        <f>SUM(K12+O12+S12+W12+AA12+AE12+AF12)</f>
        <v/>
      </c>
      <c r="AH12" s="326">
        <f>IF(F12=0,"",K12/(F12/((YEAR(E12)*12+MONTH(E12))-(YEAR(D12)*12+MONTH(D12))+1)))</f>
        <v/>
      </c>
      <c r="AI12" s="326">
        <f>G12/F12</f>
        <v/>
      </c>
      <c r="AJ12" s="708">
        <f>F12-G12</f>
        <v/>
      </c>
      <c r="AK12" s="500" t="n"/>
      <c r="AL12" s="500" t="n"/>
      <c r="AM12" s="500" t="n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13278.691594</v>
      </c>
      <c r="H13" s="707" t="n">
        <v>438.3522</v>
      </c>
      <c r="I13" s="707" t="n">
        <v>0</v>
      </c>
      <c r="J13" s="707" t="n">
        <v>0</v>
      </c>
      <c r="K13" s="707">
        <f>SUM(H13:J13)</f>
        <v/>
      </c>
      <c r="L13" s="707" t="n">
        <v>2826.176184</v>
      </c>
      <c r="M13" s="707" t="n">
        <v>0</v>
      </c>
      <c r="N13" s="707" t="n">
        <v>411.016877</v>
      </c>
      <c r="O13" s="707">
        <f>SUM(L13:N13)</f>
        <v/>
      </c>
      <c r="P13" s="707" t="n">
        <v>1000.951193</v>
      </c>
      <c r="Q13" s="707" t="n">
        <v>0</v>
      </c>
      <c r="R13" s="707" t="n">
        <v>278.383375</v>
      </c>
      <c r="S13" s="707">
        <f>SUM(P13:R13)</f>
        <v/>
      </c>
      <c r="T13" s="707" t="n">
        <v>3291.566745</v>
      </c>
      <c r="U13" s="707" t="n">
        <v>0</v>
      </c>
      <c r="V13" s="707" t="n">
        <v>242.965979</v>
      </c>
      <c r="W13" s="707">
        <f>SUM(T13:V13)</f>
        <v/>
      </c>
      <c r="X13" s="707" t="n">
        <v>3556.620439</v>
      </c>
      <c r="Y13" s="707" t="n">
        <v>0</v>
      </c>
      <c r="Z13" s="707" t="n">
        <v>446.103228</v>
      </c>
      <c r="AA13" s="707">
        <f>SUM(X13:Z13)</f>
        <v/>
      </c>
      <c r="AB13" s="707" t="n">
        <v>1054.327266</v>
      </c>
      <c r="AC13" s="707" t="n">
        <v>0</v>
      </c>
      <c r="AD13" s="707" t="n">
        <v>170.580309</v>
      </c>
      <c r="AE13" s="707">
        <f>SUM(AB13:AD13)</f>
        <v/>
      </c>
      <c r="AF13" s="707" t="n">
        <v>692.512431</v>
      </c>
      <c r="AG13" s="271">
        <f>SUM(K13+O13+S13+W13+AA13+AE13+AF13)</f>
        <v/>
      </c>
      <c r="AH13" s="326">
        <f>IF(F13=0,"",K13/(F13/((YEAR(E13)*12+MONTH(E13))-(YEAR(D13)*12+MONTH(D13))+1)))</f>
        <v/>
      </c>
      <c r="AI13" s="326">
        <f>G13/F13</f>
        <v/>
      </c>
      <c r="AJ13" s="708">
        <f>F13-G13</f>
        <v/>
      </c>
      <c r="AK13" s="513" t="n"/>
      <c r="AL13" s="513" t="n"/>
      <c r="AM13" s="513" t="n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333">
        <f>SUM(K14+O14+S14+W14+AA14+AE14+AF14)</f>
        <v/>
      </c>
      <c r="AH14" s="335">
        <f>IF(F14=0,"",K14/(F14/((YEAR(E10)*12+MONTH(E10))-(YEAR(D10)*12+MONTH(D10))+1)))</f>
        <v/>
      </c>
      <c r="AI14" s="336">
        <f>G14/F14</f>
        <v/>
      </c>
      <c r="AJ14" s="715">
        <f>F14-G14</f>
        <v/>
      </c>
      <c r="AK14" s="337">
        <f>AK10</f>
        <v/>
      </c>
      <c r="AL14" s="335">
        <f>AG14/AK10</f>
        <v/>
      </c>
      <c r="AM14" s="712">
        <f>AK10-AG14</f>
        <v/>
      </c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10901.075288</v>
      </c>
      <c r="H15" s="703" t="n">
        <v>0</v>
      </c>
      <c r="I15" s="703" t="n">
        <v>0</v>
      </c>
      <c r="J15" s="703" t="n">
        <v>0</v>
      </c>
      <c r="K15" s="703">
        <f>SUM(H15:J15)</f>
        <v/>
      </c>
      <c r="L15" s="703" t="n">
        <v>1519.142625</v>
      </c>
      <c r="M15" s="703" t="n">
        <v>0</v>
      </c>
      <c r="N15" s="703" t="n">
        <v>201.494206</v>
      </c>
      <c r="O15" s="703">
        <f>SUM(L15:N15)</f>
        <v/>
      </c>
      <c r="P15" s="703" t="n">
        <v>1776.618655</v>
      </c>
      <c r="Q15" s="703" t="n">
        <v>0</v>
      </c>
      <c r="R15" s="703" t="n">
        <v>64.972886</v>
      </c>
      <c r="S15" s="703">
        <f>SUM(P15:R15)</f>
        <v/>
      </c>
      <c r="T15" s="703" t="n">
        <v>2171.402323</v>
      </c>
      <c r="U15" s="703" t="n">
        <v>0</v>
      </c>
      <c r="V15" s="703" t="n">
        <v>15.631431</v>
      </c>
      <c r="W15" s="703">
        <f>SUM(T15:V15)</f>
        <v/>
      </c>
      <c r="X15" s="703" t="n">
        <v>1305.1575</v>
      </c>
      <c r="Y15" s="703" t="n">
        <v>1178.4864</v>
      </c>
      <c r="Z15" s="703" t="n">
        <v>22.441342</v>
      </c>
      <c r="AA15" s="703">
        <f>SUM(X15:Z15)</f>
        <v/>
      </c>
      <c r="AB15" s="703" t="n">
        <v>0</v>
      </c>
      <c r="AC15" s="703" t="n">
        <v>0</v>
      </c>
      <c r="AD15" s="703" t="n">
        <v>15.177921</v>
      </c>
      <c r="AE15" s="703">
        <f>SUM(AB15:AD15)</f>
        <v/>
      </c>
      <c r="AF15" s="703" t="n">
        <v>2630.55</v>
      </c>
      <c r="AG15" s="724">
        <f>SUM(K15+O15+S15+W15+AA15+AE15+AF15)</f>
        <v/>
      </c>
      <c r="AH15" s="319">
        <f>IF(F15=0,"",K15/(F15/((YEAR(E15)*12+MONTH(E15))-(YEAR(D15)*12+MONTH(D15))+1)))</f>
        <v/>
      </c>
      <c r="AI15" s="319">
        <f>G15/F15</f>
        <v/>
      </c>
      <c r="AJ15" s="724">
        <f>F15-G15</f>
        <v/>
      </c>
      <c r="AK15" s="321">
        <f>SUM(F15:F18)</f>
        <v/>
      </c>
      <c r="AL15" s="322">
        <f>AL19</f>
        <v/>
      </c>
      <c r="AM15" s="717">
        <f>AM19</f>
        <v/>
      </c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0</v>
      </c>
      <c r="M16" s="707" t="n">
        <v>700.6272</v>
      </c>
      <c r="N16" s="707" t="n">
        <v>11.31433</v>
      </c>
      <c r="O16" s="707">
        <f>SUM(L16:N16)</f>
        <v/>
      </c>
      <c r="P16" s="707" t="n">
        <v>0</v>
      </c>
      <c r="Q16" s="707" t="n">
        <v>0</v>
      </c>
      <c r="R16" s="707" t="n">
        <v>2.157894</v>
      </c>
      <c r="S16" s="707">
        <f>SUM(P16:R16)</f>
        <v/>
      </c>
      <c r="T16" s="707" t="n">
        <v>0</v>
      </c>
      <c r="U16" s="707" t="n">
        <v>0</v>
      </c>
      <c r="V16" s="707" t="n">
        <v>2.058637</v>
      </c>
      <c r="W16" s="707">
        <f>SUM(T16:V16)</f>
        <v/>
      </c>
      <c r="X16" s="707" t="n">
        <v>0</v>
      </c>
      <c r="Y16" s="707" t="n">
        <v>0</v>
      </c>
      <c r="Z16" s="707" t="n">
        <v>3.23046</v>
      </c>
      <c r="AA16" s="707">
        <f>SUM(X16:Z16)</f>
        <v/>
      </c>
      <c r="AB16" s="707" t="n">
        <v>25.0224</v>
      </c>
      <c r="AC16" s="707" t="n">
        <v>1050.9408</v>
      </c>
      <c r="AD16" s="707" t="n">
        <v>3.667668</v>
      </c>
      <c r="AE16" s="707">
        <f>SUM(AB16:AD16)</f>
        <v/>
      </c>
      <c r="AF16" s="707" t="n">
        <v>125.112</v>
      </c>
      <c r="AG16" s="271">
        <f>SUM(K16+O16+S16+W16+AA16+AE16+AF16)</f>
        <v/>
      </c>
      <c r="AH16" s="326">
        <f>IF(F16=0,"",K16/(F16/((YEAR(E16)*12+MONTH(E16))-(YEAR(D16)*12+MONTH(D16))+1)))</f>
        <v/>
      </c>
      <c r="AI16" s="326">
        <f>G16/F16</f>
        <v/>
      </c>
      <c r="AJ16" s="708">
        <f>F16-G16</f>
        <v/>
      </c>
      <c r="AK16" s="500" t="n"/>
      <c r="AL16" s="500" t="n"/>
      <c r="AM16" s="500" t="n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4876.923178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412.205196</v>
      </c>
      <c r="M17" s="707" t="n">
        <v>0</v>
      </c>
      <c r="N17" s="707" t="n">
        <v>23.739146</v>
      </c>
      <c r="O17" s="707">
        <f>SUM(L17:N17)</f>
        <v/>
      </c>
      <c r="P17" s="707" t="n">
        <v>539.9043</v>
      </c>
      <c r="Q17" s="707" t="n">
        <v>1859.14872</v>
      </c>
      <c r="R17" s="707" t="n">
        <v>44.064709</v>
      </c>
      <c r="S17" s="707">
        <f>SUM(P17:R17)</f>
        <v/>
      </c>
      <c r="T17" s="707" t="n">
        <v>0</v>
      </c>
      <c r="U17" s="707" t="n">
        <v>0</v>
      </c>
      <c r="V17" s="707" t="n">
        <v>43.453355</v>
      </c>
      <c r="W17" s="707">
        <f>SUM(T17:V17)</f>
        <v/>
      </c>
      <c r="X17" s="707" t="n">
        <v>0</v>
      </c>
      <c r="Y17" s="707" t="n">
        <v>1943.65548</v>
      </c>
      <c r="Z17" s="707" t="n">
        <v>10.752272</v>
      </c>
      <c r="AA17" s="707">
        <f>SUM(X17:Z17)</f>
        <v/>
      </c>
      <c r="AB17" s="707" t="n">
        <v>0</v>
      </c>
      <c r="AC17" s="707" t="n">
        <v>0</v>
      </c>
      <c r="AD17" s="707" t="n">
        <v>0</v>
      </c>
      <c r="AE17" s="707">
        <f>SUM(AB17:AD17)</f>
        <v/>
      </c>
      <c r="AF17" s="707" t="n">
        <v>0</v>
      </c>
      <c r="AG17" s="271">
        <f>SUM(K17+O17+S17+W17+AA17+AE17+AF17)</f>
        <v/>
      </c>
      <c r="AH17" s="326">
        <f>IF(F17=0,"",K17/(F17/MAX(1,(YEAR(E17)*12+MONTH(E17))-(YEAR(D17)*12+MONTH(D17))+1)))</f>
        <v/>
      </c>
      <c r="AI17" s="326">
        <f>G17/F17</f>
        <v/>
      </c>
      <c r="AJ17" s="708">
        <f>F17-G17</f>
        <v/>
      </c>
      <c r="AK17" s="500" t="n"/>
      <c r="AL17" s="500" t="n"/>
      <c r="AM17" s="500" t="n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35419.592169</v>
      </c>
      <c r="H18" s="707" t="n">
        <v>598.570438</v>
      </c>
      <c r="I18" s="707" t="n">
        <v>0</v>
      </c>
      <c r="J18" s="707" t="n">
        <v>0</v>
      </c>
      <c r="K18" s="707">
        <f>SUM(H18:J18)</f>
        <v/>
      </c>
      <c r="L18" s="707" t="n">
        <v>4030.216259</v>
      </c>
      <c r="M18" s="707" t="n">
        <v>0</v>
      </c>
      <c r="N18" s="707" t="n">
        <v>548.368526</v>
      </c>
      <c r="O18" s="707">
        <f>SUM(L18:N18)</f>
        <v/>
      </c>
      <c r="P18" s="707" t="n">
        <v>1274.903482</v>
      </c>
      <c r="Q18" s="707" t="n">
        <v>3566.1951</v>
      </c>
      <c r="R18" s="707" t="n">
        <v>343.572179</v>
      </c>
      <c r="S18" s="707">
        <f>SUM(P18:R18)</f>
        <v/>
      </c>
      <c r="T18" s="707" t="n">
        <v>2660.12632</v>
      </c>
      <c r="U18" s="707" t="n">
        <v>0</v>
      </c>
      <c r="V18" s="707" t="n">
        <v>331.400492</v>
      </c>
      <c r="W18" s="707">
        <f>SUM(T18:V18)</f>
        <v/>
      </c>
      <c r="X18" s="707" t="n">
        <v>3406.959578</v>
      </c>
      <c r="Y18" s="707" t="n">
        <v>14793.1056</v>
      </c>
      <c r="Z18" s="707" t="n">
        <v>606.358521</v>
      </c>
      <c r="AA18" s="707">
        <f>SUM(X18:Z18)</f>
        <v/>
      </c>
      <c r="AB18" s="707" t="n">
        <v>3557.362586</v>
      </c>
      <c r="AC18" s="707" t="n">
        <v>0</v>
      </c>
      <c r="AD18" s="707" t="n">
        <v>301.023526</v>
      </c>
      <c r="AE18" s="707">
        <f>SUM(AB18:AD18)</f>
        <v/>
      </c>
      <c r="AF18" s="707" t="n">
        <v>8988.571889000001</v>
      </c>
      <c r="AG18" s="271">
        <f>SUM(K18+O18+S18+W18+AA18+AE18+AF18)</f>
        <v/>
      </c>
      <c r="AH18" s="326">
        <f>IF(F18=0,"",K18/(F18/((YEAR(E18)*12+MONTH(E18))-(YEAR(D18)*12+MONTH(D18))+1)))</f>
        <v/>
      </c>
      <c r="AI18" s="326">
        <f>G18/F18</f>
        <v/>
      </c>
      <c r="AJ18" s="708">
        <f>F18-G18</f>
        <v/>
      </c>
      <c r="AK18" s="513" t="n"/>
      <c r="AL18" s="513" t="n"/>
      <c r="AM18" s="513" t="n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0">
        <f>SUM(AC15:AC18)</f>
        <v/>
      </c>
      <c r="AD19" s="710">
        <f>SUM(AD15:AD18)</f>
        <v/>
      </c>
      <c r="AE19" s="710">
        <f>SUM(AE15:AE18)</f>
        <v/>
      </c>
      <c r="AF19" s="710">
        <f>SUM(AF15:AF18)</f>
        <v/>
      </c>
      <c r="AG19" s="711">
        <f>SUM(K19+O19+S19+W19+AA19+AE19+AF19)</f>
        <v/>
      </c>
      <c r="AH19" s="335">
        <f>IF(F19=0,"",K19/(F19/((YEAR(E15)*12+MONTH(E15))-(YEAR(D15)*12+MONTH(D15))+1)))</f>
        <v/>
      </c>
      <c r="AI19" s="336">
        <f>G19/F19</f>
        <v/>
      </c>
      <c r="AJ19" s="711">
        <f>F19-G19</f>
        <v/>
      </c>
      <c r="AK19" s="337">
        <f>AK15</f>
        <v/>
      </c>
      <c r="AL19" s="335">
        <f>AG19/AK15</f>
        <v/>
      </c>
      <c r="AM19" s="712">
        <f>AK15-AG19</f>
        <v/>
      </c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0</v>
      </c>
      <c r="I20" s="703" t="n">
        <v>0</v>
      </c>
      <c r="J20" s="703" t="n">
        <v>0</v>
      </c>
      <c r="K20" s="703">
        <f>SUM(H20:J20)</f>
        <v/>
      </c>
      <c r="L20" s="703" t="n">
        <v>458.289</v>
      </c>
      <c r="M20" s="703" t="n">
        <v>0</v>
      </c>
      <c r="N20" s="703" t="n">
        <v>90.34230599999999</v>
      </c>
      <c r="O20" s="703">
        <f>SUM(L20:N20)</f>
        <v/>
      </c>
      <c r="P20" s="703" t="n">
        <v>305.526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703" t="n">
        <v>0</v>
      </c>
      <c r="Z20" s="703" t="n">
        <v>32.04495</v>
      </c>
      <c r="AA20" s="703">
        <f>SUM(X20:Z20)</f>
        <v/>
      </c>
      <c r="AB20" s="703" t="n">
        <v>0</v>
      </c>
      <c r="AC20" s="703" t="n">
        <v>0</v>
      </c>
      <c r="AD20" s="703" t="n">
        <v>0</v>
      </c>
      <c r="AE20" s="703">
        <f>SUM(AB20:AD20)</f>
        <v/>
      </c>
      <c r="AF20" s="703" t="n">
        <v>0</v>
      </c>
      <c r="AG20" s="318">
        <f>SUM(K20+O20+S20+W20+AA20+AE20+AF20)</f>
        <v/>
      </c>
      <c r="AH20" s="319">
        <f>IF(F20=0,"",K20/(F20/((YEAR(E20)*12+MONTH(E20))-(YEAR(D20)*12+MONTH(D20))+1)))</f>
        <v/>
      </c>
      <c r="AI20" s="319">
        <f>G20/F20</f>
        <v/>
      </c>
      <c r="AJ20" s="704">
        <f>F20-G20</f>
        <v/>
      </c>
      <c r="AK20" s="321">
        <f>SUM(F20:F22)</f>
        <v/>
      </c>
      <c r="AL20" s="322">
        <f>AL23</f>
        <v/>
      </c>
      <c r="AM20" s="705">
        <f>AM23</f>
        <v/>
      </c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5532.159915</v>
      </c>
      <c r="H21" s="707" t="n">
        <v>0</v>
      </c>
      <c r="I21" s="707" t="n">
        <v>0</v>
      </c>
      <c r="J21" s="707" t="n">
        <v>0</v>
      </c>
      <c r="K21" s="707">
        <f>SUM(H21:J21)</f>
        <v/>
      </c>
      <c r="L21" s="707" t="n">
        <v>34.377788</v>
      </c>
      <c r="M21" s="707" t="n">
        <v>0</v>
      </c>
      <c r="N21" s="707" t="n">
        <v>56.784195</v>
      </c>
      <c r="O21" s="707">
        <f>SUM(L21:N21)</f>
        <v/>
      </c>
      <c r="P21" s="707" t="n">
        <v>494.115336</v>
      </c>
      <c r="Q21" s="707" t="n">
        <v>0</v>
      </c>
      <c r="R21" s="707" t="n">
        <v>46.211266</v>
      </c>
      <c r="S21" s="707">
        <f>SUM(P21:R21)</f>
        <v/>
      </c>
      <c r="T21" s="707" t="n">
        <v>0</v>
      </c>
      <c r="U21" s="707" t="n">
        <v>0</v>
      </c>
      <c r="V21" s="707" t="n">
        <v>37.443523</v>
      </c>
      <c r="W21" s="707">
        <f>SUM(T21:V21)</f>
        <v/>
      </c>
      <c r="X21" s="707" t="n">
        <v>198.1746</v>
      </c>
      <c r="Y21" s="707" t="n">
        <v>0</v>
      </c>
      <c r="Z21" s="707" t="n">
        <v>29.640215</v>
      </c>
      <c r="AA21" s="707">
        <f>SUM(X21:Z21)</f>
        <v/>
      </c>
      <c r="AB21" s="707" t="n">
        <v>0.8469</v>
      </c>
      <c r="AC21" s="707" t="n">
        <v>4558.0158</v>
      </c>
      <c r="AD21" s="707" t="n">
        <v>19.389048</v>
      </c>
      <c r="AE21" s="707">
        <f>SUM(AB21:AD21)</f>
        <v/>
      </c>
      <c r="AF21" s="707" t="n">
        <v>21.644177</v>
      </c>
      <c r="AG21" s="271">
        <f>SUM(K21+O21+S21+W21+AA21+AE21+AF21)</f>
        <v/>
      </c>
      <c r="AH21" s="326">
        <f>IF(F21=0,"",K21/(F21/((YEAR(E21)*12+MONTH(E21))-(YEAR(D21)*12+MONTH(D21))+1)))</f>
        <v/>
      </c>
      <c r="AI21" s="326">
        <f>G21/F21</f>
        <v/>
      </c>
      <c r="AJ21" s="708">
        <f>F21-G21</f>
        <v/>
      </c>
      <c r="AK21" s="500" t="n"/>
      <c r="AL21" s="500" t="n"/>
      <c r="AM21" s="500" t="n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12759.025525</v>
      </c>
      <c r="H22" s="707" t="n">
        <v>73.38825</v>
      </c>
      <c r="I22" s="707" t="n">
        <v>0</v>
      </c>
      <c r="J22" s="707" t="n">
        <v>0</v>
      </c>
      <c r="K22" s="707">
        <f>SUM(H22:J22)</f>
        <v/>
      </c>
      <c r="L22" s="707" t="n">
        <v>1356.21486</v>
      </c>
      <c r="M22" s="707" t="n">
        <v>0</v>
      </c>
      <c r="N22" s="707" t="n">
        <v>318.416359</v>
      </c>
      <c r="O22" s="707">
        <f>SUM(L22:N22)</f>
        <v/>
      </c>
      <c r="P22" s="707" t="n">
        <v>2200.72469</v>
      </c>
      <c r="Q22" s="707" t="n">
        <v>0</v>
      </c>
      <c r="R22" s="707" t="n">
        <v>130.270558</v>
      </c>
      <c r="S22" s="707">
        <f>SUM(P22:R22)</f>
        <v/>
      </c>
      <c r="T22" s="707" t="n">
        <v>1832.902273</v>
      </c>
      <c r="U22" s="707" t="n">
        <v>0</v>
      </c>
      <c r="V22" s="707" t="n">
        <v>114.994826</v>
      </c>
      <c r="W22" s="707">
        <f>SUM(T22:V22)</f>
        <v/>
      </c>
      <c r="X22" s="707" t="n">
        <v>220.16475</v>
      </c>
      <c r="Y22" s="707" t="n">
        <v>0</v>
      </c>
      <c r="Z22" s="707" t="n">
        <v>158.674065</v>
      </c>
      <c r="AA22" s="707">
        <f>SUM(X22:Z22)</f>
        <v/>
      </c>
      <c r="AB22" s="707" t="n">
        <v>3847.561596</v>
      </c>
      <c r="AC22" s="707" t="n">
        <v>0</v>
      </c>
      <c r="AD22" s="707" t="n">
        <v>39.036743</v>
      </c>
      <c r="AE22" s="707">
        <f>SUM(AB22:AD22)</f>
        <v/>
      </c>
      <c r="AF22" s="707" t="n">
        <v>2540.064804</v>
      </c>
      <c r="AG22" s="271">
        <f>SUM(K22+O22+S22+W22+AA22+AE22+AF22)</f>
        <v/>
      </c>
      <c r="AH22" s="326">
        <f>IF(F22=0,"",K22/(F22/((YEAR(E22)*12+MONTH(E22))-(YEAR(D22)*12+MONTH(D22))+1)))</f>
        <v/>
      </c>
      <c r="AI22" s="326">
        <f>G22/F22</f>
        <v/>
      </c>
      <c r="AJ22" s="708">
        <f>F22-G22</f>
        <v/>
      </c>
      <c r="AK22" s="513" t="n"/>
      <c r="AL22" s="513" t="n"/>
      <c r="AM22" s="513" t="n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710">
        <f>SUM(AC20:AC22)</f>
        <v/>
      </c>
      <c r="AD23" s="710">
        <f>SUM(AD20:AD22)</f>
        <v/>
      </c>
      <c r="AE23" s="710">
        <f>SUM(AE20:AE22)</f>
        <v/>
      </c>
      <c r="AF23" s="710">
        <f>SUM(AF20:AF22)</f>
        <v/>
      </c>
      <c r="AG23" s="333">
        <f>SUM(K23+O23+S23+W23+AA23+AE23+AF23)</f>
        <v/>
      </c>
      <c r="AH23" s="335">
        <f>IF(F23=0,"",K23/(F23/((YEAR(E20)*12+MONTH(E20))-(YEAR(D20)*12+MONTH(D20))+1)))</f>
        <v/>
      </c>
      <c r="AI23" s="336">
        <f>G23/F23</f>
        <v/>
      </c>
      <c r="AJ23" s="715">
        <f>F23-G23</f>
        <v/>
      </c>
      <c r="AK23" s="337">
        <f>AK20</f>
        <v/>
      </c>
      <c r="AL23" s="335">
        <f>AG23/AK20</f>
        <v/>
      </c>
      <c r="AM23" s="712">
        <f>AK20-AG23</f>
        <v/>
      </c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6799.556221</v>
      </c>
      <c r="H24" s="703" t="n">
        <v>0</v>
      </c>
      <c r="I24" s="703" t="n">
        <v>0</v>
      </c>
      <c r="J24" s="703" t="n">
        <v>0</v>
      </c>
      <c r="K24" s="703">
        <f>SUM(H24:J24)</f>
        <v/>
      </c>
      <c r="L24" s="703" t="n">
        <v>1035.385146</v>
      </c>
      <c r="M24" s="703" t="n">
        <v>0</v>
      </c>
      <c r="N24" s="703" t="n">
        <v>713.811077</v>
      </c>
      <c r="O24" s="703">
        <f>SUM(L24:N24)</f>
        <v/>
      </c>
      <c r="P24" s="703" t="n">
        <v>121.826127</v>
      </c>
      <c r="Q24" s="703" t="n">
        <v>0</v>
      </c>
      <c r="R24" s="703" t="n">
        <v>638.531805</v>
      </c>
      <c r="S24" s="703">
        <f>SUM(P24:R24)</f>
        <v/>
      </c>
      <c r="T24" s="703" t="n">
        <v>88.54274700000001</v>
      </c>
      <c r="U24" s="703" t="n">
        <v>0</v>
      </c>
      <c r="V24" s="703" t="n">
        <v>616.124389</v>
      </c>
      <c r="W24" s="703">
        <f>SUM(T24:V24)</f>
        <v/>
      </c>
      <c r="X24" s="703" t="n">
        <v>50.830377</v>
      </c>
      <c r="Y24" s="703" t="n">
        <v>0</v>
      </c>
      <c r="Z24" s="703" t="n">
        <v>791.318135</v>
      </c>
      <c r="AA24" s="703">
        <f>SUM(X24:Z24)</f>
        <v/>
      </c>
      <c r="AB24" s="703" t="n">
        <v>153.11976</v>
      </c>
      <c r="AC24" s="703" t="n">
        <v>0</v>
      </c>
      <c r="AD24" s="703" t="n">
        <v>560.548117</v>
      </c>
      <c r="AE24" s="703">
        <f>SUM(AB24:AD24)</f>
        <v/>
      </c>
      <c r="AF24" s="703" t="n">
        <v>2029.518541</v>
      </c>
      <c r="AG24" s="724">
        <f>SUM(K24+O24+S24+W24+AA24+AE24+AF24)</f>
        <v/>
      </c>
      <c r="AH24" s="319">
        <f>IF(F24=0,"",K24/(F24/((YEAR(E24)*12+MONTH(E24))-(YEAR(D24)*12+MONTH(D24))+1)))</f>
        <v/>
      </c>
      <c r="AI24" s="319">
        <f>G24/F24</f>
        <v/>
      </c>
      <c r="AJ24" s="724">
        <f>F24-G24</f>
        <v/>
      </c>
      <c r="AK24" s="321">
        <f>SUM(F24:F26)</f>
        <v/>
      </c>
      <c r="AL24" s="322">
        <f>AL27</f>
        <v/>
      </c>
      <c r="AM24" s="725">
        <f>AM27</f>
        <v/>
      </c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249.741626</v>
      </c>
      <c r="H25" s="707" t="n">
        <v>0</v>
      </c>
      <c r="I25" s="707" t="n">
        <v>0</v>
      </c>
      <c r="J25" s="707" t="n">
        <v>0</v>
      </c>
      <c r="K25" s="707">
        <f>SUM(H25:J25)</f>
        <v/>
      </c>
      <c r="L25" s="707" t="n">
        <v>53.4066</v>
      </c>
      <c r="M25" s="707" t="n">
        <v>0</v>
      </c>
      <c r="N25" s="707" t="n">
        <v>22.083459</v>
      </c>
      <c r="O25" s="707">
        <f>SUM(L25:N25)</f>
        <v/>
      </c>
      <c r="P25" s="707" t="n">
        <v>3.1134</v>
      </c>
      <c r="Q25" s="707" t="n">
        <v>0</v>
      </c>
      <c r="R25" s="707" t="n">
        <v>19.121258</v>
      </c>
      <c r="S25" s="707">
        <f>SUM(P25:R25)</f>
        <v/>
      </c>
      <c r="T25" s="707" t="n">
        <v>137.257846</v>
      </c>
      <c r="U25" s="707" t="n">
        <v>3685.0554</v>
      </c>
      <c r="V25" s="707" t="n">
        <v>14.759064</v>
      </c>
      <c r="W25" s="707">
        <f>SUM(T25:V25)</f>
        <v/>
      </c>
      <c r="X25" s="707" t="n">
        <v>0</v>
      </c>
      <c r="Y25" s="707" t="n">
        <v>0</v>
      </c>
      <c r="Z25" s="707" t="n">
        <v>2.181886</v>
      </c>
      <c r="AA25" s="707">
        <f>SUM(X25:Z25)</f>
        <v/>
      </c>
      <c r="AB25" s="707" t="n">
        <v>0</v>
      </c>
      <c r="AC25" s="707" t="n">
        <v>0</v>
      </c>
      <c r="AD25" s="707" t="n">
        <v>1.481485</v>
      </c>
      <c r="AE25" s="707">
        <f>SUM(AB25:AD25)</f>
        <v/>
      </c>
      <c r="AF25" s="707" t="n">
        <v>66.75825</v>
      </c>
      <c r="AG25" s="271">
        <f>SUM(K25+O25+S25+W25+AA25+AE25+AF25)</f>
        <v/>
      </c>
      <c r="AH25" s="326">
        <f>IF(F25=0,"",K25/(F25/((YEAR(E25)*12+MONTH(E25))-(YEAR(D25)*12+MONTH(D25))+1)))</f>
        <v/>
      </c>
      <c r="AI25" s="326">
        <f>G25/F25</f>
        <v/>
      </c>
      <c r="AJ25" s="708">
        <f>F25-G25</f>
        <v/>
      </c>
      <c r="AK25" s="500" t="n"/>
      <c r="AL25" s="500" t="n"/>
      <c r="AM25" s="500" t="n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27431.48202</v>
      </c>
      <c r="H26" s="707" t="n">
        <v>0</v>
      </c>
      <c r="I26" s="707" t="n">
        <v>0</v>
      </c>
      <c r="J26" s="707" t="n">
        <v>0</v>
      </c>
      <c r="K26" s="707">
        <f>SUM(H26:J26)</f>
        <v/>
      </c>
      <c r="L26" s="707" t="n">
        <v>622.847682</v>
      </c>
      <c r="M26" s="707" t="n">
        <v>0</v>
      </c>
      <c r="N26" s="707" t="n">
        <v>353.318319</v>
      </c>
      <c r="O26" s="707">
        <f>SUM(L26:N26)</f>
        <v/>
      </c>
      <c r="P26" s="707" t="n">
        <v>2300.387433</v>
      </c>
      <c r="Q26" s="707" t="n">
        <v>0</v>
      </c>
      <c r="R26" s="707" t="n">
        <v>234.231608</v>
      </c>
      <c r="S26" s="707">
        <f>SUM(P26:R26)</f>
        <v/>
      </c>
      <c r="T26" s="707" t="n">
        <v>-6272.243033</v>
      </c>
      <c r="U26" s="707" t="n">
        <v>0</v>
      </c>
      <c r="V26" s="707" t="n">
        <v>210.102519</v>
      </c>
      <c r="W26" s="707">
        <f>SUM(T26:V26)</f>
        <v/>
      </c>
      <c r="X26" s="707" t="n">
        <v>2164.476574</v>
      </c>
      <c r="Y26" s="707" t="n">
        <v>0</v>
      </c>
      <c r="Z26" s="707" t="n">
        <v>365.27682</v>
      </c>
      <c r="AA26" s="707">
        <f>SUM(X26:Z26)</f>
        <v/>
      </c>
      <c r="AB26" s="707" t="n">
        <v>2346.171162</v>
      </c>
      <c r="AC26" s="707" t="n">
        <v>0</v>
      </c>
      <c r="AD26" s="707" t="n">
        <v>187.41719</v>
      </c>
      <c r="AE26" s="707">
        <f>SUM(AB26:AD26)</f>
        <v/>
      </c>
      <c r="AF26" s="707" t="n">
        <v>24919.495747</v>
      </c>
      <c r="AG26" s="271">
        <f>SUM(K26+O26+S26+W26+AA26+AE26+AF26)</f>
        <v/>
      </c>
      <c r="AH26" s="326">
        <f>IF(F26=0,"",K26/(F26/((YEAR(E26)*12+MONTH(E26))-(YEAR(D26)*12+MONTH(D26))+1)))</f>
        <v/>
      </c>
      <c r="AI26" s="326">
        <f>G26/F26</f>
        <v/>
      </c>
      <c r="AJ26" s="708">
        <f>F26-G26</f>
        <v/>
      </c>
      <c r="AK26" s="513" t="n"/>
      <c r="AL26" s="513" t="n"/>
      <c r="AM26" s="513" t="n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710">
        <f>SUM(AC24:AC26)</f>
        <v/>
      </c>
      <c r="AD27" s="710">
        <f>SUM(AD24:AD26)</f>
        <v/>
      </c>
      <c r="AE27" s="710">
        <f>SUM(AE24:AE26)</f>
        <v/>
      </c>
      <c r="AF27" s="710">
        <f>SUM(AF24:AF26)</f>
        <v/>
      </c>
      <c r="AG27" s="333">
        <f>SUM(K27+O27+S27+W27+AA27+AE27+AF27)</f>
        <v/>
      </c>
      <c r="AH27" s="335">
        <f>IF(F27=0,"",K27/(F27/((YEAR(E24)*12+MONTH(E24))-(YEAR(D24)*12+MONTH(D24))+1)))</f>
        <v/>
      </c>
      <c r="AI27" s="336">
        <f>G27/F27</f>
        <v/>
      </c>
      <c r="AJ27" s="715">
        <f>F27-G27</f>
        <v/>
      </c>
      <c r="AK27" s="337">
        <f>AK24</f>
        <v/>
      </c>
      <c r="AL27" s="335">
        <f>AG27/AK24</f>
        <v/>
      </c>
      <c r="AM27" s="712">
        <f>AK24-AG27</f>
        <v/>
      </c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393.298244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130.21558</v>
      </c>
      <c r="M28" s="703" t="n">
        <v>0</v>
      </c>
      <c r="N28" s="703" t="n">
        <v>60.359225</v>
      </c>
      <c r="O28" s="703">
        <f>SUM(L28:N28)</f>
        <v/>
      </c>
      <c r="P28" s="703" t="n">
        <v>0</v>
      </c>
      <c r="Q28" s="703" t="n">
        <v>0</v>
      </c>
      <c r="R28" s="703" t="n">
        <v>26.609284</v>
      </c>
      <c r="S28" s="703">
        <f>SUM(P28:R28)</f>
        <v/>
      </c>
      <c r="T28" s="703" t="n">
        <v>0</v>
      </c>
      <c r="U28" s="703" t="n">
        <v>0</v>
      </c>
      <c r="V28" s="703" t="n">
        <v>25.715569</v>
      </c>
      <c r="W28" s="703">
        <f>SUM(T28:V28)</f>
        <v/>
      </c>
      <c r="X28" s="703" t="n">
        <v>103.23148</v>
      </c>
      <c r="Y28" s="703" t="n">
        <v>0</v>
      </c>
      <c r="Z28" s="703" t="n">
        <v>47.167105</v>
      </c>
      <c r="AA28" s="703">
        <f>SUM(X28:Z28)</f>
        <v/>
      </c>
      <c r="AB28" s="703" t="n">
        <v>51.706393</v>
      </c>
      <c r="AC28" s="703" t="n">
        <v>90.204069</v>
      </c>
      <c r="AD28" s="703" t="n">
        <v>16.925117</v>
      </c>
      <c r="AE28" s="703">
        <f>SUM(AB28:AD28)</f>
        <v/>
      </c>
      <c r="AF28" s="703" t="n">
        <v>193.330405</v>
      </c>
      <c r="AG28" s="724">
        <f>SUM(K28+O28+S28+W28+AA28+AE28+AF28)</f>
        <v/>
      </c>
      <c r="AH28" s="319">
        <f>IF(F28=0,"",K28/(F28/((YEAR(E28)*12+MONTH(E28))-(YEAR(D28)*12+MONTH(D28))+1)))</f>
        <v/>
      </c>
      <c r="AI28" s="319">
        <f>G28/F28</f>
        <v/>
      </c>
      <c r="AJ28" s="724">
        <f>F28-G28</f>
        <v/>
      </c>
      <c r="AK28" s="321">
        <f>SUM(F28:F30)</f>
        <v/>
      </c>
      <c r="AL28" s="322">
        <f>AL31</f>
        <v/>
      </c>
      <c r="AM28" s="725">
        <f>AM31</f>
        <v/>
      </c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</row>
    <row r="29" outlineLevel="1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38682.291621</v>
      </c>
      <c r="H29" s="707" t="n">
        <v>248.43</v>
      </c>
      <c r="I29" s="707" t="n">
        <v>0</v>
      </c>
      <c r="J29" s="707" t="n">
        <v>0</v>
      </c>
      <c r="K29" s="707">
        <f>SUM(H29:J29)</f>
        <v/>
      </c>
      <c r="L29" s="707" t="n">
        <v>2106.18954</v>
      </c>
      <c r="M29" s="707" t="n">
        <v>2057.0004</v>
      </c>
      <c r="N29" s="707" t="n">
        <v>575.061492</v>
      </c>
      <c r="O29" s="707">
        <f>SUM(L29:N29)</f>
        <v/>
      </c>
      <c r="P29" s="707" t="n">
        <v>536.6088</v>
      </c>
      <c r="Q29" s="707" t="n">
        <v>0</v>
      </c>
      <c r="R29" s="707" t="n">
        <v>722.01536</v>
      </c>
      <c r="S29" s="707">
        <f>SUM(P29:R29)</f>
        <v/>
      </c>
      <c r="T29" s="707" t="n">
        <v>1351.820914</v>
      </c>
      <c r="U29" s="707" t="n">
        <v>20570.004</v>
      </c>
      <c r="V29" s="707" t="n">
        <v>668.034433</v>
      </c>
      <c r="W29" s="707">
        <f>SUM(T29:V29)</f>
        <v/>
      </c>
      <c r="X29" s="707" t="n">
        <v>3314.503374</v>
      </c>
      <c r="Y29" s="707" t="n">
        <v>0</v>
      </c>
      <c r="Z29" s="707" t="n">
        <v>713.569709</v>
      </c>
      <c r="AA29" s="707">
        <f>SUM(X29:Z29)</f>
        <v/>
      </c>
      <c r="AB29" s="707" t="n">
        <v>4769.379014</v>
      </c>
      <c r="AC29" s="707" t="n">
        <v>0</v>
      </c>
      <c r="AD29" s="707" t="n">
        <v>228.136442</v>
      </c>
      <c r="AE29" s="707">
        <f>SUM(AB29:AD29)</f>
        <v/>
      </c>
      <c r="AF29" s="707" t="n">
        <v>1069.968142</v>
      </c>
      <c r="AG29" s="271">
        <f>SUM(K29+O29+S29+W29+AA29+AE29+AF29)</f>
        <v/>
      </c>
      <c r="AH29" s="326">
        <f>IF(F29=0,"",K29/(F29/((YEAR(E29)*12+MONTH(E29))-(YEAR(D29)*12+MONTH(D29))+1)))</f>
        <v/>
      </c>
      <c r="AI29" s="326">
        <f>G29/F29</f>
        <v/>
      </c>
      <c r="AJ29" s="708">
        <f>F29-G29</f>
        <v/>
      </c>
      <c r="AK29" s="500" t="n"/>
      <c r="AL29" s="500" t="n"/>
      <c r="AM29" s="500" t="n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</row>
    <row r="30" outlineLevel="1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16996.429799</v>
      </c>
      <c r="H30" s="707" t="n">
        <v>0</v>
      </c>
      <c r="I30" s="707" t="n">
        <v>0</v>
      </c>
      <c r="J30" s="707" t="n">
        <v>0</v>
      </c>
      <c r="K30" s="707">
        <f>SUM(H30:J30)</f>
        <v/>
      </c>
      <c r="L30" s="707" t="n">
        <v>518.45904</v>
      </c>
      <c r="M30" s="707" t="n">
        <v>1637.52732</v>
      </c>
      <c r="N30" s="707" t="n">
        <v>284.729185</v>
      </c>
      <c r="O30" s="707">
        <f>SUM(L30:N30)</f>
        <v/>
      </c>
      <c r="P30" s="707" t="n">
        <v>994.77807</v>
      </c>
      <c r="Q30" s="707" t="n">
        <v>0</v>
      </c>
      <c r="R30" s="707" t="n">
        <v>185.511372</v>
      </c>
      <c r="S30" s="707">
        <f>SUM(P30:R30)</f>
        <v/>
      </c>
      <c r="T30" s="707" t="n">
        <v>949.2912</v>
      </c>
      <c r="U30" s="707" t="n">
        <v>0</v>
      </c>
      <c r="V30" s="707" t="n">
        <v>144.291309</v>
      </c>
      <c r="W30" s="707">
        <f>SUM(T30:V30)</f>
        <v/>
      </c>
      <c r="X30" s="707" t="n">
        <v>2158.292651</v>
      </c>
      <c r="Y30" s="707" t="n">
        <v>8187.6366</v>
      </c>
      <c r="Z30" s="707" t="n">
        <v>194.447373</v>
      </c>
      <c r="AA30" s="707">
        <f>SUM(X30:Z30)</f>
        <v/>
      </c>
      <c r="AB30" s="707" t="n">
        <v>474.6456</v>
      </c>
      <c r="AC30" s="707" t="n">
        <v>0</v>
      </c>
      <c r="AD30" s="707" t="n">
        <v>122.035472</v>
      </c>
      <c r="AE30" s="707">
        <f>SUM(AB30:AD30)</f>
        <v/>
      </c>
      <c r="AF30" s="707" t="n">
        <v>1144.784607</v>
      </c>
      <c r="AG30" s="271">
        <f>SUM(K30+O30+S30+W30+AA30+AE30+AF30)</f>
        <v/>
      </c>
      <c r="AH30" s="326">
        <f>IF(F30=0,"",K30/(F30/((YEAR(E30)*12+MONTH(E30))-(YEAR(D30)*12+MONTH(D30))+1)))</f>
        <v/>
      </c>
      <c r="AI30" s="326">
        <f>G30/F30</f>
        <v/>
      </c>
      <c r="AJ30" s="708">
        <f>F30-G30</f>
        <v/>
      </c>
      <c r="AK30" s="513" t="n"/>
      <c r="AL30" s="513" t="n"/>
      <c r="AM30" s="513" t="n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</row>
    <row r="31" outlineLevel="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710">
        <f>SUM(Y28:Y30)</f>
        <v/>
      </c>
      <c r="Z31" s="710">
        <f>SUM(Z28:Z30)</f>
        <v/>
      </c>
      <c r="AA31" s="710">
        <f>SUM(AA28:AA30)</f>
        <v/>
      </c>
      <c r="AB31" s="710">
        <f>SUM(AB28:AB30)</f>
        <v/>
      </c>
      <c r="AC31" s="710">
        <f>SUM(AC28:AC30)</f>
        <v/>
      </c>
      <c r="AD31" s="710">
        <f>SUM(AD28:AD30)</f>
        <v/>
      </c>
      <c r="AE31" s="710">
        <f>SUM(AE28:AE30)</f>
        <v/>
      </c>
      <c r="AF31" s="710">
        <f>SUM(AF28:AF30)</f>
        <v/>
      </c>
      <c r="AG31" s="333">
        <f>SUM(K31+O31+S31+W31+AA31+AE31+AF31)</f>
        <v/>
      </c>
      <c r="AH31" s="335">
        <f>IF(F31=0,"",K31/(F31/((YEAR(E28)*12+MONTH(E28))-(YEAR(D28)*12+MONTH(D28))+1)))</f>
        <v/>
      </c>
      <c r="AI31" s="336">
        <f>G31/F31</f>
        <v/>
      </c>
      <c r="AJ31" s="715">
        <f>F31-G31</f>
        <v/>
      </c>
      <c r="AK31" s="337">
        <f>AK28</f>
        <v/>
      </c>
      <c r="AL31" s="335">
        <f>AG31/AK28</f>
        <v/>
      </c>
      <c r="AM31" s="712">
        <f>AK28-AG31</f>
        <v/>
      </c>
      <c r="AN31" s="713" t="inlineStr"/>
      <c r="AO31" s="713" t="inlineStr"/>
      <c r="AP31" s="713" t="inlineStr"/>
      <c r="AQ31" s="713" t="inlineStr"/>
      <c r="AR31" s="713" t="inlineStr"/>
      <c r="AS31" s="713" t="inlineStr"/>
      <c r="AT31" s="713" t="inlineStr"/>
      <c r="AU31" s="713" t="inlineStr"/>
      <c r="AV31" s="713" t="inlineStr"/>
      <c r="AW31" s="713" t="inlineStr"/>
      <c r="AX31" s="713" t="inlineStr"/>
      <c r="AY31" s="713" t="inlineStr"/>
      <c r="AZ31" s="713" t="inlineStr"/>
      <c r="BA31" s="713" t="inlineStr"/>
      <c r="BB31" s="713" t="inlineStr"/>
      <c r="BC31" s="713" t="inlineStr"/>
      <c r="BD31" s="713" t="inlineStr"/>
      <c r="BE31" s="713" t="inlineStr"/>
      <c r="BF31" s="713" t="inlineStr"/>
      <c r="BG31" s="713" t="inlineStr"/>
      <c r="BH31" s="713" t="inlineStr"/>
      <c r="BI31" s="713" t="inlineStr"/>
      <c r="BJ31" s="713" t="inlineStr"/>
      <c r="BK31" s="713" t="inlineStr"/>
      <c r="BL31" s="713" t="inlineStr"/>
      <c r="BM31" s="713" t="inlineStr"/>
    </row>
    <row r="32" outlineLevel="1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8506.618479999999</v>
      </c>
      <c r="H32" s="703" t="n">
        <v>0</v>
      </c>
      <c r="I32" s="703" t="n">
        <v>0</v>
      </c>
      <c r="J32" s="703" t="n">
        <v>0</v>
      </c>
      <c r="K32" s="703">
        <f>SUM(H32:J32)</f>
        <v/>
      </c>
      <c r="L32" s="703" t="n">
        <v>2009.44</v>
      </c>
      <c r="M32" s="703" t="n">
        <v>646.53732</v>
      </c>
      <c r="N32" s="703" t="n">
        <v>131.738053</v>
      </c>
      <c r="O32" s="703">
        <f>SUM(L32:N32)</f>
        <v/>
      </c>
      <c r="P32" s="703" t="n">
        <v>1610.465688</v>
      </c>
      <c r="Q32" s="703" t="n">
        <v>110.192882</v>
      </c>
      <c r="R32" s="703" t="n">
        <v>23.921364</v>
      </c>
      <c r="S32" s="703">
        <f>SUM(P32:R32)</f>
        <v/>
      </c>
      <c r="T32" s="703" t="n">
        <v>1008.99006</v>
      </c>
      <c r="U32" s="703" t="n">
        <v>0</v>
      </c>
      <c r="V32" s="703" t="n">
        <v>42.539952</v>
      </c>
      <c r="W32" s="703">
        <f>SUM(T32:V32)</f>
        <v/>
      </c>
      <c r="X32" s="703" t="n">
        <v>0</v>
      </c>
      <c r="Y32" s="703" t="n">
        <v>342.296351</v>
      </c>
      <c r="Z32" s="703" t="n">
        <v>99.729601</v>
      </c>
      <c r="AA32" s="703">
        <f>SUM(X32:Z32)</f>
        <v/>
      </c>
      <c r="AB32" s="703" t="n">
        <v>440.8209</v>
      </c>
      <c r="AC32" s="703" t="n">
        <v>0</v>
      </c>
      <c r="AD32" s="703" t="n">
        <v>27.757259</v>
      </c>
      <c r="AE32" s="703">
        <f>SUM(AB32:AD32)</f>
        <v/>
      </c>
      <c r="AF32" s="703" t="n">
        <v>1313.905711</v>
      </c>
      <c r="AG32" s="724">
        <f>SUM(K32+O32+S32+W32+AA32+AE32+AF32)</f>
        <v/>
      </c>
      <c r="AH32" s="319">
        <f>IF(F32=0,"",K32/(F32/((YEAR(E32)*12+MONTH(E32))-(YEAR(D32)*12+MONTH(D32))+1)))</f>
        <v/>
      </c>
      <c r="AI32" s="319">
        <f>G32/F32</f>
        <v/>
      </c>
      <c r="AJ32" s="724">
        <f>F32-G32</f>
        <v/>
      </c>
      <c r="AK32" s="321">
        <f>SUM(F32:F33)</f>
        <v/>
      </c>
      <c r="AL32" s="322">
        <f>AL34</f>
        <v/>
      </c>
      <c r="AM32" s="725">
        <f>AM34</f>
        <v/>
      </c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</row>
    <row r="33" outlineLevel="1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49002.903557</v>
      </c>
      <c r="H33" s="707" t="n">
        <v>384.216007</v>
      </c>
      <c r="I33" s="707" t="n">
        <v>0</v>
      </c>
      <c r="J33" s="707" t="n">
        <v>0</v>
      </c>
      <c r="K33" s="707">
        <f>SUM(H33:J33)</f>
        <v/>
      </c>
      <c r="L33" s="707" t="n">
        <v>7288.783433</v>
      </c>
      <c r="M33" s="707" t="n">
        <v>601.58592</v>
      </c>
      <c r="N33" s="707" t="n">
        <v>539.369584</v>
      </c>
      <c r="O33" s="707">
        <f>SUM(L33:N33)</f>
        <v/>
      </c>
      <c r="P33" s="707" t="n">
        <v>8333.122670999999</v>
      </c>
      <c r="Q33" s="707" t="n">
        <v>0</v>
      </c>
      <c r="R33" s="707" t="n">
        <v>378.574951</v>
      </c>
      <c r="S33" s="707">
        <f>SUM(P33:R33)</f>
        <v/>
      </c>
      <c r="T33" s="707" t="n">
        <v>1259.210798</v>
      </c>
      <c r="U33" s="707" t="n">
        <v>3101.9274</v>
      </c>
      <c r="V33" s="707" t="n">
        <v>318.667286</v>
      </c>
      <c r="W33" s="707">
        <f>SUM(T33:V33)</f>
        <v/>
      </c>
      <c r="X33" s="707" t="n">
        <v>10803.329409</v>
      </c>
      <c r="Y33" s="707" t="n">
        <v>0</v>
      </c>
      <c r="Z33" s="707" t="n">
        <v>396.373158</v>
      </c>
      <c r="AA33" s="707">
        <f>SUM(X33:Z33)</f>
        <v/>
      </c>
      <c r="AB33" s="707" t="n">
        <v>6594.535422</v>
      </c>
      <c r="AC33" s="707" t="n">
        <v>0</v>
      </c>
      <c r="AD33" s="707" t="n">
        <v>271.914403</v>
      </c>
      <c r="AE33" s="707">
        <f>SUM(AB33:AD33)</f>
        <v/>
      </c>
      <c r="AF33" s="707" t="n">
        <v>9115.509121999999</v>
      </c>
      <c r="AG33" s="271">
        <f>SUM(K33+O33+S33+W33+AA33+AE33+AF33)</f>
        <v/>
      </c>
      <c r="AH33" s="326">
        <f>IF(F33=0,"",K33/(F33/((YEAR(E33)*12+MONTH(E33))-(YEAR(D33)*12+MONTH(D33))+1)))</f>
        <v/>
      </c>
      <c r="AI33" s="326">
        <f>G33/F33</f>
        <v/>
      </c>
      <c r="AJ33" s="708">
        <f>F33-G33</f>
        <v/>
      </c>
      <c r="AK33" s="513" t="n"/>
      <c r="AL33" s="513" t="n"/>
      <c r="AM33" s="513" t="n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</row>
    <row r="34" outlineLevel="1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710">
        <f>SUM(Y32:Y33)</f>
        <v/>
      </c>
      <c r="Z34" s="710">
        <f>SUM(Z32:Z33)</f>
        <v/>
      </c>
      <c r="AA34" s="710">
        <f>SUM(AA32:AA33)</f>
        <v/>
      </c>
      <c r="AB34" s="710">
        <f>SUM(AB32:AB33)</f>
        <v/>
      </c>
      <c r="AC34" s="710">
        <f>SUM(AC32:AC33)</f>
        <v/>
      </c>
      <c r="AD34" s="710">
        <f>SUM(AD32:AD33)</f>
        <v/>
      </c>
      <c r="AE34" s="710">
        <f>SUM(AE32:AE33)</f>
        <v/>
      </c>
      <c r="AF34" s="710">
        <f>SUM(AF32:AF33)</f>
        <v/>
      </c>
      <c r="AG34" s="333">
        <f>SUM(K34+O34+S34+W34+AA34+AE34+AF34)</f>
        <v/>
      </c>
      <c r="AH34" s="335">
        <f>IF(F34=0,"",K34/(F34/((YEAR(E32)*12+MONTH(E32))-(YEAR(D32)*12+MONTH(D32))+1)))</f>
        <v/>
      </c>
      <c r="AI34" s="336">
        <f>G34/F34</f>
        <v/>
      </c>
      <c r="AJ34" s="715">
        <f>F34-G34</f>
        <v/>
      </c>
      <c r="AK34" s="337">
        <f>AK32</f>
        <v/>
      </c>
      <c r="AL34" s="335">
        <f>AG34/AK32</f>
        <v/>
      </c>
      <c r="AM34" s="712">
        <f>AK32-AG34</f>
        <v/>
      </c>
      <c r="AN34" s="713" t="inlineStr"/>
      <c r="AO34" s="713" t="inlineStr"/>
      <c r="AP34" s="713" t="inlineStr"/>
      <c r="AQ34" s="713" t="inlineStr"/>
      <c r="AR34" s="713" t="inlineStr"/>
      <c r="AS34" s="713" t="inlineStr"/>
      <c r="AT34" s="713" t="inlineStr"/>
      <c r="AU34" s="713" t="inlineStr"/>
      <c r="AV34" s="713" t="inlineStr"/>
      <c r="AW34" s="713" t="inlineStr"/>
      <c r="AX34" s="713" t="inlineStr"/>
      <c r="AY34" s="713" t="inlineStr"/>
      <c r="AZ34" s="713" t="inlineStr"/>
      <c r="BA34" s="713" t="inlineStr"/>
      <c r="BB34" s="713" t="inlineStr"/>
      <c r="BC34" s="713" t="inlineStr"/>
      <c r="BD34" s="713" t="inlineStr"/>
      <c r="BE34" s="713" t="inlineStr"/>
      <c r="BF34" s="713" t="inlineStr"/>
      <c r="BG34" s="713" t="inlineStr"/>
      <c r="BH34" s="713" t="inlineStr"/>
      <c r="BI34" s="713" t="inlineStr"/>
      <c r="BJ34" s="713" t="inlineStr"/>
      <c r="BK34" s="713" t="inlineStr"/>
      <c r="BL34" s="713" t="inlineStr"/>
      <c r="BM34" s="713" t="inlineStr"/>
    </row>
    <row r="35" outlineLevel="1" ht="14.25" customFormat="1" customHeight="1" s="483">
      <c r="A35" s="703" t="inlineStr">
        <is>
          <t>理财师005</t>
        </is>
      </c>
      <c r="B35" s="703" t="inlineStr">
        <is>
          <t>理财师030</t>
        </is>
      </c>
      <c r="C35" s="703" t="inlineStr">
        <is>
          <t>私人财富管理顾问PWA1-1</t>
        </is>
      </c>
      <c r="D35" s="693" t="n">
        <v>46195</v>
      </c>
      <c r="E35" s="693" t="n">
        <v>46377</v>
      </c>
      <c r="F35" s="703" t="n">
        <v>7461.34</v>
      </c>
      <c r="G35" s="703" t="n">
        <v>248.422704</v>
      </c>
      <c r="H35" s="703" t="n">
        <v>0</v>
      </c>
      <c r="I35" s="703" t="n">
        <v>0</v>
      </c>
      <c r="J35" s="703" t="n">
        <v>0</v>
      </c>
      <c r="K35" s="703">
        <f>SUM(H35:J35)</f>
        <v/>
      </c>
      <c r="L35" s="703" t="n">
        <v>247.0689</v>
      </c>
      <c r="M35" s="703" t="n">
        <v>0</v>
      </c>
      <c r="N35" s="703" t="n">
        <v>1.353804</v>
      </c>
      <c r="O35" s="703">
        <f>SUM(L35:N35)</f>
        <v/>
      </c>
      <c r="P35" s="703" t="n">
        <v>0</v>
      </c>
      <c r="Q35" s="703" t="n">
        <v>0</v>
      </c>
      <c r="R35" s="703" t="n">
        <v>0</v>
      </c>
      <c r="S35" s="703">
        <f>SUM(P35:R35)</f>
        <v/>
      </c>
      <c r="T35" s="703" t="n">
        <v>0</v>
      </c>
      <c r="U35" s="703" t="n">
        <v>0</v>
      </c>
      <c r="V35" s="703" t="n">
        <v>0</v>
      </c>
      <c r="W35" s="703">
        <f>SUM(T35:V35)</f>
        <v/>
      </c>
      <c r="X35" s="703" t="n">
        <v>0</v>
      </c>
      <c r="Y35" s="703" t="n">
        <v>0</v>
      </c>
      <c r="Z35" s="703" t="n">
        <v>0</v>
      </c>
      <c r="AA35" s="703">
        <f>SUM(X35:Z35)</f>
        <v/>
      </c>
      <c r="AB35" s="703" t="n">
        <v>0</v>
      </c>
      <c r="AC35" s="703" t="n">
        <v>0</v>
      </c>
      <c r="AD35" s="703" t="n">
        <v>0</v>
      </c>
      <c r="AE35" s="703">
        <f>SUM(AB35:AD35)</f>
        <v/>
      </c>
      <c r="AF35" s="703" t="n">
        <v>0</v>
      </c>
      <c r="AG35" s="724">
        <f>SUM(K35+O35+S35+W35+AA35+AE35+AF35)</f>
        <v/>
      </c>
      <c r="AH35" s="319">
        <f>IF(F35=0,"",K35/(F35/((YEAR(E35)*12+MONTH(E35))-(YEAR(D35)*12+MONTH(D35))+1)))</f>
        <v/>
      </c>
      <c r="AI35" s="319">
        <f>G35/F35</f>
        <v/>
      </c>
      <c r="AJ35" s="724">
        <f>F35-G35</f>
        <v/>
      </c>
      <c r="AK35" s="321">
        <f>SUM(F35:F37)</f>
        <v/>
      </c>
      <c r="AL35" s="322">
        <f>AL38</f>
        <v/>
      </c>
      <c r="AM35" s="725">
        <f>AM38</f>
        <v/>
      </c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</row>
    <row r="36" outlineLevel="1" ht="14.25" customFormat="1" customHeight="1" s="483">
      <c r="A36" s="500" t="n"/>
      <c r="B36" s="707" t="inlineStr">
        <is>
          <t>理财师026</t>
        </is>
      </c>
      <c r="C36" s="707" t="inlineStr">
        <is>
          <t>观察期PWA0-1</t>
        </is>
      </c>
      <c r="D36" s="676" t="n">
        <v>46113</v>
      </c>
      <c r="E36" s="676" t="n">
        <v>46203</v>
      </c>
      <c r="F36" s="707" t="n">
        <v>1943.13</v>
      </c>
      <c r="G36" s="707" t="n">
        <v>902.785562</v>
      </c>
      <c r="H36" s="707" t="n">
        <v>0</v>
      </c>
      <c r="I36" s="707" t="n">
        <v>0</v>
      </c>
      <c r="J36" s="707" t="n">
        <v>0</v>
      </c>
      <c r="K36" s="707">
        <f>SUM(H36:J36)</f>
        <v/>
      </c>
      <c r="L36" s="707" t="n">
        <v>288.6936</v>
      </c>
      <c r="M36" s="707" t="n">
        <v>0</v>
      </c>
      <c r="N36" s="707" t="n">
        <v>29.506523</v>
      </c>
      <c r="O36" s="707">
        <f>SUM(L36:N36)</f>
        <v/>
      </c>
      <c r="P36" s="707" t="n">
        <v>114.611359</v>
      </c>
      <c r="Q36" s="707" t="n">
        <v>0</v>
      </c>
      <c r="R36" s="707" t="n">
        <v>18.055825</v>
      </c>
      <c r="S36" s="707">
        <f>SUM(P36:R36)</f>
        <v/>
      </c>
      <c r="T36" s="707" t="n">
        <v>437.370804</v>
      </c>
      <c r="U36" s="707" t="n">
        <v>0</v>
      </c>
      <c r="V36" s="707" t="n">
        <v>14.547451</v>
      </c>
      <c r="W36" s="707">
        <f>SUM(T36:V36)</f>
        <v/>
      </c>
      <c r="X36" s="707" t="n">
        <v>809.929895</v>
      </c>
      <c r="Y36" s="707" t="n">
        <v>0</v>
      </c>
      <c r="Z36" s="707" t="n">
        <v>47.501776</v>
      </c>
      <c r="AA36" s="707">
        <f>SUM(X36:Z36)</f>
        <v/>
      </c>
      <c r="AB36" s="707" t="n">
        <v>176.20858</v>
      </c>
      <c r="AC36" s="707" t="n">
        <v>0</v>
      </c>
      <c r="AD36" s="707" t="n">
        <v>11.404098</v>
      </c>
      <c r="AE36" s="707">
        <f>SUM(AB36:AD36)</f>
        <v/>
      </c>
      <c r="AF36" s="707" t="n">
        <v>12.282809</v>
      </c>
      <c r="AG36" s="271">
        <f>SUM(K36+O36+S36+W36+AA36+AE36+AF36)</f>
        <v/>
      </c>
      <c r="AH36" s="326">
        <f>IF(F36=0,"",K36/(F36/((YEAR(E36)*12+MONTH(E36))-(YEAR(D36)*12+MONTH(D36))+1)))</f>
        <v/>
      </c>
      <c r="AI36" s="326">
        <f>G36/F36</f>
        <v/>
      </c>
      <c r="AJ36" s="708">
        <f>F36-G36</f>
        <v/>
      </c>
      <c r="AK36" s="500" t="n"/>
      <c r="AL36" s="500" t="n"/>
      <c r="AM36" s="500" t="n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15082.652073</v>
      </c>
      <c r="H37" s="707" t="n">
        <v>0</v>
      </c>
      <c r="I37" s="707" t="n">
        <v>0</v>
      </c>
      <c r="J37" s="707" t="n">
        <v>0</v>
      </c>
      <c r="K37" s="707">
        <f>SUM(H37:J37)</f>
        <v/>
      </c>
      <c r="L37" s="707" t="n">
        <v>3789.257393</v>
      </c>
      <c r="M37" s="707" t="n">
        <v>0</v>
      </c>
      <c r="N37" s="707" t="n">
        <v>456.121636</v>
      </c>
      <c r="O37" s="707">
        <f>SUM(L37:N37)</f>
        <v/>
      </c>
      <c r="P37" s="707" t="n">
        <v>907.591957</v>
      </c>
      <c r="Q37" s="707" t="n">
        <v>0</v>
      </c>
      <c r="R37" s="707" t="n">
        <v>364.243787</v>
      </c>
      <c r="S37" s="707">
        <f>SUM(P37:R37)</f>
        <v/>
      </c>
      <c r="T37" s="707" t="n">
        <v>1870.349984</v>
      </c>
      <c r="U37" s="707" t="n">
        <v>2312.474666</v>
      </c>
      <c r="V37" s="707" t="n">
        <v>319.48223</v>
      </c>
      <c r="W37" s="707">
        <f>SUM(T37:V37)</f>
        <v/>
      </c>
      <c r="X37" s="707" t="n">
        <v>731.292658</v>
      </c>
      <c r="Y37" s="707" t="n">
        <v>1925.150771</v>
      </c>
      <c r="Z37" s="707" t="n">
        <v>383.775324</v>
      </c>
      <c r="AA37" s="707">
        <f>SUM(X37:Z37)</f>
        <v/>
      </c>
      <c r="AB37" s="707" t="n">
        <v>1738.204897</v>
      </c>
      <c r="AC37" s="707" t="n">
        <v>0</v>
      </c>
      <c r="AD37" s="707" t="n">
        <v>284.706769</v>
      </c>
      <c r="AE37" s="707">
        <f>SUM(AB37:AD37)</f>
        <v/>
      </c>
      <c r="AF37" s="707" t="n">
        <v>1538.392041</v>
      </c>
      <c r="AG37" s="271">
        <f>SUM(K37+O37+S37+W37+AA37+AE37+AF37)</f>
        <v/>
      </c>
      <c r="AH37" s="326">
        <f>IF(F37=0,"",K37/(F37/((YEAR(E37)*12+MONTH(E37))-(YEAR(D37)*12+MONTH(D37))+1)))</f>
        <v/>
      </c>
      <c r="AI37" s="326">
        <f>G37/F37</f>
        <v/>
      </c>
      <c r="AJ37" s="708">
        <f>F37-G37</f>
        <v/>
      </c>
      <c r="AK37" s="513" t="n"/>
      <c r="AL37" s="513" t="n"/>
      <c r="AM37" s="513" t="n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SUM(F35:F37)</f>
        <v/>
      </c>
      <c r="G38" s="710">
        <f>SUM(G35:G37)</f>
        <v/>
      </c>
      <c r="H38" s="710">
        <f>SUM(H35:H37)</f>
        <v/>
      </c>
      <c r="I38" s="710">
        <f>SUM(I35:I37)</f>
        <v/>
      </c>
      <c r="J38" s="710">
        <f>SUM(J35:J37)</f>
        <v/>
      </c>
      <c r="K38" s="710">
        <f>SUM(K35:K37)</f>
        <v/>
      </c>
      <c r="L38" s="710">
        <f>SUM(L35:L37)</f>
        <v/>
      </c>
      <c r="M38" s="710">
        <f>SUM(M35:M37)</f>
        <v/>
      </c>
      <c r="N38" s="710">
        <f>SUM(N35:N37)</f>
        <v/>
      </c>
      <c r="O38" s="710">
        <f>SUM(O35:O37)</f>
        <v/>
      </c>
      <c r="P38" s="710">
        <f>SUM(P35:P37)</f>
        <v/>
      </c>
      <c r="Q38" s="710">
        <f>SUM(Q35:Q37)</f>
        <v/>
      </c>
      <c r="R38" s="710">
        <f>SUM(R35:R37)</f>
        <v/>
      </c>
      <c r="S38" s="710">
        <f>SUM(S35:S37)</f>
        <v/>
      </c>
      <c r="T38" s="710">
        <f>SUM(T35:T37)</f>
        <v/>
      </c>
      <c r="U38" s="710">
        <f>SUM(U35:U37)</f>
        <v/>
      </c>
      <c r="V38" s="710">
        <f>SUM(V35:V37)</f>
        <v/>
      </c>
      <c r="W38" s="710">
        <f>SUM(W35:W37)</f>
        <v/>
      </c>
      <c r="X38" s="710">
        <f>SUM(X35:X37)</f>
        <v/>
      </c>
      <c r="Y38" s="710">
        <f>SUM(Y35:Y37)</f>
        <v/>
      </c>
      <c r="Z38" s="710">
        <f>SUM(Z35:Z37)</f>
        <v/>
      </c>
      <c r="AA38" s="710">
        <f>SUM(AA35:AA37)</f>
        <v/>
      </c>
      <c r="AB38" s="710">
        <f>SUM(AB35:AB37)</f>
        <v/>
      </c>
      <c r="AC38" s="710">
        <f>SUM(AC35:AC37)</f>
        <v/>
      </c>
      <c r="AD38" s="710">
        <f>SUM(AD35:AD37)</f>
        <v/>
      </c>
      <c r="AE38" s="710">
        <f>SUM(AE35:AE37)</f>
        <v/>
      </c>
      <c r="AF38" s="710">
        <f>SUM(AF35:AF37)</f>
        <v/>
      </c>
      <c r="AG38" s="711">
        <f>SUM(K38+O38+S38+W38+AA38+AE38+AF38)</f>
        <v/>
      </c>
      <c r="AH38" s="335">
        <f>IF(F38=0,"",K38/(F38/((YEAR(E35)*12+MONTH(E35))-(YEAR(D35)*12+MONTH(D35))+1)))</f>
        <v/>
      </c>
      <c r="AI38" s="336">
        <f>G38/F38</f>
        <v/>
      </c>
      <c r="AJ38" s="711">
        <f>F38-G38</f>
        <v/>
      </c>
      <c r="AK38" s="337">
        <f>AK35</f>
        <v/>
      </c>
      <c r="AL38" s="335">
        <f>AG38/AK35</f>
        <v/>
      </c>
      <c r="AM38" s="718">
        <f>AK35-AG38</f>
        <v/>
      </c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  <c r="BJ38" s="713" t="inlineStr"/>
      <c r="BK38" s="713" t="inlineStr"/>
      <c r="BL38" s="713" t="inlineStr"/>
      <c r="BM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4549.955946</v>
      </c>
      <c r="H39" s="703" t="n">
        <v>0</v>
      </c>
      <c r="I39" s="703" t="n">
        <v>0</v>
      </c>
      <c r="J39" s="703" t="n">
        <v>0</v>
      </c>
      <c r="K39" s="703">
        <f>SUM(H39:J39)</f>
        <v/>
      </c>
      <c r="L39" s="703" t="n">
        <v>564.94934</v>
      </c>
      <c r="M39" s="703" t="n">
        <v>0</v>
      </c>
      <c r="N39" s="703" t="n">
        <v>24.288755</v>
      </c>
      <c r="O39" s="703">
        <f>SUM(L39:N39)</f>
        <v/>
      </c>
      <c r="P39" s="703" t="n">
        <v>0</v>
      </c>
      <c r="Q39" s="703" t="n">
        <v>3092.4036</v>
      </c>
      <c r="R39" s="703" t="n">
        <v>61.007408</v>
      </c>
      <c r="S39" s="703">
        <f>SUM(P39:R39)</f>
        <v/>
      </c>
      <c r="T39" s="703" t="n">
        <v>178.04748</v>
      </c>
      <c r="U39" s="703" t="n">
        <v>0</v>
      </c>
      <c r="V39" s="703" t="n">
        <v>32.11807</v>
      </c>
      <c r="W39" s="703">
        <f>SUM(T39:V39)</f>
        <v/>
      </c>
      <c r="X39" s="703" t="n">
        <v>47.229437</v>
      </c>
      <c r="Y39" s="703" t="n">
        <v>0</v>
      </c>
      <c r="Z39" s="703" t="n">
        <v>24.120644</v>
      </c>
      <c r="AA39" s="703">
        <f>SUM(X39:Z39)</f>
        <v/>
      </c>
      <c r="AB39" s="703" t="n">
        <v>524.574731</v>
      </c>
      <c r="AC39" s="703" t="n">
        <v>0</v>
      </c>
      <c r="AD39" s="703" t="n">
        <v>1.216481</v>
      </c>
      <c r="AE39" s="703">
        <f>SUM(AB39:AD39)</f>
        <v/>
      </c>
      <c r="AF39" s="703" t="n">
        <v>0</v>
      </c>
      <c r="AG39" s="318">
        <f>SUM(K39+O39+S39+W39+AA39+AE39+AF39)</f>
        <v/>
      </c>
      <c r="AH39" s="319">
        <f>IF(F39=0,"",K39/(F39/((YEAR(E39)*12+MONTH(E39))-(YEAR(D39)*12+MONTH(D39))+1)))</f>
        <v/>
      </c>
      <c r="AI39" s="319">
        <f>G39/F39</f>
        <v/>
      </c>
      <c r="AJ39" s="704">
        <f>F39-G39</f>
        <v/>
      </c>
      <c r="AK39" s="321">
        <f>SUM(F39:F40)</f>
        <v/>
      </c>
      <c r="AL39" s="322">
        <f>AL41</f>
        <v/>
      </c>
      <c r="AM39" s="717">
        <f>AM41</f>
        <v/>
      </c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30849.651672</v>
      </c>
      <c r="H40" s="707" t="n">
        <v>1245.549558</v>
      </c>
      <c r="I40" s="707" t="n">
        <v>0</v>
      </c>
      <c r="J40" s="707" t="n">
        <v>0</v>
      </c>
      <c r="K40" s="707">
        <f>SUM(H40:J40)</f>
        <v/>
      </c>
      <c r="L40" s="707" t="n">
        <v>3874.376797</v>
      </c>
      <c r="M40" s="707" t="n">
        <v>253.81824</v>
      </c>
      <c r="N40" s="707" t="n">
        <v>355.339426</v>
      </c>
      <c r="O40" s="707">
        <f>SUM(L40:N40)</f>
        <v/>
      </c>
      <c r="P40" s="707" t="n">
        <v>5263.972173</v>
      </c>
      <c r="Q40" s="707" t="n">
        <v>1110.4548</v>
      </c>
      <c r="R40" s="707" t="n">
        <v>271.92657</v>
      </c>
      <c r="S40" s="707">
        <f>SUM(P40:R40)</f>
        <v/>
      </c>
      <c r="T40" s="707" t="n">
        <v>3533.62581</v>
      </c>
      <c r="U40" s="707" t="n">
        <v>2435.06874</v>
      </c>
      <c r="V40" s="707" t="n">
        <v>188.462147</v>
      </c>
      <c r="W40" s="707">
        <f>SUM(T40:V40)</f>
        <v/>
      </c>
      <c r="X40" s="707" t="n">
        <v>9546.464904</v>
      </c>
      <c r="Y40" s="707" t="n">
        <v>0</v>
      </c>
      <c r="Z40" s="707" t="n">
        <v>401.214551</v>
      </c>
      <c r="AA40" s="707">
        <f>SUM(X40:Z40)</f>
        <v/>
      </c>
      <c r="AB40" s="707" t="n">
        <v>1081.878995</v>
      </c>
      <c r="AC40" s="707" t="n">
        <v>523.50012</v>
      </c>
      <c r="AD40" s="707" t="n">
        <v>135.589522</v>
      </c>
      <c r="AE40" s="707">
        <f>SUM(AB40:AD40)</f>
        <v/>
      </c>
      <c r="AF40" s="707" t="n">
        <v>1873.958877</v>
      </c>
      <c r="AG40" s="271">
        <f>SUM(K40+O40+S40+W40+AA40+AE40+AF40)</f>
        <v/>
      </c>
      <c r="AH40" s="326">
        <f>IF(F40=0,"",K40/(F40/((YEAR(E40)*12+MONTH(E40))-(YEAR(D40)*12+MONTH(D40))+1)))</f>
        <v/>
      </c>
      <c r="AI40" s="326">
        <f>G40/F40</f>
        <v/>
      </c>
      <c r="AJ40" s="708">
        <f>F40-G40</f>
        <v/>
      </c>
      <c r="AK40" s="513" t="n"/>
      <c r="AL40" s="513" t="n"/>
      <c r="AM40" s="513" t="n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0">
        <f>SUM(AC39:AC40)</f>
        <v/>
      </c>
      <c r="AD41" s="710">
        <f>SUM(AD39:AD40)</f>
        <v/>
      </c>
      <c r="AE41" s="710">
        <f>SUM(AE39:AE40)</f>
        <v/>
      </c>
      <c r="AF41" s="710">
        <f>SUM(AF39:AF40)</f>
        <v/>
      </c>
      <c r="AG41" s="711">
        <f>SUM(K41+O41+S41+W41+AA41+AE41+AF41)</f>
        <v/>
      </c>
      <c r="AH41" s="335">
        <f>IF(F41=0,"",K41/(F41/((YEAR(E39)*12+MONTH(E39))-(YEAR(D39)*12+MONTH(D39))+1)))</f>
        <v/>
      </c>
      <c r="AI41" s="336">
        <f>G41/F41</f>
        <v/>
      </c>
      <c r="AJ41" s="711">
        <f>F41-G41</f>
        <v/>
      </c>
      <c r="AK41" s="337">
        <f>AK39</f>
        <v/>
      </c>
      <c r="AL41" s="335">
        <f>AG41/AK39</f>
        <v/>
      </c>
      <c r="AM41" s="718">
        <f>AK39-AG41</f>
        <v/>
      </c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  <c r="BJ41" s="713" t="inlineStr"/>
      <c r="BK41" s="713" t="inlineStr"/>
      <c r="BL41" s="713" t="inlineStr"/>
      <c r="BM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20147.821174</v>
      </c>
      <c r="H42" s="703" t="n">
        <v>324.87975</v>
      </c>
      <c r="I42" s="703" t="n">
        <v>0</v>
      </c>
      <c r="J42" s="703" t="n">
        <v>0</v>
      </c>
      <c r="K42" s="703">
        <f>SUM(H42:J42)</f>
        <v/>
      </c>
      <c r="L42" s="703" t="n">
        <v>2681.707803</v>
      </c>
      <c r="M42" s="703" t="n">
        <v>384.193382</v>
      </c>
      <c r="N42" s="703" t="n">
        <v>658.258825</v>
      </c>
      <c r="O42" s="703">
        <f>SUM(L42:N42)</f>
        <v/>
      </c>
      <c r="P42" s="703" t="n">
        <v>3250.598551</v>
      </c>
      <c r="Q42" s="703" t="n">
        <v>241.63794</v>
      </c>
      <c r="R42" s="703" t="n">
        <v>443.427462</v>
      </c>
      <c r="S42" s="703">
        <f>SUM(P42:R42)</f>
        <v/>
      </c>
      <c r="T42" s="703" t="n">
        <v>1492.14231</v>
      </c>
      <c r="U42" s="703" t="n">
        <v>0</v>
      </c>
      <c r="V42" s="703" t="n">
        <v>381.121236</v>
      </c>
      <c r="W42" s="703">
        <f>SUM(T42:V42)</f>
        <v/>
      </c>
      <c r="X42" s="703" t="n">
        <v>2747.788321</v>
      </c>
      <c r="Y42" s="703" t="n">
        <v>0</v>
      </c>
      <c r="Z42" s="703" t="n">
        <v>613.27548</v>
      </c>
      <c r="AA42" s="703">
        <f>SUM(X42:Z42)</f>
        <v/>
      </c>
      <c r="AB42" s="703" t="n">
        <v>1566.390968</v>
      </c>
      <c r="AC42" s="703" t="n">
        <v>1037.679365</v>
      </c>
      <c r="AD42" s="703" t="n">
        <v>313.732955</v>
      </c>
      <c r="AE42" s="703">
        <f>SUM(AB42:AD42)</f>
        <v/>
      </c>
      <c r="AF42" s="703" t="n">
        <v>4335.866577</v>
      </c>
      <c r="AG42" s="318">
        <f>SUM(K42+O42+S42+W42+AA42+AE42+AF42)</f>
        <v/>
      </c>
      <c r="AH42" s="319">
        <f>IF(F42=0,"",K42/(F42/((YEAR(E42)*12+MONTH(E42))-(YEAR(D42)*12+MONTH(D42))+1)))</f>
        <v/>
      </c>
      <c r="AI42" s="319">
        <f>G42/F42</f>
        <v/>
      </c>
      <c r="AJ42" s="704">
        <f>F42-G42</f>
        <v/>
      </c>
      <c r="AK42" s="321">
        <f>SUM(F42:F46)</f>
        <v/>
      </c>
      <c r="AL42" s="322">
        <f>AL47</f>
        <v/>
      </c>
      <c r="AM42" s="717">
        <f>AM47</f>
        <v/>
      </c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20201.304078</v>
      </c>
      <c r="H43" s="707" t="n">
        <v>793.377809</v>
      </c>
      <c r="I43" s="707" t="n">
        <v>0</v>
      </c>
      <c r="J43" s="707" t="n">
        <v>0</v>
      </c>
      <c r="K43" s="707">
        <f>SUM(H43:J43)</f>
        <v/>
      </c>
      <c r="L43" s="707" t="n">
        <v>3073.824967</v>
      </c>
      <c r="M43" s="707" t="n">
        <v>0</v>
      </c>
      <c r="N43" s="707" t="n">
        <v>1897.773763</v>
      </c>
      <c r="O43" s="707">
        <f>SUM(L43:N43)</f>
        <v/>
      </c>
      <c r="P43" s="707" t="n">
        <v>2579.146174</v>
      </c>
      <c r="Q43" s="707" t="n">
        <v>2029.71366</v>
      </c>
      <c r="R43" s="707" t="n">
        <v>1776.262456</v>
      </c>
      <c r="S43" s="707">
        <f>SUM(P43:R43)</f>
        <v/>
      </c>
      <c r="T43" s="707" t="n">
        <v>567.268131</v>
      </c>
      <c r="U43" s="707" t="n">
        <v>0</v>
      </c>
      <c r="V43" s="707" t="n">
        <v>1668.680328</v>
      </c>
      <c r="W43" s="707">
        <f>SUM(T43:V43)</f>
        <v/>
      </c>
      <c r="X43" s="707" t="n">
        <v>1550.383391</v>
      </c>
      <c r="Y43" s="707" t="n">
        <v>0</v>
      </c>
      <c r="Z43" s="707" t="n">
        <v>2273.498356</v>
      </c>
      <c r="AA43" s="707">
        <f>SUM(X43:Z43)</f>
        <v/>
      </c>
      <c r="AB43" s="707" t="n">
        <v>1396.194268</v>
      </c>
      <c r="AC43" s="707" t="n">
        <v>0</v>
      </c>
      <c r="AD43" s="707" t="n">
        <v>1388.558583</v>
      </c>
      <c r="AE43" s="707">
        <f>SUM(AB43:AD43)</f>
        <v/>
      </c>
      <c r="AF43" s="707" t="n">
        <v>7202.586607</v>
      </c>
      <c r="AG43" s="271">
        <f>SUM(K43+O43+S43+W43+AA43+AE43+AF43)</f>
        <v/>
      </c>
      <c r="AH43" s="326">
        <f>IF(F43=0,"",K43/(F43/((YEAR(E43)*12+MONTH(E43))-(YEAR(D43)*12+MONTH(D43))+1)))</f>
        <v/>
      </c>
      <c r="AI43" s="326">
        <f>G43/F43</f>
        <v/>
      </c>
      <c r="AJ43" s="708">
        <f>F43-G43</f>
        <v/>
      </c>
      <c r="AK43" s="500" t="n"/>
      <c r="AL43" s="500" t="n"/>
      <c r="AM43" s="500" t="n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1189.566397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644.8338</v>
      </c>
      <c r="M44" s="707" t="n">
        <v>64.736256</v>
      </c>
      <c r="N44" s="707" t="n">
        <v>38.329254</v>
      </c>
      <c r="O44" s="707">
        <f>SUM(L44:N44)</f>
        <v/>
      </c>
      <c r="P44" s="707" t="n">
        <v>0</v>
      </c>
      <c r="Q44" s="707" t="n">
        <v>0</v>
      </c>
      <c r="R44" s="707" t="n">
        <v>20.217377</v>
      </c>
      <c r="S44" s="707">
        <f>SUM(P44:R44)</f>
        <v/>
      </c>
      <c r="T44" s="707" t="n">
        <v>410.9235</v>
      </c>
      <c r="U44" s="707" t="n">
        <v>0</v>
      </c>
      <c r="V44" s="707" t="n">
        <v>4.340061</v>
      </c>
      <c r="W44" s="707">
        <f>SUM(T44:V44)</f>
        <v/>
      </c>
      <c r="X44" s="707" t="n">
        <v>0</v>
      </c>
      <c r="Y44" s="707" t="n">
        <v>0</v>
      </c>
      <c r="Z44" s="707" t="n">
        <v>5.058234</v>
      </c>
      <c r="AA44" s="707">
        <f>SUM(X44:Z44)</f>
        <v/>
      </c>
      <c r="AB44" s="707" t="n">
        <v>0</v>
      </c>
      <c r="AC44" s="707" t="n">
        <v>0</v>
      </c>
      <c r="AD44" s="707" t="n">
        <v>1.127915</v>
      </c>
      <c r="AE44" s="707">
        <f>SUM(AB44:AD44)</f>
        <v/>
      </c>
      <c r="AF44" s="707" t="n">
        <v>0</v>
      </c>
      <c r="AG44" s="271">
        <f>SUM(K44+O44+S44+W44+AA44+AE44+AF44)</f>
        <v/>
      </c>
      <c r="AH44" s="326">
        <f>IF(F44=0,"",K44/(F44/((YEAR(E44)*12+MONTH(E44))-(YEAR(D44)*12+MONTH(D44))+1)))</f>
        <v/>
      </c>
      <c r="AI44" s="326">
        <f>G44/F44</f>
        <v/>
      </c>
      <c r="AJ44" s="708">
        <f>F44-G44</f>
        <v/>
      </c>
      <c r="AK44" s="500" t="n"/>
      <c r="AL44" s="500" t="n"/>
      <c r="AM44" s="500" t="n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0</v>
      </c>
      <c r="I45" s="707" t="n">
        <v>0</v>
      </c>
      <c r="J45" s="707" t="n">
        <v>0</v>
      </c>
      <c r="K45" s="707">
        <f>SUM(H45:J45)</f>
        <v/>
      </c>
      <c r="L45" s="707" t="n">
        <v>1086.743489</v>
      </c>
      <c r="M45" s="707" t="n">
        <v>0</v>
      </c>
      <c r="N45" s="707" t="n">
        <v>631.560503</v>
      </c>
      <c r="O45" s="707">
        <f>SUM(L45:N45)</f>
        <v/>
      </c>
      <c r="P45" s="707" t="n">
        <v>2310.349392</v>
      </c>
      <c r="Q45" s="707" t="n">
        <v>0</v>
      </c>
      <c r="R45" s="707" t="n">
        <v>582.016803</v>
      </c>
      <c r="S45" s="707">
        <f>SUM(P45:R45)</f>
        <v/>
      </c>
      <c r="T45" s="707" t="n">
        <v>753.431552</v>
      </c>
      <c r="U45" s="707" t="n">
        <v>0</v>
      </c>
      <c r="V45" s="707" t="n">
        <v>581.619744</v>
      </c>
      <c r="W45" s="707">
        <f>SUM(T45:V45)</f>
        <v/>
      </c>
      <c r="X45" s="707" t="n">
        <v>1958.298381</v>
      </c>
      <c r="Y45" s="707" t="n">
        <v>0</v>
      </c>
      <c r="Z45" s="707" t="n">
        <v>662.594343</v>
      </c>
      <c r="AA45" s="707">
        <f>SUM(X45:Z45)</f>
        <v/>
      </c>
      <c r="AB45" s="707" t="n">
        <v>2837.047697</v>
      </c>
      <c r="AC45" s="707" t="n">
        <v>0</v>
      </c>
      <c r="AD45" s="707" t="n">
        <v>463.983498</v>
      </c>
      <c r="AE45" s="707">
        <f>SUM(AB45:AD45)</f>
        <v/>
      </c>
      <c r="AF45" s="707" t="n">
        <v>2545.018293</v>
      </c>
      <c r="AG45" s="271">
        <f>SUM(K45+O45+S45+W45+AA45+AE45+AF45)</f>
        <v/>
      </c>
      <c r="AH45" s="326">
        <f>IF(F45=0,"",K45/(F45/MAX(1,(YEAR(E45)*12+MONTH(E45))-(YEAR(D45)*12+MONTH(D45))+1)))</f>
        <v/>
      </c>
      <c r="AI45" s="326">
        <f>G45/F45</f>
        <v/>
      </c>
      <c r="AJ45" s="708">
        <f>F45-G45</f>
        <v/>
      </c>
      <c r="AK45" s="500" t="n"/>
      <c r="AL45" s="500" t="n"/>
      <c r="AM45" s="500" t="n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35324.409408</v>
      </c>
      <c r="H46" s="707" t="n">
        <v>0</v>
      </c>
      <c r="I46" s="707" t="n">
        <v>0</v>
      </c>
      <c r="J46" s="707" t="n">
        <v>0</v>
      </c>
      <c r="K46" s="707">
        <f>SUM(H46:J46)</f>
        <v/>
      </c>
      <c r="L46" s="707" t="n">
        <v>5706.816111</v>
      </c>
      <c r="M46" s="707" t="n">
        <v>0</v>
      </c>
      <c r="N46" s="707" t="n">
        <v>3185.247903</v>
      </c>
      <c r="O46" s="707">
        <f>SUM(L46:N46)</f>
        <v/>
      </c>
      <c r="P46" s="707" t="n">
        <v>5099.256359</v>
      </c>
      <c r="Q46" s="707" t="n">
        <v>0</v>
      </c>
      <c r="R46" s="707" t="n">
        <v>2165.674642</v>
      </c>
      <c r="S46" s="707">
        <f>SUM(P46:R46)</f>
        <v/>
      </c>
      <c r="T46" s="707" t="n">
        <v>937.141286</v>
      </c>
      <c r="U46" s="707" t="n">
        <v>0</v>
      </c>
      <c r="V46" s="707" t="n">
        <v>1775.786688</v>
      </c>
      <c r="W46" s="707">
        <f>SUM(T46:V46)</f>
        <v/>
      </c>
      <c r="X46" s="707" t="n">
        <v>3160.387028</v>
      </c>
      <c r="Y46" s="707" t="n">
        <v>0</v>
      </c>
      <c r="Z46" s="707" t="n">
        <v>3880.484178</v>
      </c>
      <c r="AA46" s="707">
        <f>SUM(X46:Z46)</f>
        <v/>
      </c>
      <c r="AB46" s="707" t="n">
        <v>3065.24731</v>
      </c>
      <c r="AC46" s="707" t="n">
        <v>0</v>
      </c>
      <c r="AD46" s="707" t="n">
        <v>1466.609142</v>
      </c>
      <c r="AE46" s="707">
        <f>SUM(AB46:AD46)</f>
        <v/>
      </c>
      <c r="AF46" s="707" t="n">
        <v>4881.758761</v>
      </c>
      <c r="AG46" s="271">
        <f>SUM(K46+O46+S46+W46+AA46+AE46+AF46)</f>
        <v/>
      </c>
      <c r="AH46" s="326">
        <f>IF(F46=0,"",K46/(F46/((YEAR(E46)*12+MONTH(E46))-(YEAR(D46)*12+MONTH(D46))+1)))</f>
        <v/>
      </c>
      <c r="AI46" s="326">
        <f>G46/F46</f>
        <v/>
      </c>
      <c r="AJ46" s="708">
        <f>F46-G46</f>
        <v/>
      </c>
      <c r="AK46" s="513" t="n"/>
      <c r="AL46" s="513" t="n"/>
      <c r="AM46" s="513" t="n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SUM(AC42:AC46)</f>
        <v/>
      </c>
      <c r="AD47" s="710">
        <f>SUM(AD42:AD46)</f>
        <v/>
      </c>
      <c r="AE47" s="710">
        <f>SUM(AE42:AE46)</f>
        <v/>
      </c>
      <c r="AF47" s="710">
        <f>SUM(AF42:AF46)</f>
        <v/>
      </c>
      <c r="AG47" s="710">
        <f>SUM(K47+O47+S47+W47+AA47+AE47+AF47)</f>
        <v/>
      </c>
      <c r="AH47" s="335">
        <f>IF(F47=0,"",K47/(F47/((YEAR(E42)*12+MONTH(E42))-(YEAR(D42)*12+MONTH(D42))+1)))</f>
        <v/>
      </c>
      <c r="AI47" s="336">
        <f>G47/F47</f>
        <v/>
      </c>
      <c r="AJ47" s="710">
        <f>F47-G47</f>
        <v/>
      </c>
      <c r="AK47" s="337">
        <f>AK42</f>
        <v/>
      </c>
      <c r="AL47" s="335">
        <f>AG47/AK42</f>
        <v/>
      </c>
      <c r="AM47" s="712">
        <f>AK42-AG47</f>
        <v/>
      </c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F9+F14+F19+F23+F27+F31+F34+F38+F41+F47</f>
        <v/>
      </c>
      <c r="G48" s="720">
        <f>G9+G14+G19+G23+G27+G31+G34+G38+G41+G47</f>
        <v/>
      </c>
      <c r="H48" s="722">
        <f>H9+H14+H19+H23+H27+H31+H34+H38+H41+H47</f>
        <v/>
      </c>
      <c r="I48" s="722">
        <f>I9+I14+I19+I23+I27+I31+I34+I38+I41+I47</f>
        <v/>
      </c>
      <c r="J48" s="722">
        <f>J9+J14+J19+J23+J27+J31+J34+J38+J41+J47</f>
        <v/>
      </c>
      <c r="K48" s="722">
        <f>K9+K14+K19+K23+K27+K31+K34+K38+K41+K47</f>
        <v/>
      </c>
      <c r="L48" s="720">
        <f>L9+L14+L19+L23+L27+L31+L34+L38+L41+L47</f>
        <v/>
      </c>
      <c r="M48" s="720">
        <f>M9+M14+M19+M23+M27+M31+M34+M38+M41+M47</f>
        <v/>
      </c>
      <c r="N48" s="720">
        <f>N9+N14+N19+N23+N27+N31+N34+N38+N41+N47</f>
        <v/>
      </c>
      <c r="O48" s="720">
        <f>O9+O14+O19+O23+O27+O31+O34+O38+O41+O47</f>
        <v/>
      </c>
      <c r="P48" s="720">
        <f>P9+P14+P19+P23+P27+P31+P34+P38+P41+P47</f>
        <v/>
      </c>
      <c r="Q48" s="720">
        <f>Q9+Q14+Q19+Q23+Q27+Q31+Q34+Q38+Q41+Q47</f>
        <v/>
      </c>
      <c r="R48" s="720">
        <f>R9+R14+R19+R23+R27+R31+R34+R38+R41+R47</f>
        <v/>
      </c>
      <c r="S48" s="720">
        <f>S9+S14+S19+S23+S27+S31+S34+S38+S41+S47</f>
        <v/>
      </c>
      <c r="T48" s="720">
        <f>T9+T14+T19+T23+T27+T31+T34+T38+T41+T47</f>
        <v/>
      </c>
      <c r="U48" s="720">
        <f>U9+U14+U19+U23+U27+U31+U34+U38+U41+U47</f>
        <v/>
      </c>
      <c r="V48" s="720">
        <f>V9+V14+V19+V23+V27+V31+V34+V38+V41+V47</f>
        <v/>
      </c>
      <c r="W48" s="720">
        <f>W9+W14+W19+W23+W27+W31+W34+W38+W41+W47</f>
        <v/>
      </c>
      <c r="X48" s="720">
        <f>X9+X14+X19+X23+X27+X31+X34+X38+X41+X47</f>
        <v/>
      </c>
      <c r="Y48" s="720">
        <f>Y9+Y14+Y19+Y23+Y27+Y31+Y34+Y38+Y41+Y47</f>
        <v/>
      </c>
      <c r="Z48" s="720">
        <f>Z9+Z14+Z19+Z23+Z27+Z31+Z34+Z38+Z41+Z47</f>
        <v/>
      </c>
      <c r="AA48" s="720">
        <f>AA9+AA14+AA19+AA23+AA27+AA31+AA34+AA38+AA41+AA47</f>
        <v/>
      </c>
      <c r="AB48" s="720">
        <f>AB9+AB14+AB19+AB23+AB27+AB31+AB34+AB38+AB41+AB47</f>
        <v/>
      </c>
      <c r="AC48" s="722">
        <f>AC9+AC14+AC19+AC23+AC27+AC31+AC34+AC38+AC41+AC47</f>
        <v/>
      </c>
      <c r="AD48" s="722">
        <f>AD9+AD14+AD19+AD23+AD27+AD31+AD34+AD38+AD41+AD47</f>
        <v/>
      </c>
      <c r="AE48" s="722">
        <f>AE9+AE14+AE19+AE23+AE27+AE31+AE34+AE38+AE41+AE47</f>
        <v/>
      </c>
      <c r="AF48" s="722">
        <f>AF9+AF14+AF19+AF23+AF27+AF31+AF34+AF38+AF41+AF47</f>
        <v/>
      </c>
      <c r="AG48" s="728">
        <f>AG9+AG14+AG19+AG23+AG27+AG31+AG34+AG38+AG41+AG47</f>
        <v/>
      </c>
      <c r="AH48" s="350">
        <f>K48/(F48/((YEAR(E4)*12+MONTH(E4))-(YEAR(D4)*12+MONTH(D4))+1))</f>
        <v/>
      </c>
      <c r="AI48" s="350">
        <f>G48/F48</f>
        <v/>
      </c>
      <c r="AJ48" s="722">
        <f>F48-G48</f>
        <v/>
      </c>
      <c r="AK48" s="352">
        <f>AK9+AK14+AK19+AK23+AK27+AK31+AK34+AK38+AK41+AK47</f>
        <v/>
      </c>
      <c r="AL48" s="353">
        <f>AG48/AK48</f>
        <v/>
      </c>
      <c r="AM48" s="722">
        <f>AK48-AG48</f>
        <v/>
      </c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7" t="inlineStr"/>
    </row>
    <row r="49" ht="14.25" customFormat="1" customHeight="1" s="483">
      <c r="AJ49" s="633" t="inlineStr">
        <is>
          <t>公司目标</t>
        </is>
      </c>
      <c r="AK49" s="633" t="n">
        <v>934969.485968</v>
      </c>
      <c r="AL49" s="252">
        <f>IF(AK49&lt;&gt;0,AG48/AK49,"")</f>
        <v/>
      </c>
      <c r="AM49" s="663">
        <f>AK49-AG48</f>
        <v/>
      </c>
    </row>
    <row r="50" ht="35.1" customFormat="1" customHeight="1" s="483"/>
    <row r="51" ht="24" customFormat="1" customHeight="1" s="483"/>
  </sheetData>
  <mergeCells count="91">
    <mergeCell ref="A48:E48"/>
    <mergeCell ref="A20:A22"/>
    <mergeCell ref="A4:A8"/>
    <mergeCell ref="U2:U3"/>
    <mergeCell ref="AK15:AK18"/>
    <mergeCell ref="AM4:AM8"/>
    <mergeCell ref="A2:A3"/>
    <mergeCell ref="A24:A26"/>
    <mergeCell ref="C2:C3"/>
    <mergeCell ref="E2:E3"/>
    <mergeCell ref="W2:W3"/>
    <mergeCell ref="AK10:AK13"/>
    <mergeCell ref="AM10:AM13"/>
    <mergeCell ref="A23:E23"/>
    <mergeCell ref="AA2:AA3"/>
    <mergeCell ref="AC2:AC3"/>
    <mergeCell ref="A10:A13"/>
    <mergeCell ref="AM2:AM3"/>
    <mergeCell ref="V2:V3"/>
    <mergeCell ref="AK20:AK22"/>
    <mergeCell ref="X2:X3"/>
    <mergeCell ref="AL15:AL18"/>
    <mergeCell ref="A34:E34"/>
    <mergeCell ref="AM20:AM22"/>
    <mergeCell ref="AL24:AL26"/>
    <mergeCell ref="A42:A46"/>
    <mergeCell ref="N2:N3"/>
    <mergeCell ref="F2:F3"/>
    <mergeCell ref="P2:P3"/>
    <mergeCell ref="H2:H3"/>
    <mergeCell ref="AK39:AK40"/>
    <mergeCell ref="AM39:AM40"/>
    <mergeCell ref="AL35:AL37"/>
    <mergeCell ref="AK42:AK46"/>
    <mergeCell ref="AF2:AF3"/>
    <mergeCell ref="AM42:AM46"/>
    <mergeCell ref="K2:K3"/>
    <mergeCell ref="AH2:AH3"/>
    <mergeCell ref="AK1:AL1"/>
    <mergeCell ref="O2:O3"/>
    <mergeCell ref="Q2:Q3"/>
    <mergeCell ref="A14:E14"/>
    <mergeCell ref="AI2:AI3"/>
    <mergeCell ref="AK2:AK3"/>
    <mergeCell ref="AK24:AK26"/>
    <mergeCell ref="AL39:AL40"/>
    <mergeCell ref="AK4:AK8"/>
    <mergeCell ref="A38:E38"/>
    <mergeCell ref="A39:A40"/>
    <mergeCell ref="AM24:AM26"/>
    <mergeCell ref="AK35:AK37"/>
    <mergeCell ref="A31:E31"/>
    <mergeCell ref="S2:S3"/>
    <mergeCell ref="AM35:AM37"/>
    <mergeCell ref="B2:B3"/>
    <mergeCell ref="D2:D3"/>
    <mergeCell ref="AL4:AL8"/>
    <mergeCell ref="A28:A30"/>
    <mergeCell ref="AL32:AL33"/>
    <mergeCell ref="Z2:Z3"/>
    <mergeCell ref="AB2:AB3"/>
    <mergeCell ref="AD2:AD3"/>
    <mergeCell ref="T2:T3"/>
    <mergeCell ref="AK28:AK30"/>
    <mergeCell ref="A47:E47"/>
    <mergeCell ref="AM15:AM18"/>
    <mergeCell ref="AL10:AL13"/>
    <mergeCell ref="A15:A18"/>
    <mergeCell ref="AK32:AK33"/>
    <mergeCell ref="G2:G3"/>
    <mergeCell ref="I2:I3"/>
    <mergeCell ref="AL28:AL30"/>
    <mergeCell ref="M2:M3"/>
    <mergeCell ref="AE2:AE3"/>
    <mergeCell ref="AL42:AL46"/>
    <mergeCell ref="AG2:AG3"/>
    <mergeCell ref="AL20:AL22"/>
    <mergeCell ref="Y2:Y3"/>
    <mergeCell ref="A35:A37"/>
    <mergeCell ref="A41:E41"/>
    <mergeCell ref="AJ2:AJ3"/>
    <mergeCell ref="A27:E27"/>
    <mergeCell ref="A32:A33"/>
    <mergeCell ref="R2:R3"/>
    <mergeCell ref="J2:J3"/>
    <mergeCell ref="AM28:AM30"/>
    <mergeCell ref="L2:L3"/>
    <mergeCell ref="AM32:AM33"/>
    <mergeCell ref="A19:E19"/>
    <mergeCell ref="A9:E9"/>
    <mergeCell ref="AL2:AL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width="9" customWidth="1" style="533" min="27" max="27"/>
    <col hidden="1" width="13" customWidth="1" style="483" min="28" max="30"/>
    <col width="9" customWidth="1" style="533" min="31" max="32"/>
    <col width="13.2143" customWidth="1" style="533" min="33" max="33"/>
    <col width="9" customWidth="1" style="533" min="34" max="35"/>
    <col width="12.7857" customWidth="1" style="533" min="36" max="36"/>
    <col width="11.7143" customWidth="1" style="533" min="37" max="37"/>
    <col width="9" customWidth="1" style="533" min="38" max="41"/>
    <col width="12.3571" customWidth="1" style="533" min="42" max="42"/>
    <col width="11.2857" customWidth="1" style="533" min="43" max="43"/>
    <col width="9" customWidth="1" style="533" min="44" max="65"/>
  </cols>
  <sheetData>
    <row r="1" ht="20.25" customFormat="1" customHeight="1" s="483">
      <c r="A1" s="754" t="inlineStr">
        <is>
          <t>私人财富管理部折标销售进度表-截止20260717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552" t="inlineStr">
        <is>
          <t>上半年时间进度</t>
        </is>
      </c>
      <c r="AM1" s="70">
        <f>AR7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传统202607</t>
        </is>
      </c>
      <c r="I2" s="541" t="inlineStr">
        <is>
          <t>保险202607</t>
        </is>
      </c>
      <c r="J2" s="541" t="inlineStr">
        <is>
          <t>管理费202607</t>
        </is>
      </c>
      <c r="K2" s="669" t="inlineStr">
        <is>
          <t>2026年
7月折标</t>
        </is>
      </c>
      <c r="L2" s="541" t="inlineStr">
        <is>
          <t>传统202606</t>
        </is>
      </c>
      <c r="M2" s="541" t="inlineStr">
        <is>
          <t>保险202606</t>
        </is>
      </c>
      <c r="N2" s="541" t="inlineStr">
        <is>
          <t>管理费202606</t>
        </is>
      </c>
      <c r="O2" s="669" t="inlineStr">
        <is>
          <t>2026年
6月折标</t>
        </is>
      </c>
      <c r="P2" s="541" t="inlineStr">
        <is>
          <t>传统202605</t>
        </is>
      </c>
      <c r="Q2" s="541" t="inlineStr">
        <is>
          <t>保险202605</t>
        </is>
      </c>
      <c r="R2" s="541" t="inlineStr">
        <is>
          <t>管理费202605</t>
        </is>
      </c>
      <c r="S2" s="669" t="inlineStr">
        <is>
          <t>2026年
5月折标</t>
        </is>
      </c>
      <c r="T2" s="541" t="inlineStr">
        <is>
          <t>传统202604</t>
        </is>
      </c>
      <c r="U2" s="541" t="inlineStr">
        <is>
          <t>保险202604</t>
        </is>
      </c>
      <c r="V2" s="541" t="inlineStr">
        <is>
          <t>管理费202604</t>
        </is>
      </c>
      <c r="W2" s="669" t="inlineStr">
        <is>
          <t>2026年
4月折标</t>
        </is>
      </c>
      <c r="X2" s="541" t="inlineStr">
        <is>
          <t>传统202603</t>
        </is>
      </c>
      <c r="Y2" s="541" t="inlineStr">
        <is>
          <t>保险202603</t>
        </is>
      </c>
      <c r="Z2" s="541" t="inlineStr">
        <is>
          <t>管理费202603</t>
        </is>
      </c>
      <c r="AA2" s="669" t="inlineStr">
        <is>
          <t>2026年
3月折标</t>
        </is>
      </c>
      <c r="AB2" s="541" t="inlineStr">
        <is>
          <t>传统202602</t>
        </is>
      </c>
      <c r="AC2" s="541" t="inlineStr">
        <is>
          <t>保险202602</t>
        </is>
      </c>
      <c r="AD2" s="541" t="inlineStr">
        <is>
          <t>管理费202602</t>
        </is>
      </c>
      <c r="AE2" s="669" t="inlineStr">
        <is>
          <t>2026年
2月折标</t>
        </is>
      </c>
      <c r="AF2" s="669" t="inlineStr">
        <is>
          <t>2026年
1月折标</t>
        </is>
      </c>
      <c r="AG2" s="670" t="inlineStr">
        <is>
          <t>2026年YTD折标</t>
        </is>
      </c>
      <c r="AH2" s="671" t="inlineStr">
        <is>
          <t>月度
完成率</t>
        </is>
      </c>
      <c r="AI2" s="666" t="inlineStr">
        <is>
          <t>考核期完成率（累计）</t>
        </is>
      </c>
      <c r="AJ2" s="560" t="inlineStr">
        <is>
          <t>考核期差距</t>
        </is>
      </c>
      <c r="AK2" s="561" t="inlineStr">
        <is>
          <t>财富中心
上半年年任务</t>
        </is>
      </c>
      <c r="AL2" s="79" t="inlineStr">
        <is>
          <t>财富中心
上半年任务完成率</t>
        </is>
      </c>
      <c r="AM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23833.51005</v>
      </c>
      <c r="H4" s="703" t="n">
        <v>843.921</v>
      </c>
      <c r="I4" s="703" t="n">
        <v>0</v>
      </c>
      <c r="J4" s="703" t="n">
        <v>0</v>
      </c>
      <c r="K4" s="703">
        <f>SUM(H4:J4)</f>
        <v/>
      </c>
      <c r="L4" s="703" t="n">
        <v>927.52544</v>
      </c>
      <c r="M4" s="703" t="n">
        <v>0</v>
      </c>
      <c r="N4" s="703" t="n">
        <v>1414.024996</v>
      </c>
      <c r="O4" s="703">
        <f>SUM(L4:N4)</f>
        <v/>
      </c>
      <c r="P4" s="703" t="n">
        <v>1183.338361</v>
      </c>
      <c r="Q4" s="703" t="n">
        <v>0</v>
      </c>
      <c r="R4" s="703" t="n">
        <v>627.793934</v>
      </c>
      <c r="S4" s="703">
        <f>SUM(P4:R4)</f>
        <v/>
      </c>
      <c r="T4" s="703" t="n">
        <v>3163.949074</v>
      </c>
      <c r="U4" s="703" t="n">
        <v>0</v>
      </c>
      <c r="V4" s="703" t="n">
        <v>535.227607</v>
      </c>
      <c r="W4" s="703">
        <f>SUM(T4:V4)</f>
        <v/>
      </c>
      <c r="X4" s="703" t="n">
        <v>8704.796721000001</v>
      </c>
      <c r="Y4" s="703" t="n">
        <v>0</v>
      </c>
      <c r="Z4" s="703" t="n">
        <v>1242.252932</v>
      </c>
      <c r="AA4" s="703">
        <f>SUM(X4:Z4)</f>
        <v/>
      </c>
      <c r="AB4" s="703" t="n">
        <v>1402.304143</v>
      </c>
      <c r="AC4" s="703" t="n">
        <v>742.65048</v>
      </c>
      <c r="AD4" s="703" t="n">
        <v>430.381249</v>
      </c>
      <c r="AE4" s="703">
        <f>SUM(AB4:AD4)</f>
        <v/>
      </c>
      <c r="AF4" s="703" t="n">
        <v>3459.265113</v>
      </c>
      <c r="AG4" s="318">
        <f>SUM(K4+O4+S4+W4+AA4+AE4+AF4)</f>
        <v/>
      </c>
      <c r="AH4" s="319">
        <f>IF(F4=0,"",K4/(F4/((YEAR(E4)*12+MONTH(E4))-(YEAR(D4)*12+MONTH(D4))+1)))</f>
        <v/>
      </c>
      <c r="AI4" s="319">
        <f>G4/F4</f>
        <v/>
      </c>
      <c r="AJ4" s="704">
        <f>F4-G4</f>
        <v/>
      </c>
      <c r="AK4" s="321">
        <f>SUM(F4:F8)</f>
        <v/>
      </c>
      <c r="AL4" s="322">
        <f>AL9</f>
        <v/>
      </c>
      <c r="AM4" s="705">
        <f>AM9</f>
        <v/>
      </c>
      <c r="AN4" s="706" t="inlineStr"/>
      <c r="AO4" s="706" t="inlineStr"/>
      <c r="AP4" s="706" t="inlineStr">
        <is>
          <t>开始日期</t>
        </is>
      </c>
      <c r="AQ4" s="706" t="inlineStr">
        <is>
          <t>结束日期</t>
        </is>
      </c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21247.130816</v>
      </c>
      <c r="H5" s="707" t="n">
        <v>53.374464</v>
      </c>
      <c r="I5" s="707" t="n">
        <v>0</v>
      </c>
      <c r="J5" s="707" t="n">
        <v>0</v>
      </c>
      <c r="K5" s="707">
        <f>SUM(H5:J5)</f>
        <v/>
      </c>
      <c r="L5" s="707" t="n">
        <v>832.638851</v>
      </c>
      <c r="M5" s="707" t="n">
        <v>3261.7728</v>
      </c>
      <c r="N5" s="707" t="n">
        <v>555.368737</v>
      </c>
      <c r="O5" s="707">
        <f>SUM(L5:N5)</f>
        <v/>
      </c>
      <c r="P5" s="707" t="n">
        <v>593.9975920000001</v>
      </c>
      <c r="Q5" s="707" t="n">
        <v>0</v>
      </c>
      <c r="R5" s="707" t="n">
        <v>382.045052</v>
      </c>
      <c r="S5" s="707">
        <f>SUM(P5:R5)</f>
        <v/>
      </c>
      <c r="T5" s="707" t="n">
        <v>249.800095</v>
      </c>
      <c r="U5" s="707" t="n">
        <v>5040.9216</v>
      </c>
      <c r="V5" s="707" t="n">
        <v>342.801462</v>
      </c>
      <c r="W5" s="707">
        <f>SUM(T5:V5)</f>
        <v/>
      </c>
      <c r="X5" s="707" t="n">
        <v>1613.445926</v>
      </c>
      <c r="Y5" s="707" t="n">
        <v>0</v>
      </c>
      <c r="Z5" s="707" t="n">
        <v>488.407071</v>
      </c>
      <c r="AA5" s="707">
        <f>SUM(X5:Z5)</f>
        <v/>
      </c>
      <c r="AB5" s="707" t="n">
        <v>454.800547</v>
      </c>
      <c r="AC5" s="707" t="n">
        <v>0</v>
      </c>
      <c r="AD5" s="707" t="n">
        <v>289.117436</v>
      </c>
      <c r="AE5" s="707">
        <f>SUM(AB5:AD5)</f>
        <v/>
      </c>
      <c r="AF5" s="707" t="n">
        <v>3311.566531</v>
      </c>
      <c r="AG5" s="271">
        <f>SUM(K5+O5+S5+W5+AA5+AE5+AF5)</f>
        <v/>
      </c>
      <c r="AH5" s="326">
        <f>IF(F5=0,"",K5/(F5/((YEAR(E5)*12+MONTH(E5))-(YEAR(D5)*12+MONTH(D5))+1)))</f>
        <v/>
      </c>
      <c r="AI5" s="326">
        <f>G5/F5</f>
        <v/>
      </c>
      <c r="AJ5" s="708">
        <f>F5-G5</f>
        <v/>
      </c>
      <c r="AK5" s="500" t="n"/>
      <c r="AL5" s="500" t="n"/>
      <c r="AM5" s="500" t="n"/>
      <c r="AN5" s="706" t="inlineStr"/>
      <c r="AO5" s="706" t="inlineStr"/>
      <c r="AP5" s="328" t="n">
        <v>46023</v>
      </c>
      <c r="AQ5" s="328" t="n">
        <v>46203</v>
      </c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15076.520886</v>
      </c>
      <c r="H6" s="707" t="n">
        <v>9822.732760000001</v>
      </c>
      <c r="I6" s="707" t="n">
        <v>0</v>
      </c>
      <c r="J6" s="707" t="n">
        <v>0</v>
      </c>
      <c r="K6" s="707">
        <f>SUM(H6:J6)</f>
        <v/>
      </c>
      <c r="L6" s="707" t="n">
        <v>1992.298661</v>
      </c>
      <c r="M6" s="707" t="n">
        <v>0</v>
      </c>
      <c r="N6" s="707" t="n">
        <v>3261.489465</v>
      </c>
      <c r="O6" s="707">
        <f>SUM(L6:N6)</f>
        <v/>
      </c>
      <c r="P6" s="707" t="n">
        <v>15009.556327</v>
      </c>
      <c r="Q6" s="707" t="n">
        <v>0</v>
      </c>
      <c r="R6" s="707" t="n">
        <v>1609.578423</v>
      </c>
      <c r="S6" s="707">
        <f>SUM(P6:R6)</f>
        <v/>
      </c>
      <c r="T6" s="707" t="n">
        <v>3788.477067</v>
      </c>
      <c r="U6" s="707" t="n">
        <v>0</v>
      </c>
      <c r="V6" s="707" t="n">
        <v>1122.243766</v>
      </c>
      <c r="W6" s="707">
        <f>SUM(T6:V6)</f>
        <v/>
      </c>
      <c r="X6" s="707" t="n">
        <v>1444.66245</v>
      </c>
      <c r="Y6" s="707" t="n">
        <v>0</v>
      </c>
      <c r="Z6" s="707" t="n">
        <v>1063.763858</v>
      </c>
      <c r="AA6" s="707">
        <f>SUM(X6:Z6)</f>
        <v/>
      </c>
      <c r="AB6" s="707" t="n">
        <v>9688.821542</v>
      </c>
      <c r="AC6" s="707" t="n">
        <v>0</v>
      </c>
      <c r="AD6" s="707" t="n">
        <v>606.6776630000001</v>
      </c>
      <c r="AE6" s="707">
        <f>SUM(AB6:AD6)</f>
        <v/>
      </c>
      <c r="AF6" s="707" t="n">
        <v>13116.995922</v>
      </c>
      <c r="AG6" s="271">
        <f>SUM(K6+O6+S6+W6+AA6+AE6+AF6)</f>
        <v/>
      </c>
      <c r="AH6" s="326">
        <f>IF(F6=0,"",K6/(F6/((YEAR(E6)*12+MONTH(E6))-(YEAR(D6)*12+MONTH(D6))+1)))</f>
        <v/>
      </c>
      <c r="AI6" s="326">
        <f>G6/F6</f>
        <v/>
      </c>
      <c r="AJ6" s="708">
        <f>F6-G6</f>
        <v/>
      </c>
      <c r="AK6" s="500" t="n"/>
      <c r="AL6" s="500" t="n"/>
      <c r="AM6" s="500" t="n"/>
      <c r="AN6" s="706" t="inlineStr"/>
      <c r="AO6" s="706" t="inlineStr"/>
      <c r="AP6" s="706" t="inlineStr">
        <is>
          <t>计算日期</t>
        </is>
      </c>
      <c r="AQ6" s="706">
        <f>W5-V5</f>
        <v/>
      </c>
      <c r="AR6" s="706" t="inlineStr">
        <is>
          <t>时间进度</t>
        </is>
      </c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3874.421583</v>
      </c>
      <c r="H7" s="707" t="n">
        <v>191.980425</v>
      </c>
      <c r="I7" s="707" t="n">
        <v>0</v>
      </c>
      <c r="J7" s="707" t="n">
        <v>0</v>
      </c>
      <c r="K7" s="707">
        <f>SUM(H7:J7)</f>
        <v/>
      </c>
      <c r="L7" s="707" t="n">
        <v>125.538504</v>
      </c>
      <c r="M7" s="707" t="n">
        <v>0</v>
      </c>
      <c r="N7" s="707" t="n">
        <v>202.092562</v>
      </c>
      <c r="O7" s="707">
        <f>SUM(L7:N7)</f>
        <v/>
      </c>
      <c r="P7" s="707" t="n">
        <v>66.7758</v>
      </c>
      <c r="Q7" s="707" t="n">
        <v>0</v>
      </c>
      <c r="R7" s="707" t="n">
        <v>22.323011</v>
      </c>
      <c r="S7" s="707">
        <f>SUM(P7:R7)</f>
        <v/>
      </c>
      <c r="T7" s="707" t="n">
        <v>133.5516</v>
      </c>
      <c r="U7" s="707" t="n">
        <v>0</v>
      </c>
      <c r="V7" s="707" t="n">
        <v>22.107856</v>
      </c>
      <c r="W7" s="707">
        <f>SUM(T7:V7)</f>
        <v/>
      </c>
      <c r="X7" s="707" t="n">
        <v>500.150742</v>
      </c>
      <c r="Y7" s="707" t="n">
        <v>0</v>
      </c>
      <c r="Z7" s="707" t="n">
        <v>157.397938</v>
      </c>
      <c r="AA7" s="707">
        <f>SUM(X7:Z7)</f>
        <v/>
      </c>
      <c r="AB7" s="707" t="n">
        <v>267.1032</v>
      </c>
      <c r="AC7" s="707" t="n">
        <v>0</v>
      </c>
      <c r="AD7" s="707" t="n">
        <v>25.494675</v>
      </c>
      <c r="AE7" s="707">
        <f>SUM(AB7:AD7)</f>
        <v/>
      </c>
      <c r="AF7" s="707" t="n">
        <v>2351.885696</v>
      </c>
      <c r="AG7" s="271">
        <f>SUM(K7+O7+S7+W7+AA7+AE7+AF7)</f>
        <v/>
      </c>
      <c r="AH7" s="326">
        <f>IF(F7=0,"",K7/(F7/((YEAR(E7)*12+MONTH(E7))-(YEAR(D7)*12+MONTH(D7))+1)))</f>
        <v/>
      </c>
      <c r="AI7" s="326">
        <f>G7/F7</f>
        <v/>
      </c>
      <c r="AJ7" s="708">
        <f>F7-G7</f>
        <v/>
      </c>
      <c r="AK7" s="500" t="n"/>
      <c r="AL7" s="500" t="n"/>
      <c r="AM7" s="500" t="n"/>
      <c r="AN7" s="706" t="inlineStr"/>
      <c r="AO7" s="706" t="inlineStr"/>
      <c r="AP7" s="709" t="n">
        <v>46220</v>
      </c>
      <c r="AQ7" s="330">
        <f>AQ5-AP5+1</f>
        <v/>
      </c>
      <c r="AR7" s="331">
        <f>(AP7-AP5+1)/AQ7</f>
        <v/>
      </c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599.869512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95.21789800000001</v>
      </c>
      <c r="M8" s="707" t="n">
        <v>264.17664</v>
      </c>
      <c r="N8" s="707" t="n">
        <v>67.830038</v>
      </c>
      <c r="O8" s="707">
        <f>SUM(L8:N8)</f>
        <v/>
      </c>
      <c r="P8" s="707" t="n">
        <v>130.02444</v>
      </c>
      <c r="Q8" s="707" t="n">
        <v>0</v>
      </c>
      <c r="R8" s="707" t="n">
        <v>16.066547</v>
      </c>
      <c r="S8" s="707">
        <f>SUM(P8:R8)</f>
        <v/>
      </c>
      <c r="T8" s="707" t="n">
        <v>0</v>
      </c>
      <c r="U8" s="707" t="n">
        <v>0</v>
      </c>
      <c r="V8" s="707" t="n">
        <v>12.779778</v>
      </c>
      <c r="W8" s="707">
        <f>SUM(T8:V8)</f>
        <v/>
      </c>
      <c r="X8" s="707" t="n">
        <v>0</v>
      </c>
      <c r="Y8" s="707" t="n">
        <v>25509.5568</v>
      </c>
      <c r="Z8" s="707" t="n">
        <v>13.774172</v>
      </c>
      <c r="AA8" s="707">
        <f>SUM(X8:Z8)</f>
        <v/>
      </c>
      <c r="AB8" s="707" t="n">
        <v>41.2776</v>
      </c>
      <c r="AC8" s="707" t="n">
        <v>0</v>
      </c>
      <c r="AD8" s="707" t="n">
        <v>18.646322</v>
      </c>
      <c r="AE8" s="707">
        <f>SUM(AB8:AD8)</f>
        <v/>
      </c>
      <c r="AF8" s="707" t="n">
        <v>683.02396</v>
      </c>
      <c r="AG8" s="271">
        <f>SUM(K8+O8+S8+W8+AA8+AE8+AF8)</f>
        <v/>
      </c>
      <c r="AH8" s="326">
        <f>IF(F8=0,"",K8/(F8/((YEAR(E8)*12+MONTH(E8))-(YEAR(D8)*12+MONTH(D8))+1)))</f>
        <v/>
      </c>
      <c r="AI8" s="326">
        <f>G8/F8</f>
        <v/>
      </c>
      <c r="AJ8" s="708">
        <f>F8-G8</f>
        <v/>
      </c>
      <c r="AK8" s="513" t="n"/>
      <c r="AL8" s="513" t="n"/>
      <c r="AM8" s="513" t="n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1">
        <f>SUM(K9+O9+S9+W9+AA9+AE9+AF9)</f>
        <v/>
      </c>
      <c r="AH9" s="335">
        <f>IF(F9=0,"",K9/(F9/((YEAR(E4)*12+MONTH(E4))-(YEAR(D4)*12+MONTH(D4))+1)))</f>
        <v/>
      </c>
      <c r="AI9" s="336">
        <f>G9/F9</f>
        <v/>
      </c>
      <c r="AJ9" s="711">
        <f>F9-G9</f>
        <v/>
      </c>
      <c r="AK9" s="337">
        <f>AK4</f>
        <v/>
      </c>
      <c r="AL9" s="335">
        <f>AG9/AK4</f>
        <v/>
      </c>
      <c r="AM9" s="712">
        <f>AK4-AG9</f>
        <v/>
      </c>
      <c r="AN9" s="713" t="inlineStr"/>
      <c r="AO9" s="713" t="inlineStr"/>
      <c r="AP9" s="340" t="n">
        <v>46136</v>
      </c>
      <c r="AQ9" s="713" t="inlineStr"/>
      <c r="AR9" s="341">
        <f>(AD10-DATE(YEAR(AD10),1,1)+1)/AE9</f>
        <v/>
      </c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24941.640018</v>
      </c>
      <c r="H10" s="703" t="n">
        <v>2182.912745</v>
      </c>
      <c r="I10" s="703" t="n">
        <v>0</v>
      </c>
      <c r="J10" s="703" t="n">
        <v>0</v>
      </c>
      <c r="K10" s="703">
        <f>SUM(H10:J10)</f>
        <v/>
      </c>
      <c r="L10" s="703" t="n">
        <v>3599.205131</v>
      </c>
      <c r="M10" s="703" t="n">
        <v>0</v>
      </c>
      <c r="N10" s="703" t="n">
        <v>206.592585</v>
      </c>
      <c r="O10" s="703">
        <f>SUM(L10:N10)</f>
        <v/>
      </c>
      <c r="P10" s="703" t="n">
        <v>4233.38058</v>
      </c>
      <c r="Q10" s="703" t="n">
        <v>0</v>
      </c>
      <c r="R10" s="703" t="n">
        <v>103.388547</v>
      </c>
      <c r="S10" s="703">
        <f>SUM(P10:R10)</f>
        <v/>
      </c>
      <c r="T10" s="703" t="n">
        <v>2418.943367</v>
      </c>
      <c r="U10" s="703" t="n">
        <v>2443.706261</v>
      </c>
      <c r="V10" s="703" t="n">
        <v>88.105912</v>
      </c>
      <c r="W10" s="703">
        <f>SUM(T10:V10)</f>
        <v/>
      </c>
      <c r="X10" s="703" t="n">
        <v>2574.496213</v>
      </c>
      <c r="Y10" s="703" t="n">
        <v>2927.70165</v>
      </c>
      <c r="Z10" s="703" t="n">
        <v>154.748145</v>
      </c>
      <c r="AA10" s="703">
        <f>SUM(X10:Z10)</f>
        <v/>
      </c>
      <c r="AB10" s="703" t="n">
        <v>745.691219</v>
      </c>
      <c r="AC10" s="703" t="n">
        <v>2330.36622</v>
      </c>
      <c r="AD10" s="703" t="n">
        <v>72.478376</v>
      </c>
      <c r="AE10" s="703">
        <f>SUM(AB10:AD10)</f>
        <v/>
      </c>
      <c r="AF10" s="703" t="n">
        <v>3042.835811</v>
      </c>
      <c r="AG10" s="318">
        <f>SUM(K10+O10+S10+W10+AA10+AE10+AF10)</f>
        <v/>
      </c>
      <c r="AH10" s="319">
        <f>IF(F10=0,"",K10/(F10/((YEAR(E10)*12+MONTH(E10))-(YEAR(D10)*12+MONTH(D10))+1)))</f>
        <v/>
      </c>
      <c r="AI10" s="319">
        <f>G10/F10</f>
        <v/>
      </c>
      <c r="AJ10" s="704">
        <f>F10-G10</f>
        <v/>
      </c>
      <c r="AK10" s="321">
        <f>SUM(F10:F13)</f>
        <v/>
      </c>
      <c r="AL10" s="322">
        <f>AL14</f>
        <v/>
      </c>
      <c r="AM10" s="705">
        <f>AM14</f>
        <v/>
      </c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340.263021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304.3131</v>
      </c>
      <c r="M11" s="707" t="n">
        <v>0</v>
      </c>
      <c r="N11" s="707" t="n">
        <v>35.949921</v>
      </c>
      <c r="O11" s="707">
        <f>SUM(L11:N11)</f>
        <v/>
      </c>
      <c r="P11" s="707" t="n">
        <v>139.11456</v>
      </c>
      <c r="Q11" s="707" t="n">
        <v>2956.1844</v>
      </c>
      <c r="R11" s="707" t="n">
        <v>14.716853</v>
      </c>
      <c r="S11" s="707">
        <f>SUM(P11:R11)</f>
        <v/>
      </c>
      <c r="T11" s="707" t="n">
        <v>280.185418</v>
      </c>
      <c r="U11" s="707" t="n">
        <v>773.505646</v>
      </c>
      <c r="V11" s="707" t="n">
        <v>3.573146</v>
      </c>
      <c r="W11" s="707">
        <f>SUM(T11:V11)</f>
        <v/>
      </c>
      <c r="X11" s="707" t="n">
        <v>43.4733</v>
      </c>
      <c r="Y11" s="707" t="n">
        <v>0</v>
      </c>
      <c r="Z11" s="707" t="n">
        <v>10.334614</v>
      </c>
      <c r="AA11" s="707">
        <f>SUM(X11:Z11)</f>
        <v/>
      </c>
      <c r="AB11" s="707" t="n">
        <v>0</v>
      </c>
      <c r="AC11" s="707" t="n">
        <v>0</v>
      </c>
      <c r="AD11" s="707" t="n">
        <v>0</v>
      </c>
      <c r="AE11" s="707">
        <f>SUM(AB11:AD11)</f>
        <v/>
      </c>
      <c r="AF11" s="707" t="n">
        <v>0</v>
      </c>
      <c r="AG11" s="271">
        <f>SUM(K11+O11+S11+W11+AA11+AE11+AF11)</f>
        <v/>
      </c>
      <c r="AH11" s="326">
        <f>IF(F11=0,"",K11/(F11/((YEAR(E11)*12+MONTH(E11))-(YEAR(D11)*12+MONTH(D11))+1)))</f>
        <v/>
      </c>
      <c r="AI11" s="326">
        <f>G11/F11</f>
        <v/>
      </c>
      <c r="AJ11" s="708">
        <f>F11-G11</f>
        <v/>
      </c>
      <c r="AK11" s="500" t="n"/>
      <c r="AL11" s="500" t="n"/>
      <c r="AM11" s="500" t="n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22552.233026</v>
      </c>
      <c r="H12" s="707" t="n">
        <v>2755.157839</v>
      </c>
      <c r="I12" s="707" t="n">
        <v>0</v>
      </c>
      <c r="J12" s="707" t="n">
        <v>0</v>
      </c>
      <c r="K12" s="707">
        <f>SUM(H12:J12)</f>
        <v/>
      </c>
      <c r="L12" s="707" t="n">
        <v>5138.663789</v>
      </c>
      <c r="M12" s="707" t="n">
        <v>0</v>
      </c>
      <c r="N12" s="707" t="n">
        <v>787.892575</v>
      </c>
      <c r="O12" s="707">
        <f>SUM(L12:N12)</f>
        <v/>
      </c>
      <c r="P12" s="707" t="n">
        <v>527.86032</v>
      </c>
      <c r="Q12" s="707" t="n">
        <v>0</v>
      </c>
      <c r="R12" s="707" t="n">
        <v>176.99322</v>
      </c>
      <c r="S12" s="707">
        <f>SUM(P12:R12)</f>
        <v/>
      </c>
      <c r="T12" s="707" t="n">
        <v>5719.894428</v>
      </c>
      <c r="U12" s="707" t="n">
        <v>0</v>
      </c>
      <c r="V12" s="707" t="n">
        <v>170.991639</v>
      </c>
      <c r="W12" s="707">
        <f>SUM(T12:V12)</f>
        <v/>
      </c>
      <c r="X12" s="707" t="n">
        <v>2659.960961</v>
      </c>
      <c r="Y12" s="707" t="n">
        <v>0</v>
      </c>
      <c r="Z12" s="707" t="n">
        <v>743.622962</v>
      </c>
      <c r="AA12" s="707">
        <f>SUM(X12:Z12)</f>
        <v/>
      </c>
      <c r="AB12" s="707" t="n">
        <v>0</v>
      </c>
      <c r="AC12" s="707" t="n">
        <v>0</v>
      </c>
      <c r="AD12" s="707" t="n">
        <v>144.157177</v>
      </c>
      <c r="AE12" s="707">
        <f>SUM(AB12:AD12)</f>
        <v/>
      </c>
      <c r="AF12" s="707" t="n">
        <v>6482.195956</v>
      </c>
      <c r="AG12" s="271">
        <f>SUM(K12+O12+S12+W12+AA12+AE12+AF12)</f>
        <v/>
      </c>
      <c r="AH12" s="326">
        <f>IF(F12=0,"",K12/(F12/((YEAR(E12)*12+MONTH(E12))-(YEAR(D12)*12+MONTH(D12))+1)))</f>
        <v/>
      </c>
      <c r="AI12" s="326">
        <f>G12/F12</f>
        <v/>
      </c>
      <c r="AJ12" s="708">
        <f>F12-G12</f>
        <v/>
      </c>
      <c r="AK12" s="500" t="n"/>
      <c r="AL12" s="500" t="n"/>
      <c r="AM12" s="500" t="n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13403.709586</v>
      </c>
      <c r="H13" s="707" t="n">
        <v>906.352949</v>
      </c>
      <c r="I13" s="707" t="n">
        <v>0</v>
      </c>
      <c r="J13" s="707" t="n">
        <v>0</v>
      </c>
      <c r="K13" s="707">
        <f>SUM(H13:J13)</f>
        <v/>
      </c>
      <c r="L13" s="707" t="n">
        <v>2826.176184</v>
      </c>
      <c r="M13" s="707" t="n">
        <v>0</v>
      </c>
      <c r="N13" s="707" t="n">
        <v>536.034869</v>
      </c>
      <c r="O13" s="707">
        <f>SUM(L13:N13)</f>
        <v/>
      </c>
      <c r="P13" s="707" t="n">
        <v>1000.951193</v>
      </c>
      <c r="Q13" s="707" t="n">
        <v>0</v>
      </c>
      <c r="R13" s="707" t="n">
        <v>278.383375</v>
      </c>
      <c r="S13" s="707">
        <f>SUM(P13:R13)</f>
        <v/>
      </c>
      <c r="T13" s="707" t="n">
        <v>3291.566745</v>
      </c>
      <c r="U13" s="707" t="n">
        <v>0</v>
      </c>
      <c r="V13" s="707" t="n">
        <v>242.965979</v>
      </c>
      <c r="W13" s="707">
        <f>SUM(T13:V13)</f>
        <v/>
      </c>
      <c r="X13" s="707" t="n">
        <v>3556.620439</v>
      </c>
      <c r="Y13" s="707" t="n">
        <v>0</v>
      </c>
      <c r="Z13" s="707" t="n">
        <v>446.103228</v>
      </c>
      <c r="AA13" s="707">
        <f>SUM(X13:Z13)</f>
        <v/>
      </c>
      <c r="AB13" s="707" t="n">
        <v>1054.327266</v>
      </c>
      <c r="AC13" s="707" t="n">
        <v>0</v>
      </c>
      <c r="AD13" s="707" t="n">
        <v>170.580309</v>
      </c>
      <c r="AE13" s="707">
        <f>SUM(AB13:AD13)</f>
        <v/>
      </c>
      <c r="AF13" s="707" t="n">
        <v>692.512431</v>
      </c>
      <c r="AG13" s="271">
        <f>SUM(K13+O13+S13+W13+AA13+AE13+AF13)</f>
        <v/>
      </c>
      <c r="AH13" s="326">
        <f>IF(F13=0,"",K13/(F13/((YEAR(E13)*12+MONTH(E13))-(YEAR(D13)*12+MONTH(D13))+1)))</f>
        <v/>
      </c>
      <c r="AI13" s="326">
        <f>G13/F13</f>
        <v/>
      </c>
      <c r="AJ13" s="708">
        <f>F13-G13</f>
        <v/>
      </c>
      <c r="AK13" s="513" t="n"/>
      <c r="AL13" s="513" t="n"/>
      <c r="AM13" s="513" t="n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333">
        <f>SUM(K14+O14+S14+W14+AA14+AE14+AF14)</f>
        <v/>
      </c>
      <c r="AH14" s="335">
        <f>IF(F14=0,"",K14/(F14/((YEAR(E10)*12+MONTH(E10))-(YEAR(D10)*12+MONTH(D10))+1)))</f>
        <v/>
      </c>
      <c r="AI14" s="336">
        <f>G14/F14</f>
        <v/>
      </c>
      <c r="AJ14" s="715">
        <f>F14-G14</f>
        <v/>
      </c>
      <c r="AK14" s="337">
        <f>AK10</f>
        <v/>
      </c>
      <c r="AL14" s="335">
        <f>AG14/AK10</f>
        <v/>
      </c>
      <c r="AM14" s="712">
        <f>AK10-AG14</f>
        <v/>
      </c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10903.648415</v>
      </c>
      <c r="H15" s="703" t="n">
        <v>0</v>
      </c>
      <c r="I15" s="703" t="n">
        <v>0</v>
      </c>
      <c r="J15" s="703" t="n">
        <v>0</v>
      </c>
      <c r="K15" s="703">
        <f>SUM(H15:J15)</f>
        <v/>
      </c>
      <c r="L15" s="703" t="n">
        <v>1521.715752</v>
      </c>
      <c r="M15" s="703" t="n">
        <v>0</v>
      </c>
      <c r="N15" s="703" t="n">
        <v>201.494206</v>
      </c>
      <c r="O15" s="703">
        <f>SUM(L15:N15)</f>
        <v/>
      </c>
      <c r="P15" s="703" t="n">
        <v>1776.618655</v>
      </c>
      <c r="Q15" s="703" t="n">
        <v>0</v>
      </c>
      <c r="R15" s="703" t="n">
        <v>64.972886</v>
      </c>
      <c r="S15" s="703">
        <f>SUM(P15:R15)</f>
        <v/>
      </c>
      <c r="T15" s="703" t="n">
        <v>2171.402323</v>
      </c>
      <c r="U15" s="703" t="n">
        <v>0</v>
      </c>
      <c r="V15" s="703" t="n">
        <v>15.631431</v>
      </c>
      <c r="W15" s="703">
        <f>SUM(T15:V15)</f>
        <v/>
      </c>
      <c r="X15" s="703" t="n">
        <v>1305.1575</v>
      </c>
      <c r="Y15" s="703" t="n">
        <v>1178.4864</v>
      </c>
      <c r="Z15" s="703" t="n">
        <v>22.441342</v>
      </c>
      <c r="AA15" s="703">
        <f>SUM(X15:Z15)</f>
        <v/>
      </c>
      <c r="AB15" s="703" t="n">
        <v>0</v>
      </c>
      <c r="AC15" s="703" t="n">
        <v>0</v>
      </c>
      <c r="AD15" s="703" t="n">
        <v>15.177921</v>
      </c>
      <c r="AE15" s="703">
        <f>SUM(AB15:AD15)</f>
        <v/>
      </c>
      <c r="AF15" s="703" t="n">
        <v>2630.55</v>
      </c>
      <c r="AG15" s="724">
        <f>SUM(K15+O15+S15+W15+AA15+AE15+AF15)</f>
        <v/>
      </c>
      <c r="AH15" s="319">
        <f>IF(F15=0,"",K15/(F15/((YEAR(E15)*12+MONTH(E15))-(YEAR(D15)*12+MONTH(D15))+1)))</f>
        <v/>
      </c>
      <c r="AI15" s="319">
        <f>G15/F15</f>
        <v/>
      </c>
      <c r="AJ15" s="724">
        <f>F15-G15</f>
        <v/>
      </c>
      <c r="AK15" s="321">
        <f>SUM(F15:F18)</f>
        <v/>
      </c>
      <c r="AL15" s="322">
        <f>AL19</f>
        <v/>
      </c>
      <c r="AM15" s="717">
        <f>AM19</f>
        <v/>
      </c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0</v>
      </c>
      <c r="M16" s="707" t="n">
        <v>700.6272</v>
      </c>
      <c r="N16" s="707" t="n">
        <v>11.31433</v>
      </c>
      <c r="O16" s="707">
        <f>SUM(L16:N16)</f>
        <v/>
      </c>
      <c r="P16" s="707" t="n">
        <v>0</v>
      </c>
      <c r="Q16" s="707" t="n">
        <v>0</v>
      </c>
      <c r="R16" s="707" t="n">
        <v>2.157894</v>
      </c>
      <c r="S16" s="707">
        <f>SUM(P16:R16)</f>
        <v/>
      </c>
      <c r="T16" s="707" t="n">
        <v>0</v>
      </c>
      <c r="U16" s="707" t="n">
        <v>0</v>
      </c>
      <c r="V16" s="707" t="n">
        <v>2.058637</v>
      </c>
      <c r="W16" s="707">
        <f>SUM(T16:V16)</f>
        <v/>
      </c>
      <c r="X16" s="707" t="n">
        <v>0</v>
      </c>
      <c r="Y16" s="707" t="n">
        <v>0</v>
      </c>
      <c r="Z16" s="707" t="n">
        <v>3.23046</v>
      </c>
      <c r="AA16" s="707">
        <f>SUM(X16:Z16)</f>
        <v/>
      </c>
      <c r="AB16" s="707" t="n">
        <v>25.0224</v>
      </c>
      <c r="AC16" s="707" t="n">
        <v>1050.9408</v>
      </c>
      <c r="AD16" s="707" t="n">
        <v>3.667668</v>
      </c>
      <c r="AE16" s="707">
        <f>SUM(AB16:AD16)</f>
        <v/>
      </c>
      <c r="AF16" s="707" t="n">
        <v>125.112</v>
      </c>
      <c r="AG16" s="271">
        <f>SUM(K16+O16+S16+W16+AA16+AE16+AF16)</f>
        <v/>
      </c>
      <c r="AH16" s="326">
        <f>IF(F16=0,"",K16/(F16/((YEAR(E16)*12+MONTH(E16))-(YEAR(D16)*12+MONTH(D16))+1)))</f>
        <v/>
      </c>
      <c r="AI16" s="326">
        <f>G16/F16</f>
        <v/>
      </c>
      <c r="AJ16" s="708">
        <f>F16-G16</f>
        <v/>
      </c>
      <c r="AK16" s="500" t="n"/>
      <c r="AL16" s="500" t="n"/>
      <c r="AM16" s="500" t="n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4915.033623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412.205196</v>
      </c>
      <c r="M17" s="707" t="n">
        <v>0</v>
      </c>
      <c r="N17" s="707" t="n">
        <v>61.849591</v>
      </c>
      <c r="O17" s="707">
        <f>SUM(L17:N17)</f>
        <v/>
      </c>
      <c r="P17" s="707" t="n">
        <v>539.9043</v>
      </c>
      <c r="Q17" s="707" t="n">
        <v>1859.14872</v>
      </c>
      <c r="R17" s="707" t="n">
        <v>44.064709</v>
      </c>
      <c r="S17" s="707">
        <f>SUM(P17:R17)</f>
        <v/>
      </c>
      <c r="T17" s="707" t="n">
        <v>0</v>
      </c>
      <c r="U17" s="707" t="n">
        <v>0</v>
      </c>
      <c r="V17" s="707" t="n">
        <v>43.453355</v>
      </c>
      <c r="W17" s="707">
        <f>SUM(T17:V17)</f>
        <v/>
      </c>
      <c r="X17" s="707" t="n">
        <v>0</v>
      </c>
      <c r="Y17" s="707" t="n">
        <v>1943.65548</v>
      </c>
      <c r="Z17" s="707" t="n">
        <v>10.752272</v>
      </c>
      <c r="AA17" s="707">
        <f>SUM(X17:Z17)</f>
        <v/>
      </c>
      <c r="AB17" s="707" t="n">
        <v>0</v>
      </c>
      <c r="AC17" s="707" t="n">
        <v>0</v>
      </c>
      <c r="AD17" s="707" t="n">
        <v>0</v>
      </c>
      <c r="AE17" s="707">
        <f>SUM(AB17:AD17)</f>
        <v/>
      </c>
      <c r="AF17" s="707" t="n">
        <v>0</v>
      </c>
      <c r="AG17" s="271">
        <f>SUM(K17+O17+S17+W17+AA17+AE17+AF17)</f>
        <v/>
      </c>
      <c r="AH17" s="326">
        <f>IF(F17=0,"",K17/(F17/MAX(1,(YEAR(E17)*12+MONTH(E17))-(YEAR(D17)*12+MONTH(D17))+1)))</f>
        <v/>
      </c>
      <c r="AI17" s="326">
        <f>G17/F17</f>
        <v/>
      </c>
      <c r="AJ17" s="708">
        <f>F17-G17</f>
        <v/>
      </c>
      <c r="AK17" s="500" t="n"/>
      <c r="AL17" s="500" t="n"/>
      <c r="AM17" s="500" t="n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35462.605985</v>
      </c>
      <c r="H18" s="707" t="n">
        <v>818.7059379999999</v>
      </c>
      <c r="I18" s="707" t="n">
        <v>0</v>
      </c>
      <c r="J18" s="707" t="n">
        <v>0</v>
      </c>
      <c r="K18" s="707">
        <f>SUM(H18:J18)</f>
        <v/>
      </c>
      <c r="L18" s="707" t="n">
        <v>4030.216259</v>
      </c>
      <c r="M18" s="707" t="n">
        <v>0</v>
      </c>
      <c r="N18" s="707" t="n">
        <v>591.382342</v>
      </c>
      <c r="O18" s="707">
        <f>SUM(L18:N18)</f>
        <v/>
      </c>
      <c r="P18" s="707" t="n">
        <v>1274.903482</v>
      </c>
      <c r="Q18" s="707" t="n">
        <v>3566.1951</v>
      </c>
      <c r="R18" s="707" t="n">
        <v>343.572179</v>
      </c>
      <c r="S18" s="707">
        <f>SUM(P18:R18)</f>
        <v/>
      </c>
      <c r="T18" s="707" t="n">
        <v>2660.12632</v>
      </c>
      <c r="U18" s="707" t="n">
        <v>0</v>
      </c>
      <c r="V18" s="707" t="n">
        <v>331.400492</v>
      </c>
      <c r="W18" s="707">
        <f>SUM(T18:V18)</f>
        <v/>
      </c>
      <c r="X18" s="707" t="n">
        <v>3406.959578</v>
      </c>
      <c r="Y18" s="707" t="n">
        <v>14793.1056</v>
      </c>
      <c r="Z18" s="707" t="n">
        <v>606.358521</v>
      </c>
      <c r="AA18" s="707">
        <f>SUM(X18:Z18)</f>
        <v/>
      </c>
      <c r="AB18" s="707" t="n">
        <v>3557.362586</v>
      </c>
      <c r="AC18" s="707" t="n">
        <v>0</v>
      </c>
      <c r="AD18" s="707" t="n">
        <v>301.023526</v>
      </c>
      <c r="AE18" s="707">
        <f>SUM(AB18:AD18)</f>
        <v/>
      </c>
      <c r="AF18" s="707" t="n">
        <v>8988.571889000001</v>
      </c>
      <c r="AG18" s="271">
        <f>SUM(K18+O18+S18+W18+AA18+AE18+AF18)</f>
        <v/>
      </c>
      <c r="AH18" s="326">
        <f>IF(F18=0,"",K18/(F18/((YEAR(E18)*12+MONTH(E18))-(YEAR(D18)*12+MONTH(D18))+1)))</f>
        <v/>
      </c>
      <c r="AI18" s="326">
        <f>G18/F18</f>
        <v/>
      </c>
      <c r="AJ18" s="708">
        <f>F18-G18</f>
        <v/>
      </c>
      <c r="AK18" s="513" t="n"/>
      <c r="AL18" s="513" t="n"/>
      <c r="AM18" s="513" t="n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0">
        <f>SUM(AC15:AC18)</f>
        <v/>
      </c>
      <c r="AD19" s="710">
        <f>SUM(AD15:AD18)</f>
        <v/>
      </c>
      <c r="AE19" s="710">
        <f>SUM(AE15:AE18)</f>
        <v/>
      </c>
      <c r="AF19" s="710">
        <f>SUM(AF15:AF18)</f>
        <v/>
      </c>
      <c r="AG19" s="711">
        <f>SUM(K19+O19+S19+W19+AA19+AE19+AF19)</f>
        <v/>
      </c>
      <c r="AH19" s="335">
        <f>IF(F19=0,"",K19/(F19/((YEAR(E15)*12+MONTH(E15))-(YEAR(D15)*12+MONTH(D15))+1)))</f>
        <v/>
      </c>
      <c r="AI19" s="336">
        <f>G19/F19</f>
        <v/>
      </c>
      <c r="AJ19" s="711">
        <f>F19-G19</f>
        <v/>
      </c>
      <c r="AK19" s="337">
        <f>AK15</f>
        <v/>
      </c>
      <c r="AL19" s="335">
        <f>AG19/AK15</f>
        <v/>
      </c>
      <c r="AM19" s="712">
        <f>AK15-AG19</f>
        <v/>
      </c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0</v>
      </c>
      <c r="I20" s="703" t="n">
        <v>0</v>
      </c>
      <c r="J20" s="703" t="n">
        <v>0</v>
      </c>
      <c r="K20" s="703">
        <f>SUM(H20:J20)</f>
        <v/>
      </c>
      <c r="L20" s="703" t="n">
        <v>488.8416</v>
      </c>
      <c r="M20" s="703" t="n">
        <v>0</v>
      </c>
      <c r="N20" s="703" t="n">
        <v>90.34230599999999</v>
      </c>
      <c r="O20" s="703">
        <f>SUM(L20:N20)</f>
        <v/>
      </c>
      <c r="P20" s="703" t="n">
        <v>305.526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703" t="n">
        <v>0</v>
      </c>
      <c r="Z20" s="703" t="n">
        <v>32.04495</v>
      </c>
      <c r="AA20" s="703">
        <f>SUM(X20:Z20)</f>
        <v/>
      </c>
      <c r="AB20" s="703" t="n">
        <v>0</v>
      </c>
      <c r="AC20" s="703" t="n">
        <v>0</v>
      </c>
      <c r="AD20" s="703" t="n">
        <v>0</v>
      </c>
      <c r="AE20" s="703">
        <f>SUM(AB20:AD20)</f>
        <v/>
      </c>
      <c r="AF20" s="703" t="n">
        <v>0</v>
      </c>
      <c r="AG20" s="318">
        <f>SUM(K20+O20+S20+W20+AA20+AE20+AF20)</f>
        <v/>
      </c>
      <c r="AH20" s="319">
        <f>IF(F20=0,"",K20/(F20/((YEAR(E20)*12+MONTH(E20))-(YEAR(D20)*12+MONTH(D20))+1)))</f>
        <v/>
      </c>
      <c r="AI20" s="319">
        <f>G20/F20</f>
        <v/>
      </c>
      <c r="AJ20" s="704">
        <f>F20-G20</f>
        <v/>
      </c>
      <c r="AK20" s="321">
        <f>SUM(F20:F22)</f>
        <v/>
      </c>
      <c r="AL20" s="322">
        <f>AL23</f>
        <v/>
      </c>
      <c r="AM20" s="705">
        <f>AM23</f>
        <v/>
      </c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5532.159915</v>
      </c>
      <c r="H21" s="707" t="n">
        <v>0</v>
      </c>
      <c r="I21" s="707" t="n">
        <v>0</v>
      </c>
      <c r="J21" s="707" t="n">
        <v>0</v>
      </c>
      <c r="K21" s="707">
        <f>SUM(H21:J21)</f>
        <v/>
      </c>
      <c r="L21" s="707" t="n">
        <v>34.377788</v>
      </c>
      <c r="M21" s="707" t="n">
        <v>0</v>
      </c>
      <c r="N21" s="707" t="n">
        <v>56.784195</v>
      </c>
      <c r="O21" s="707">
        <f>SUM(L21:N21)</f>
        <v/>
      </c>
      <c r="P21" s="707" t="n">
        <v>494.115336</v>
      </c>
      <c r="Q21" s="707" t="n">
        <v>0</v>
      </c>
      <c r="R21" s="707" t="n">
        <v>46.211266</v>
      </c>
      <c r="S21" s="707">
        <f>SUM(P21:R21)</f>
        <v/>
      </c>
      <c r="T21" s="707" t="n">
        <v>0</v>
      </c>
      <c r="U21" s="707" t="n">
        <v>0</v>
      </c>
      <c r="V21" s="707" t="n">
        <v>37.443523</v>
      </c>
      <c r="W21" s="707">
        <f>SUM(T21:V21)</f>
        <v/>
      </c>
      <c r="X21" s="707" t="n">
        <v>198.1746</v>
      </c>
      <c r="Y21" s="707" t="n">
        <v>0</v>
      </c>
      <c r="Z21" s="707" t="n">
        <v>29.640215</v>
      </c>
      <c r="AA21" s="707">
        <f>SUM(X21:Z21)</f>
        <v/>
      </c>
      <c r="AB21" s="707" t="n">
        <v>0.8469</v>
      </c>
      <c r="AC21" s="707" t="n">
        <v>4558.0158</v>
      </c>
      <c r="AD21" s="707" t="n">
        <v>19.389048</v>
      </c>
      <c r="AE21" s="707">
        <f>SUM(AB21:AD21)</f>
        <v/>
      </c>
      <c r="AF21" s="707" t="n">
        <v>21.644177</v>
      </c>
      <c r="AG21" s="271">
        <f>SUM(K21+O21+S21+W21+AA21+AE21+AF21)</f>
        <v/>
      </c>
      <c r="AH21" s="326">
        <f>IF(F21=0,"",K21/(F21/((YEAR(E21)*12+MONTH(E21))-(YEAR(D21)*12+MONTH(D21))+1)))</f>
        <v/>
      </c>
      <c r="AI21" s="326">
        <f>G21/F21</f>
        <v/>
      </c>
      <c r="AJ21" s="708">
        <f>F21-G21</f>
        <v/>
      </c>
      <c r="AK21" s="500" t="n"/>
      <c r="AL21" s="500" t="n"/>
      <c r="AM21" s="500" t="n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12759.025525</v>
      </c>
      <c r="H22" s="707" t="n">
        <v>293.553</v>
      </c>
      <c r="I22" s="707" t="n">
        <v>0</v>
      </c>
      <c r="J22" s="707" t="n">
        <v>0</v>
      </c>
      <c r="K22" s="707">
        <f>SUM(H22:J22)</f>
        <v/>
      </c>
      <c r="L22" s="707" t="n">
        <v>1356.21486</v>
      </c>
      <c r="M22" s="707" t="n">
        <v>0</v>
      </c>
      <c r="N22" s="707" t="n">
        <v>318.416359</v>
      </c>
      <c r="O22" s="707">
        <f>SUM(L22:N22)</f>
        <v/>
      </c>
      <c r="P22" s="707" t="n">
        <v>2200.72469</v>
      </c>
      <c r="Q22" s="707" t="n">
        <v>0</v>
      </c>
      <c r="R22" s="707" t="n">
        <v>130.270558</v>
      </c>
      <c r="S22" s="707">
        <f>SUM(P22:R22)</f>
        <v/>
      </c>
      <c r="T22" s="707" t="n">
        <v>1832.902273</v>
      </c>
      <c r="U22" s="707" t="n">
        <v>0</v>
      </c>
      <c r="V22" s="707" t="n">
        <v>114.994826</v>
      </c>
      <c r="W22" s="707">
        <f>SUM(T22:V22)</f>
        <v/>
      </c>
      <c r="X22" s="707" t="n">
        <v>220.16475</v>
      </c>
      <c r="Y22" s="707" t="n">
        <v>0</v>
      </c>
      <c r="Z22" s="707" t="n">
        <v>158.674065</v>
      </c>
      <c r="AA22" s="707">
        <f>SUM(X22:Z22)</f>
        <v/>
      </c>
      <c r="AB22" s="707" t="n">
        <v>3847.561596</v>
      </c>
      <c r="AC22" s="707" t="n">
        <v>0</v>
      </c>
      <c r="AD22" s="707" t="n">
        <v>39.036743</v>
      </c>
      <c r="AE22" s="707">
        <f>SUM(AB22:AD22)</f>
        <v/>
      </c>
      <c r="AF22" s="707" t="n">
        <v>2540.064804</v>
      </c>
      <c r="AG22" s="271">
        <f>SUM(K22+O22+S22+W22+AA22+AE22+AF22)</f>
        <v/>
      </c>
      <c r="AH22" s="326">
        <f>IF(F22=0,"",K22/(F22/((YEAR(E22)*12+MONTH(E22))-(YEAR(D22)*12+MONTH(D22))+1)))</f>
        <v/>
      </c>
      <c r="AI22" s="326">
        <f>G22/F22</f>
        <v/>
      </c>
      <c r="AJ22" s="708">
        <f>F22-G22</f>
        <v/>
      </c>
      <c r="AK22" s="513" t="n"/>
      <c r="AL22" s="513" t="n"/>
      <c r="AM22" s="513" t="n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710">
        <f>SUM(AC20:AC22)</f>
        <v/>
      </c>
      <c r="AD23" s="710">
        <f>SUM(AD20:AD22)</f>
        <v/>
      </c>
      <c r="AE23" s="710">
        <f>SUM(AE20:AE22)</f>
        <v/>
      </c>
      <c r="AF23" s="710">
        <f>SUM(AF20:AF22)</f>
        <v/>
      </c>
      <c r="AG23" s="333">
        <f>SUM(K23+O23+S23+W23+AA23+AE23+AF23)</f>
        <v/>
      </c>
      <c r="AH23" s="335">
        <f>IF(F23=0,"",K23/(F23/((YEAR(E20)*12+MONTH(E20))-(YEAR(D20)*12+MONTH(D20))+1)))</f>
        <v/>
      </c>
      <c r="AI23" s="336">
        <f>G23/F23</f>
        <v/>
      </c>
      <c r="AJ23" s="715">
        <f>F23-G23</f>
        <v/>
      </c>
      <c r="AK23" s="337">
        <f>AK20</f>
        <v/>
      </c>
      <c r="AL23" s="335">
        <f>AG23/AK20</f>
        <v/>
      </c>
      <c r="AM23" s="712">
        <f>AK20-AG23</f>
        <v/>
      </c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6799.556221</v>
      </c>
      <c r="H24" s="703" t="n">
        <v>134.3004</v>
      </c>
      <c r="I24" s="703" t="n">
        <v>0</v>
      </c>
      <c r="J24" s="703" t="n">
        <v>0</v>
      </c>
      <c r="K24" s="703">
        <f>SUM(H24:J24)</f>
        <v/>
      </c>
      <c r="L24" s="703" t="n">
        <v>1035.385146</v>
      </c>
      <c r="M24" s="703" t="n">
        <v>0</v>
      </c>
      <c r="N24" s="703" t="n">
        <v>713.811077</v>
      </c>
      <c r="O24" s="703">
        <f>SUM(L24:N24)</f>
        <v/>
      </c>
      <c r="P24" s="703" t="n">
        <v>121.826127</v>
      </c>
      <c r="Q24" s="703" t="n">
        <v>0</v>
      </c>
      <c r="R24" s="703" t="n">
        <v>638.531805</v>
      </c>
      <c r="S24" s="703">
        <f>SUM(P24:R24)</f>
        <v/>
      </c>
      <c r="T24" s="703" t="n">
        <v>88.54274700000001</v>
      </c>
      <c r="U24" s="703" t="n">
        <v>0</v>
      </c>
      <c r="V24" s="703" t="n">
        <v>616.124389</v>
      </c>
      <c r="W24" s="703">
        <f>SUM(T24:V24)</f>
        <v/>
      </c>
      <c r="X24" s="703" t="n">
        <v>50.830377</v>
      </c>
      <c r="Y24" s="703" t="n">
        <v>0</v>
      </c>
      <c r="Z24" s="703" t="n">
        <v>791.318135</v>
      </c>
      <c r="AA24" s="703">
        <f>SUM(X24:Z24)</f>
        <v/>
      </c>
      <c r="AB24" s="703" t="n">
        <v>153.11976</v>
      </c>
      <c r="AC24" s="703" t="n">
        <v>0</v>
      </c>
      <c r="AD24" s="703" t="n">
        <v>560.548117</v>
      </c>
      <c r="AE24" s="703">
        <f>SUM(AB24:AD24)</f>
        <v/>
      </c>
      <c r="AF24" s="703" t="n">
        <v>2029.518541</v>
      </c>
      <c r="AG24" s="724">
        <f>SUM(K24+O24+S24+W24+AA24+AE24+AF24)</f>
        <v/>
      </c>
      <c r="AH24" s="319">
        <f>IF(F24=0,"",K24/(F24/((YEAR(E24)*12+MONTH(E24))-(YEAR(D24)*12+MONTH(D24))+1)))</f>
        <v/>
      </c>
      <c r="AI24" s="319">
        <f>G24/F24</f>
        <v/>
      </c>
      <c r="AJ24" s="724">
        <f>F24-G24</f>
        <v/>
      </c>
      <c r="AK24" s="321">
        <f>SUM(F24:F26)</f>
        <v/>
      </c>
      <c r="AL24" s="322">
        <f>AL27</f>
        <v/>
      </c>
      <c r="AM24" s="725">
        <f>AM27</f>
        <v/>
      </c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317.634446</v>
      </c>
      <c r="H25" s="707" t="n">
        <v>0</v>
      </c>
      <c r="I25" s="707" t="n">
        <v>0</v>
      </c>
      <c r="J25" s="707" t="n">
        <v>0</v>
      </c>
      <c r="K25" s="707">
        <f>SUM(H25:J25)</f>
        <v/>
      </c>
      <c r="L25" s="707" t="n">
        <v>63.103793</v>
      </c>
      <c r="M25" s="707" t="n">
        <v>0</v>
      </c>
      <c r="N25" s="707" t="n">
        <v>22.083459</v>
      </c>
      <c r="O25" s="707">
        <f>SUM(L25:N25)</f>
        <v/>
      </c>
      <c r="P25" s="707" t="n">
        <v>63.1797</v>
      </c>
      <c r="Q25" s="707" t="n">
        <v>0</v>
      </c>
      <c r="R25" s="707" t="n">
        <v>19.121258</v>
      </c>
      <c r="S25" s="707">
        <f>SUM(P25:R25)</f>
        <v/>
      </c>
      <c r="T25" s="707" t="n">
        <v>135.387173</v>
      </c>
      <c r="U25" s="707" t="n">
        <v>3685.0554</v>
      </c>
      <c r="V25" s="707" t="n">
        <v>14.759064</v>
      </c>
      <c r="W25" s="707">
        <f>SUM(T25:V25)</f>
        <v/>
      </c>
      <c r="X25" s="707" t="n">
        <v>0</v>
      </c>
      <c r="Y25" s="707" t="n">
        <v>0</v>
      </c>
      <c r="Z25" s="707" t="n">
        <v>2.181886</v>
      </c>
      <c r="AA25" s="707">
        <f>SUM(X25:Z25)</f>
        <v/>
      </c>
      <c r="AB25" s="707" t="n">
        <v>0</v>
      </c>
      <c r="AC25" s="707" t="n">
        <v>0</v>
      </c>
      <c r="AD25" s="707" t="n">
        <v>1.481485</v>
      </c>
      <c r="AE25" s="707">
        <f>SUM(AB25:AD25)</f>
        <v/>
      </c>
      <c r="AF25" s="707" t="n">
        <v>66.75825</v>
      </c>
      <c r="AG25" s="271">
        <f>SUM(K25+O25+S25+W25+AA25+AE25+AF25)</f>
        <v/>
      </c>
      <c r="AH25" s="326">
        <f>IF(F25=0,"",K25/(F25/((YEAR(E25)*12+MONTH(E25))-(YEAR(D25)*12+MONTH(D25))+1)))</f>
        <v/>
      </c>
      <c r="AI25" s="326">
        <f>G25/F25</f>
        <v/>
      </c>
      <c r="AJ25" s="708">
        <f>F25-G25</f>
        <v/>
      </c>
      <c r="AK25" s="500" t="n"/>
      <c r="AL25" s="500" t="n"/>
      <c r="AM25" s="500" t="n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27397.572858</v>
      </c>
      <c r="H26" s="707" t="n">
        <v>1985.424745</v>
      </c>
      <c r="I26" s="707" t="n">
        <v>0</v>
      </c>
      <c r="J26" s="707" t="n">
        <v>0</v>
      </c>
      <c r="K26" s="707">
        <f>SUM(H26:J26)</f>
        <v/>
      </c>
      <c r="L26" s="707" t="n">
        <v>662.537684</v>
      </c>
      <c r="M26" s="707" t="n">
        <v>0</v>
      </c>
      <c r="N26" s="707" t="n">
        <v>353.318319</v>
      </c>
      <c r="O26" s="707">
        <f>SUM(L26:N26)</f>
        <v/>
      </c>
      <c r="P26" s="707" t="n">
        <v>2227.154433</v>
      </c>
      <c r="Q26" s="707" t="n">
        <v>0</v>
      </c>
      <c r="R26" s="707" t="n">
        <v>234.231608</v>
      </c>
      <c r="S26" s="707">
        <f>SUM(P26:R26)</f>
        <v/>
      </c>
      <c r="T26" s="707" t="n">
        <v>-6272.609198</v>
      </c>
      <c r="U26" s="707" t="n">
        <v>0</v>
      </c>
      <c r="V26" s="707" t="n">
        <v>210.102519</v>
      </c>
      <c r="W26" s="707">
        <f>SUM(T26:V26)</f>
        <v/>
      </c>
      <c r="X26" s="707" t="n">
        <v>2164.476574</v>
      </c>
      <c r="Y26" s="707" t="n">
        <v>0</v>
      </c>
      <c r="Z26" s="707" t="n">
        <v>365.27682</v>
      </c>
      <c r="AA26" s="707">
        <f>SUM(X26:Z26)</f>
        <v/>
      </c>
      <c r="AB26" s="707" t="n">
        <v>2346.171162</v>
      </c>
      <c r="AC26" s="707" t="n">
        <v>0</v>
      </c>
      <c r="AD26" s="707" t="n">
        <v>187.41719</v>
      </c>
      <c r="AE26" s="707">
        <f>SUM(AB26:AD26)</f>
        <v/>
      </c>
      <c r="AF26" s="707" t="n">
        <v>24919.495747</v>
      </c>
      <c r="AG26" s="271">
        <f>SUM(K26+O26+S26+W26+AA26+AE26+AF26)</f>
        <v/>
      </c>
      <c r="AH26" s="326">
        <f>IF(F26=0,"",K26/(F26/((YEAR(E26)*12+MONTH(E26))-(YEAR(D26)*12+MONTH(D26))+1)))</f>
        <v/>
      </c>
      <c r="AI26" s="326">
        <f>G26/F26</f>
        <v/>
      </c>
      <c r="AJ26" s="708">
        <f>F26-G26</f>
        <v/>
      </c>
      <c r="AK26" s="513" t="n"/>
      <c r="AL26" s="513" t="n"/>
      <c r="AM26" s="513" t="n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710">
        <f>SUM(AC24:AC26)</f>
        <v/>
      </c>
      <c r="AD27" s="710">
        <f>SUM(AD24:AD26)</f>
        <v/>
      </c>
      <c r="AE27" s="710">
        <f>SUM(AE24:AE26)</f>
        <v/>
      </c>
      <c r="AF27" s="710">
        <f>SUM(AF24:AF26)</f>
        <v/>
      </c>
      <c r="AG27" s="333">
        <f>SUM(K27+O27+S27+W27+AA27+AE27+AF27)</f>
        <v/>
      </c>
      <c r="AH27" s="335">
        <f>IF(F27=0,"",K27/(F27/((YEAR(E24)*12+MONTH(E24))-(YEAR(D24)*12+MONTH(D24))+1)))</f>
        <v/>
      </c>
      <c r="AI27" s="336">
        <f>G27/F27</f>
        <v/>
      </c>
      <c r="AJ27" s="715">
        <f>F27-G27</f>
        <v/>
      </c>
      <c r="AK27" s="337">
        <f>AK24</f>
        <v/>
      </c>
      <c r="AL27" s="335">
        <f>AG27/AK24</f>
        <v/>
      </c>
      <c r="AM27" s="712">
        <f>AK24-AG27</f>
        <v/>
      </c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393.298244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130.21558</v>
      </c>
      <c r="M28" s="703" t="n">
        <v>0</v>
      </c>
      <c r="N28" s="703" t="n">
        <v>60.359225</v>
      </c>
      <c r="O28" s="703">
        <f>SUM(L28:N28)</f>
        <v/>
      </c>
      <c r="P28" s="703" t="n">
        <v>0</v>
      </c>
      <c r="Q28" s="703" t="n">
        <v>0</v>
      </c>
      <c r="R28" s="703" t="n">
        <v>26.609284</v>
      </c>
      <c r="S28" s="703">
        <f>SUM(P28:R28)</f>
        <v/>
      </c>
      <c r="T28" s="703" t="n">
        <v>0</v>
      </c>
      <c r="U28" s="703" t="n">
        <v>0</v>
      </c>
      <c r="V28" s="703" t="n">
        <v>25.715569</v>
      </c>
      <c r="W28" s="703">
        <f>SUM(T28:V28)</f>
        <v/>
      </c>
      <c r="X28" s="703" t="n">
        <v>103.23148</v>
      </c>
      <c r="Y28" s="703" t="n">
        <v>0</v>
      </c>
      <c r="Z28" s="703" t="n">
        <v>47.167105</v>
      </c>
      <c r="AA28" s="703">
        <f>SUM(X28:Z28)</f>
        <v/>
      </c>
      <c r="AB28" s="703" t="n">
        <v>51.706393</v>
      </c>
      <c r="AC28" s="703" t="n">
        <v>90.204069</v>
      </c>
      <c r="AD28" s="703" t="n">
        <v>16.925117</v>
      </c>
      <c r="AE28" s="703">
        <f>SUM(AB28:AD28)</f>
        <v/>
      </c>
      <c r="AF28" s="703" t="n">
        <v>193.330405</v>
      </c>
      <c r="AG28" s="724">
        <f>SUM(K28+O28+S28+W28+AA28+AE28+AF28)</f>
        <v/>
      </c>
      <c r="AH28" s="319">
        <f>IF(F28=0,"",K28/(F28/((YEAR(E28)*12+MONTH(E28))-(YEAR(D28)*12+MONTH(D28))+1)))</f>
        <v/>
      </c>
      <c r="AI28" s="319">
        <f>G28/F28</f>
        <v/>
      </c>
      <c r="AJ28" s="724">
        <f>F28-G28</f>
        <v/>
      </c>
      <c r="AK28" s="321">
        <f>SUM(F28:F30)</f>
        <v/>
      </c>
      <c r="AL28" s="322">
        <f>AL31</f>
        <v/>
      </c>
      <c r="AM28" s="725">
        <f>AM31</f>
        <v/>
      </c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</row>
    <row r="29" outlineLevel="1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39063.219121</v>
      </c>
      <c r="H29" s="707" t="n">
        <v>3646.9524</v>
      </c>
      <c r="I29" s="707" t="n">
        <v>0</v>
      </c>
      <c r="J29" s="707" t="n">
        <v>0</v>
      </c>
      <c r="K29" s="707">
        <f>SUM(H29:J29)</f>
        <v/>
      </c>
      <c r="L29" s="707" t="n">
        <v>2106.18954</v>
      </c>
      <c r="M29" s="707" t="n">
        <v>2057.0004</v>
      </c>
      <c r="N29" s="707" t="n">
        <v>955.9889920000001</v>
      </c>
      <c r="O29" s="707">
        <f>SUM(L29:N29)</f>
        <v/>
      </c>
      <c r="P29" s="707" t="n">
        <v>536.6088</v>
      </c>
      <c r="Q29" s="707" t="n">
        <v>0</v>
      </c>
      <c r="R29" s="707" t="n">
        <v>722.01536</v>
      </c>
      <c r="S29" s="707">
        <f>SUM(P29:R29)</f>
        <v/>
      </c>
      <c r="T29" s="707" t="n">
        <v>1351.820914</v>
      </c>
      <c r="U29" s="707" t="n">
        <v>20570.004</v>
      </c>
      <c r="V29" s="707" t="n">
        <v>668.034433</v>
      </c>
      <c r="W29" s="707">
        <f>SUM(T29:V29)</f>
        <v/>
      </c>
      <c r="X29" s="707" t="n">
        <v>3314.503374</v>
      </c>
      <c r="Y29" s="707" t="n">
        <v>0</v>
      </c>
      <c r="Z29" s="707" t="n">
        <v>713.569709</v>
      </c>
      <c r="AA29" s="707">
        <f>SUM(X29:Z29)</f>
        <v/>
      </c>
      <c r="AB29" s="707" t="n">
        <v>4769.379014</v>
      </c>
      <c r="AC29" s="707" t="n">
        <v>0</v>
      </c>
      <c r="AD29" s="707" t="n">
        <v>228.136442</v>
      </c>
      <c r="AE29" s="707">
        <f>SUM(AB29:AD29)</f>
        <v/>
      </c>
      <c r="AF29" s="707" t="n">
        <v>1069.968142</v>
      </c>
      <c r="AG29" s="271">
        <f>SUM(K29+O29+S29+W29+AA29+AE29+AF29)</f>
        <v/>
      </c>
      <c r="AH29" s="326">
        <f>IF(F29=0,"",K29/(F29/((YEAR(E29)*12+MONTH(E29))-(YEAR(D29)*12+MONTH(D29))+1)))</f>
        <v/>
      </c>
      <c r="AI29" s="326">
        <f>G29/F29</f>
        <v/>
      </c>
      <c r="AJ29" s="708">
        <f>F29-G29</f>
        <v/>
      </c>
      <c r="AK29" s="500" t="n"/>
      <c r="AL29" s="500" t="n"/>
      <c r="AM29" s="500" t="n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</row>
    <row r="30" outlineLevel="1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16998.364317</v>
      </c>
      <c r="H30" s="707" t="n">
        <v>0</v>
      </c>
      <c r="I30" s="707" t="n">
        <v>0</v>
      </c>
      <c r="J30" s="707" t="n">
        <v>0</v>
      </c>
      <c r="K30" s="707">
        <f>SUM(H30:J30)</f>
        <v/>
      </c>
      <c r="L30" s="707" t="n">
        <v>520.393558</v>
      </c>
      <c r="M30" s="707" t="n">
        <v>1637.52732</v>
      </c>
      <c r="N30" s="707" t="n">
        <v>284.729185</v>
      </c>
      <c r="O30" s="707">
        <f>SUM(L30:N30)</f>
        <v/>
      </c>
      <c r="P30" s="707" t="n">
        <v>994.77807</v>
      </c>
      <c r="Q30" s="707" t="n">
        <v>0</v>
      </c>
      <c r="R30" s="707" t="n">
        <v>185.511372</v>
      </c>
      <c r="S30" s="707">
        <f>SUM(P30:R30)</f>
        <v/>
      </c>
      <c r="T30" s="707" t="n">
        <v>949.2912</v>
      </c>
      <c r="U30" s="707" t="n">
        <v>0</v>
      </c>
      <c r="V30" s="707" t="n">
        <v>144.291309</v>
      </c>
      <c r="W30" s="707">
        <f>SUM(T30:V30)</f>
        <v/>
      </c>
      <c r="X30" s="707" t="n">
        <v>2158.292651</v>
      </c>
      <c r="Y30" s="707" t="n">
        <v>8187.6366</v>
      </c>
      <c r="Z30" s="707" t="n">
        <v>194.447373</v>
      </c>
      <c r="AA30" s="707">
        <f>SUM(X30:Z30)</f>
        <v/>
      </c>
      <c r="AB30" s="707" t="n">
        <v>474.6456</v>
      </c>
      <c r="AC30" s="707" t="n">
        <v>0</v>
      </c>
      <c r="AD30" s="707" t="n">
        <v>122.035472</v>
      </c>
      <c r="AE30" s="707">
        <f>SUM(AB30:AD30)</f>
        <v/>
      </c>
      <c r="AF30" s="707" t="n">
        <v>1144.784607</v>
      </c>
      <c r="AG30" s="271">
        <f>SUM(K30+O30+S30+W30+AA30+AE30+AF30)</f>
        <v/>
      </c>
      <c r="AH30" s="326">
        <f>IF(F30=0,"",K30/(F30/((YEAR(E30)*12+MONTH(E30))-(YEAR(D30)*12+MONTH(D30))+1)))</f>
        <v/>
      </c>
      <c r="AI30" s="326">
        <f>G30/F30</f>
        <v/>
      </c>
      <c r="AJ30" s="708">
        <f>F30-G30</f>
        <v/>
      </c>
      <c r="AK30" s="513" t="n"/>
      <c r="AL30" s="513" t="n"/>
      <c r="AM30" s="513" t="n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</row>
    <row r="31" outlineLevel="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710">
        <f>SUM(Y28:Y30)</f>
        <v/>
      </c>
      <c r="Z31" s="710">
        <f>SUM(Z28:Z30)</f>
        <v/>
      </c>
      <c r="AA31" s="710">
        <f>SUM(AA28:AA30)</f>
        <v/>
      </c>
      <c r="AB31" s="710">
        <f>SUM(AB28:AB30)</f>
        <v/>
      </c>
      <c r="AC31" s="710">
        <f>SUM(AC28:AC30)</f>
        <v/>
      </c>
      <c r="AD31" s="710">
        <f>SUM(AD28:AD30)</f>
        <v/>
      </c>
      <c r="AE31" s="710">
        <f>SUM(AE28:AE30)</f>
        <v/>
      </c>
      <c r="AF31" s="710">
        <f>SUM(AF28:AF30)</f>
        <v/>
      </c>
      <c r="AG31" s="333">
        <f>SUM(K31+O31+S31+W31+AA31+AE31+AF31)</f>
        <v/>
      </c>
      <c r="AH31" s="335">
        <f>IF(F31=0,"",K31/(F31/((YEAR(E28)*12+MONTH(E28))-(YEAR(D28)*12+MONTH(D28))+1)))</f>
        <v/>
      </c>
      <c r="AI31" s="336">
        <f>G31/F31</f>
        <v/>
      </c>
      <c r="AJ31" s="715">
        <f>F31-G31</f>
        <v/>
      </c>
      <c r="AK31" s="337">
        <f>AK28</f>
        <v/>
      </c>
      <c r="AL31" s="335">
        <f>AG31/AK28</f>
        <v/>
      </c>
      <c r="AM31" s="712">
        <f>AK28-AG31</f>
        <v/>
      </c>
      <c r="AN31" s="713" t="inlineStr"/>
      <c r="AO31" s="713" t="inlineStr"/>
      <c r="AP31" s="713" t="inlineStr"/>
      <c r="AQ31" s="713" t="inlineStr"/>
      <c r="AR31" s="713" t="inlineStr"/>
      <c r="AS31" s="713" t="inlineStr"/>
      <c r="AT31" s="713" t="inlineStr"/>
      <c r="AU31" s="713" t="inlineStr"/>
      <c r="AV31" s="713" t="inlineStr"/>
      <c r="AW31" s="713" t="inlineStr"/>
      <c r="AX31" s="713" t="inlineStr"/>
      <c r="AY31" s="713" t="inlineStr"/>
      <c r="AZ31" s="713" t="inlineStr"/>
      <c r="BA31" s="713" t="inlineStr"/>
      <c r="BB31" s="713" t="inlineStr"/>
      <c r="BC31" s="713" t="inlineStr"/>
      <c r="BD31" s="713" t="inlineStr"/>
      <c r="BE31" s="713" t="inlineStr"/>
      <c r="BF31" s="713" t="inlineStr"/>
      <c r="BG31" s="713" t="inlineStr"/>
      <c r="BH31" s="713" t="inlineStr"/>
      <c r="BI31" s="713" t="inlineStr"/>
      <c r="BJ31" s="713" t="inlineStr"/>
      <c r="BK31" s="713" t="inlineStr"/>
      <c r="BL31" s="713" t="inlineStr"/>
      <c r="BM31" s="713" t="inlineStr"/>
    </row>
    <row r="32" outlineLevel="1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9625.977848</v>
      </c>
      <c r="H32" s="703" t="n">
        <v>514.29105</v>
      </c>
      <c r="I32" s="703" t="n">
        <v>0</v>
      </c>
      <c r="J32" s="703" t="n">
        <v>0</v>
      </c>
      <c r="K32" s="703">
        <f>SUM(H32:J32)</f>
        <v/>
      </c>
      <c r="L32" s="703" t="n">
        <v>2009.44</v>
      </c>
      <c r="M32" s="703" t="n">
        <v>646.53732</v>
      </c>
      <c r="N32" s="703" t="n">
        <v>131.738053</v>
      </c>
      <c r="O32" s="703">
        <f>SUM(L32:N32)</f>
        <v/>
      </c>
      <c r="P32" s="703" t="n">
        <v>1610.465688</v>
      </c>
      <c r="Q32" s="703" t="n">
        <v>110.192882</v>
      </c>
      <c r="R32" s="703" t="n">
        <v>23.921364</v>
      </c>
      <c r="S32" s="703">
        <f>SUM(P32:R32)</f>
        <v/>
      </c>
      <c r="T32" s="703" t="n">
        <v>1602.628872</v>
      </c>
      <c r="U32" s="703" t="n">
        <v>0</v>
      </c>
      <c r="V32" s="703" t="n">
        <v>42.539952</v>
      </c>
      <c r="W32" s="703">
        <f>SUM(T32:V32)</f>
        <v/>
      </c>
      <c r="X32" s="703" t="n">
        <v>0</v>
      </c>
      <c r="Y32" s="703" t="n">
        <v>342.296351</v>
      </c>
      <c r="Z32" s="703" t="n">
        <v>111.159107</v>
      </c>
      <c r="AA32" s="703">
        <f>SUM(X32:Z32)</f>
        <v/>
      </c>
      <c r="AB32" s="703" t="n">
        <v>440.8209</v>
      </c>
      <c r="AC32" s="703" t="n">
        <v>0</v>
      </c>
      <c r="AD32" s="703" t="n">
        <v>27.757259</v>
      </c>
      <c r="AE32" s="703">
        <f>SUM(AB32:AD32)</f>
        <v/>
      </c>
      <c r="AF32" s="703" t="n">
        <v>1313.905711</v>
      </c>
      <c r="AG32" s="724">
        <f>SUM(K32+O32+S32+W32+AA32+AE32+AF32)</f>
        <v/>
      </c>
      <c r="AH32" s="319">
        <f>IF(F32=0,"",K32/(F32/((YEAR(E32)*12+MONTH(E32))-(YEAR(D32)*12+MONTH(D32))+1)))</f>
        <v/>
      </c>
      <c r="AI32" s="319">
        <f>G32/F32</f>
        <v/>
      </c>
      <c r="AJ32" s="724">
        <f>F32-G32</f>
        <v/>
      </c>
      <c r="AK32" s="321">
        <f>SUM(F32:F33)</f>
        <v/>
      </c>
      <c r="AL32" s="322">
        <f>AL34</f>
        <v/>
      </c>
      <c r="AM32" s="725">
        <f>AM34</f>
        <v/>
      </c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</row>
    <row r="33" outlineLevel="1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49079.812318</v>
      </c>
      <c r="H33" s="707" t="n">
        <v>924.703358</v>
      </c>
      <c r="I33" s="707" t="n">
        <v>0</v>
      </c>
      <c r="J33" s="707" t="n">
        <v>0</v>
      </c>
      <c r="K33" s="707">
        <f>SUM(H33:J33)</f>
        <v/>
      </c>
      <c r="L33" s="707" t="n">
        <v>7288.783433</v>
      </c>
      <c r="M33" s="707" t="n">
        <v>601.58592</v>
      </c>
      <c r="N33" s="707" t="n">
        <v>616.2783460000001</v>
      </c>
      <c r="O33" s="707">
        <f>SUM(L33:N33)</f>
        <v/>
      </c>
      <c r="P33" s="707" t="n">
        <v>8333.122670999999</v>
      </c>
      <c r="Q33" s="707" t="n">
        <v>0</v>
      </c>
      <c r="R33" s="707" t="n">
        <v>378.574951</v>
      </c>
      <c r="S33" s="707">
        <f>SUM(P33:R33)</f>
        <v/>
      </c>
      <c r="T33" s="707" t="n">
        <v>1259.210798</v>
      </c>
      <c r="U33" s="707" t="n">
        <v>3101.9274</v>
      </c>
      <c r="V33" s="707" t="n">
        <v>318.667286</v>
      </c>
      <c r="W33" s="707">
        <f>SUM(T33:V33)</f>
        <v/>
      </c>
      <c r="X33" s="707" t="n">
        <v>10803.329409</v>
      </c>
      <c r="Y33" s="707" t="n">
        <v>0</v>
      </c>
      <c r="Z33" s="707" t="n">
        <v>396.373158</v>
      </c>
      <c r="AA33" s="707">
        <f>SUM(X33:Z33)</f>
        <v/>
      </c>
      <c r="AB33" s="707" t="n">
        <v>6594.535422</v>
      </c>
      <c r="AC33" s="707" t="n">
        <v>0</v>
      </c>
      <c r="AD33" s="707" t="n">
        <v>271.914403</v>
      </c>
      <c r="AE33" s="707">
        <f>SUM(AB33:AD33)</f>
        <v/>
      </c>
      <c r="AF33" s="707" t="n">
        <v>9115.509121999999</v>
      </c>
      <c r="AG33" s="271">
        <f>SUM(K33+O33+S33+W33+AA33+AE33+AF33)</f>
        <v/>
      </c>
      <c r="AH33" s="326">
        <f>IF(F33=0,"",K33/(F33/((YEAR(E33)*12+MONTH(E33))-(YEAR(D33)*12+MONTH(D33))+1)))</f>
        <v/>
      </c>
      <c r="AI33" s="326">
        <f>G33/F33</f>
        <v/>
      </c>
      <c r="AJ33" s="708">
        <f>F33-G33</f>
        <v/>
      </c>
      <c r="AK33" s="513" t="n"/>
      <c r="AL33" s="513" t="n"/>
      <c r="AM33" s="513" t="n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</row>
    <row r="34" outlineLevel="1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710">
        <f>SUM(Y32:Y33)</f>
        <v/>
      </c>
      <c r="Z34" s="710">
        <f>SUM(Z32:Z33)</f>
        <v/>
      </c>
      <c r="AA34" s="710">
        <f>SUM(AA32:AA33)</f>
        <v/>
      </c>
      <c r="AB34" s="710">
        <f>SUM(AB32:AB33)</f>
        <v/>
      </c>
      <c r="AC34" s="710">
        <f>SUM(AC32:AC33)</f>
        <v/>
      </c>
      <c r="AD34" s="710">
        <f>SUM(AD32:AD33)</f>
        <v/>
      </c>
      <c r="AE34" s="710">
        <f>SUM(AE32:AE33)</f>
        <v/>
      </c>
      <c r="AF34" s="710">
        <f>SUM(AF32:AF33)</f>
        <v/>
      </c>
      <c r="AG34" s="333">
        <f>SUM(K34+O34+S34+W34+AA34+AE34+AF34)</f>
        <v/>
      </c>
      <c r="AH34" s="335">
        <f>IF(F34=0,"",K34/(F34/((YEAR(E32)*12+MONTH(E32))-(YEAR(D32)*12+MONTH(D32))+1)))</f>
        <v/>
      </c>
      <c r="AI34" s="336">
        <f>G34/F34</f>
        <v/>
      </c>
      <c r="AJ34" s="715">
        <f>F34-G34</f>
        <v/>
      </c>
      <c r="AK34" s="337">
        <f>AK32</f>
        <v/>
      </c>
      <c r="AL34" s="335">
        <f>AG34/AK32</f>
        <v/>
      </c>
      <c r="AM34" s="712">
        <f>AK32-AG34</f>
        <v/>
      </c>
      <c r="AN34" s="713" t="inlineStr"/>
      <c r="AO34" s="713" t="inlineStr"/>
      <c r="AP34" s="713" t="inlineStr"/>
      <c r="AQ34" s="713" t="inlineStr"/>
      <c r="AR34" s="713" t="inlineStr"/>
      <c r="AS34" s="713" t="inlineStr"/>
      <c r="AT34" s="713" t="inlineStr"/>
      <c r="AU34" s="713" t="inlineStr"/>
      <c r="AV34" s="713" t="inlineStr"/>
      <c r="AW34" s="713" t="inlineStr"/>
      <c r="AX34" s="713" t="inlineStr"/>
      <c r="AY34" s="713" t="inlineStr"/>
      <c r="AZ34" s="713" t="inlineStr"/>
      <c r="BA34" s="713" t="inlineStr"/>
      <c r="BB34" s="713" t="inlineStr"/>
      <c r="BC34" s="713" t="inlineStr"/>
      <c r="BD34" s="713" t="inlineStr"/>
      <c r="BE34" s="713" t="inlineStr"/>
      <c r="BF34" s="713" t="inlineStr"/>
      <c r="BG34" s="713" t="inlineStr"/>
      <c r="BH34" s="713" t="inlineStr"/>
      <c r="BI34" s="713" t="inlineStr"/>
      <c r="BJ34" s="713" t="inlineStr"/>
      <c r="BK34" s="713" t="inlineStr"/>
      <c r="BL34" s="713" t="inlineStr"/>
      <c r="BM34" s="713" t="inlineStr"/>
    </row>
    <row r="35" outlineLevel="1" ht="14.25" customFormat="1" customHeight="1" s="483">
      <c r="A35" s="703" t="inlineStr">
        <is>
          <t>理财师005</t>
        </is>
      </c>
      <c r="B35" s="703" t="inlineStr">
        <is>
          <t>理财师030</t>
        </is>
      </c>
      <c r="C35" s="703" t="inlineStr">
        <is>
          <t>私人财富管理顾问PWA1-1</t>
        </is>
      </c>
      <c r="D35" s="693" t="n">
        <v>46195</v>
      </c>
      <c r="E35" s="693" t="n">
        <v>46377</v>
      </c>
      <c r="F35" s="703" t="n">
        <v>7461.34</v>
      </c>
      <c r="G35" s="703" t="n">
        <v>248.422704</v>
      </c>
      <c r="H35" s="703" t="n">
        <v>0</v>
      </c>
      <c r="I35" s="703" t="n">
        <v>0</v>
      </c>
      <c r="J35" s="703" t="n">
        <v>0</v>
      </c>
      <c r="K35" s="703">
        <f>SUM(H35:J35)</f>
        <v/>
      </c>
      <c r="L35" s="703" t="n">
        <v>247.0689</v>
      </c>
      <c r="M35" s="703" t="n">
        <v>0</v>
      </c>
      <c r="N35" s="703" t="n">
        <v>1.353804</v>
      </c>
      <c r="O35" s="703">
        <f>SUM(L35:N35)</f>
        <v/>
      </c>
      <c r="P35" s="703" t="n">
        <v>0</v>
      </c>
      <c r="Q35" s="703" t="n">
        <v>0</v>
      </c>
      <c r="R35" s="703" t="n">
        <v>0</v>
      </c>
      <c r="S35" s="703">
        <f>SUM(P35:R35)</f>
        <v/>
      </c>
      <c r="T35" s="703" t="n">
        <v>0</v>
      </c>
      <c r="U35" s="703" t="n">
        <v>0</v>
      </c>
      <c r="V35" s="703" t="n">
        <v>0</v>
      </c>
      <c r="W35" s="703">
        <f>SUM(T35:V35)</f>
        <v/>
      </c>
      <c r="X35" s="703" t="n">
        <v>0</v>
      </c>
      <c r="Y35" s="703" t="n">
        <v>0</v>
      </c>
      <c r="Z35" s="703" t="n">
        <v>0</v>
      </c>
      <c r="AA35" s="703">
        <f>SUM(X35:Z35)</f>
        <v/>
      </c>
      <c r="AB35" s="703" t="n">
        <v>0</v>
      </c>
      <c r="AC35" s="703" t="n">
        <v>0</v>
      </c>
      <c r="AD35" s="703" t="n">
        <v>0</v>
      </c>
      <c r="AE35" s="703">
        <f>SUM(AB35:AD35)</f>
        <v/>
      </c>
      <c r="AF35" s="703" t="n">
        <v>0</v>
      </c>
      <c r="AG35" s="724">
        <f>SUM(K35+O35+S35+W35+AA35+AE35+AF35)</f>
        <v/>
      </c>
      <c r="AH35" s="319">
        <f>IF(F35=0,"",K35/(F35/((YEAR(E35)*12+MONTH(E35))-(YEAR(D35)*12+MONTH(D35))+1)))</f>
        <v/>
      </c>
      <c r="AI35" s="319">
        <f>G35/F35</f>
        <v/>
      </c>
      <c r="AJ35" s="724">
        <f>F35-G35</f>
        <v/>
      </c>
      <c r="AK35" s="321">
        <f>SUM(F35:F37)</f>
        <v/>
      </c>
      <c r="AL35" s="322">
        <f>AL38</f>
        <v/>
      </c>
      <c r="AM35" s="725">
        <f>AM38</f>
        <v/>
      </c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</row>
    <row r="36" outlineLevel="1" ht="14.25" customFormat="1" customHeight="1" s="483">
      <c r="A36" s="500" t="n"/>
      <c r="B36" s="707" t="inlineStr">
        <is>
          <t>理财师026</t>
        </is>
      </c>
      <c r="C36" s="707" t="inlineStr">
        <is>
          <t>观察期PWA0-1</t>
        </is>
      </c>
      <c r="D36" s="676" t="n">
        <v>46113</v>
      </c>
      <c r="E36" s="676" t="n">
        <v>46203</v>
      </c>
      <c r="F36" s="707" t="n">
        <v>1943.13</v>
      </c>
      <c r="G36" s="707" t="n">
        <v>465.414758</v>
      </c>
      <c r="H36" s="707" t="n">
        <v>0</v>
      </c>
      <c r="I36" s="707" t="n">
        <v>0</v>
      </c>
      <c r="J36" s="707" t="n">
        <v>0</v>
      </c>
      <c r="K36" s="707">
        <f>SUM(H36:J36)</f>
        <v/>
      </c>
      <c r="L36" s="707" t="n">
        <v>288.6936</v>
      </c>
      <c r="M36" s="707" t="n">
        <v>0</v>
      </c>
      <c r="N36" s="707" t="n">
        <v>29.506523</v>
      </c>
      <c r="O36" s="707">
        <f>SUM(L36:N36)</f>
        <v/>
      </c>
      <c r="P36" s="707" t="n">
        <v>114.611359</v>
      </c>
      <c r="Q36" s="707" t="n">
        <v>0</v>
      </c>
      <c r="R36" s="707" t="n">
        <v>18.055825</v>
      </c>
      <c r="S36" s="707">
        <f>SUM(P36:R36)</f>
        <v/>
      </c>
      <c r="T36" s="707" t="n">
        <v>0</v>
      </c>
      <c r="U36" s="707" t="n">
        <v>0</v>
      </c>
      <c r="V36" s="707" t="n">
        <v>14.547451</v>
      </c>
      <c r="W36" s="707">
        <f>SUM(T36:V36)</f>
        <v/>
      </c>
      <c r="X36" s="707" t="n">
        <v>809.929895</v>
      </c>
      <c r="Y36" s="707" t="n">
        <v>0</v>
      </c>
      <c r="Z36" s="707" t="n">
        <v>47.501776</v>
      </c>
      <c r="AA36" s="707">
        <f>SUM(X36:Z36)</f>
        <v/>
      </c>
      <c r="AB36" s="707" t="n">
        <v>176.20858</v>
      </c>
      <c r="AC36" s="707" t="n">
        <v>0</v>
      </c>
      <c r="AD36" s="707" t="n">
        <v>11.404098</v>
      </c>
      <c r="AE36" s="707">
        <f>SUM(AB36:AD36)</f>
        <v/>
      </c>
      <c r="AF36" s="707" t="n">
        <v>12.282809</v>
      </c>
      <c r="AG36" s="271">
        <f>SUM(K36+O36+S36+W36+AA36+AE36+AF36)</f>
        <v/>
      </c>
      <c r="AH36" s="326">
        <f>IF(F36=0,"",K36/(F36/((YEAR(E36)*12+MONTH(E36))-(YEAR(D36)*12+MONTH(D36))+1)))</f>
        <v/>
      </c>
      <c r="AI36" s="326">
        <f>G36/F36</f>
        <v/>
      </c>
      <c r="AJ36" s="708">
        <f>F36-G36</f>
        <v/>
      </c>
      <c r="AK36" s="500" t="n"/>
      <c r="AL36" s="500" t="n"/>
      <c r="AM36" s="500" t="n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15165.397152</v>
      </c>
      <c r="H37" s="707" t="n">
        <v>211.860043</v>
      </c>
      <c r="I37" s="707" t="n">
        <v>0</v>
      </c>
      <c r="J37" s="707" t="n">
        <v>0</v>
      </c>
      <c r="K37" s="707">
        <f>SUM(H37:J37)</f>
        <v/>
      </c>
      <c r="L37" s="707" t="n">
        <v>3750.483593</v>
      </c>
      <c r="M37" s="707" t="n">
        <v>0</v>
      </c>
      <c r="N37" s="707" t="n">
        <v>577.6405150000001</v>
      </c>
      <c r="O37" s="707">
        <f>SUM(L37:N37)</f>
        <v/>
      </c>
      <c r="P37" s="707" t="n">
        <v>907.591957</v>
      </c>
      <c r="Q37" s="707" t="n">
        <v>0</v>
      </c>
      <c r="R37" s="707" t="n">
        <v>364.243787</v>
      </c>
      <c r="S37" s="707">
        <f>SUM(P37:R37)</f>
        <v/>
      </c>
      <c r="T37" s="707" t="n">
        <v>1870.349984</v>
      </c>
      <c r="U37" s="707" t="n">
        <v>2312.474666</v>
      </c>
      <c r="V37" s="707" t="n">
        <v>319.48223</v>
      </c>
      <c r="W37" s="707">
        <f>SUM(T37:V37)</f>
        <v/>
      </c>
      <c r="X37" s="707" t="n">
        <v>731.292658</v>
      </c>
      <c r="Y37" s="707" t="n">
        <v>1925.150771</v>
      </c>
      <c r="Z37" s="707" t="n">
        <v>383.775324</v>
      </c>
      <c r="AA37" s="707">
        <f>SUM(X37:Z37)</f>
        <v/>
      </c>
      <c r="AB37" s="707" t="n">
        <v>1738.204897</v>
      </c>
      <c r="AC37" s="707" t="n">
        <v>0</v>
      </c>
      <c r="AD37" s="707" t="n">
        <v>284.706769</v>
      </c>
      <c r="AE37" s="707">
        <f>SUM(AB37:AD37)</f>
        <v/>
      </c>
      <c r="AF37" s="707" t="n">
        <v>1538.392041</v>
      </c>
      <c r="AG37" s="271">
        <f>SUM(K37+O37+S37+W37+AA37+AE37+AF37)</f>
        <v/>
      </c>
      <c r="AH37" s="326">
        <f>IF(F37=0,"",K37/(F37/((YEAR(E37)*12+MONTH(E37))-(YEAR(D37)*12+MONTH(D37))+1)))</f>
        <v/>
      </c>
      <c r="AI37" s="326">
        <f>G37/F37</f>
        <v/>
      </c>
      <c r="AJ37" s="708">
        <f>F37-G37</f>
        <v/>
      </c>
      <c r="AK37" s="513" t="n"/>
      <c r="AL37" s="513" t="n"/>
      <c r="AM37" s="513" t="n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SUM(F35:F37)</f>
        <v/>
      </c>
      <c r="G38" s="710">
        <f>SUM(G35:G37)</f>
        <v/>
      </c>
      <c r="H38" s="710">
        <f>SUM(H35:H37)</f>
        <v/>
      </c>
      <c r="I38" s="710">
        <f>SUM(I35:I37)</f>
        <v/>
      </c>
      <c r="J38" s="710">
        <f>SUM(J35:J37)</f>
        <v/>
      </c>
      <c r="K38" s="710">
        <f>SUM(K35:K37)</f>
        <v/>
      </c>
      <c r="L38" s="710">
        <f>SUM(L35:L37)</f>
        <v/>
      </c>
      <c r="M38" s="710">
        <f>SUM(M35:M37)</f>
        <v/>
      </c>
      <c r="N38" s="710">
        <f>SUM(N35:N37)</f>
        <v/>
      </c>
      <c r="O38" s="710">
        <f>SUM(O35:O37)</f>
        <v/>
      </c>
      <c r="P38" s="710">
        <f>SUM(P35:P37)</f>
        <v/>
      </c>
      <c r="Q38" s="710">
        <f>SUM(Q35:Q37)</f>
        <v/>
      </c>
      <c r="R38" s="710">
        <f>SUM(R35:R37)</f>
        <v/>
      </c>
      <c r="S38" s="710">
        <f>SUM(S35:S37)</f>
        <v/>
      </c>
      <c r="T38" s="710">
        <f>SUM(T35:T37)</f>
        <v/>
      </c>
      <c r="U38" s="710">
        <f>SUM(U35:U37)</f>
        <v/>
      </c>
      <c r="V38" s="710">
        <f>SUM(V35:V37)</f>
        <v/>
      </c>
      <c r="W38" s="710">
        <f>SUM(W35:W37)</f>
        <v/>
      </c>
      <c r="X38" s="710">
        <f>SUM(X35:X37)</f>
        <v/>
      </c>
      <c r="Y38" s="710">
        <f>SUM(Y35:Y37)</f>
        <v/>
      </c>
      <c r="Z38" s="710">
        <f>SUM(Z35:Z37)</f>
        <v/>
      </c>
      <c r="AA38" s="710">
        <f>SUM(AA35:AA37)</f>
        <v/>
      </c>
      <c r="AB38" s="710">
        <f>SUM(AB35:AB37)</f>
        <v/>
      </c>
      <c r="AC38" s="710">
        <f>SUM(AC35:AC37)</f>
        <v/>
      </c>
      <c r="AD38" s="710">
        <f>SUM(AD35:AD37)</f>
        <v/>
      </c>
      <c r="AE38" s="710">
        <f>SUM(AE35:AE37)</f>
        <v/>
      </c>
      <c r="AF38" s="710">
        <f>SUM(AF35:AF37)</f>
        <v/>
      </c>
      <c r="AG38" s="711">
        <f>SUM(K38+O38+S38+W38+AA38+AE38+AF38)</f>
        <v/>
      </c>
      <c r="AH38" s="335">
        <f>IF(F38=0,"",K38/(F38/((YEAR(E35)*12+MONTH(E35))-(YEAR(D35)*12+MONTH(D35))+1)))</f>
        <v/>
      </c>
      <c r="AI38" s="336">
        <f>G38/F38</f>
        <v/>
      </c>
      <c r="AJ38" s="711">
        <f>F38-G38</f>
        <v/>
      </c>
      <c r="AK38" s="337">
        <f>AK35</f>
        <v/>
      </c>
      <c r="AL38" s="335">
        <f>AG38/AK35</f>
        <v/>
      </c>
      <c r="AM38" s="718">
        <f>AK35-AG38</f>
        <v/>
      </c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  <c r="BJ38" s="713" t="inlineStr"/>
      <c r="BK38" s="713" t="inlineStr"/>
      <c r="BL38" s="713" t="inlineStr"/>
      <c r="BM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4607.766238</v>
      </c>
      <c r="H39" s="703" t="n">
        <v>84.068866</v>
      </c>
      <c r="I39" s="703" t="n">
        <v>0</v>
      </c>
      <c r="J39" s="703" t="n">
        <v>0</v>
      </c>
      <c r="K39" s="703">
        <f>SUM(H39:J39)</f>
        <v/>
      </c>
      <c r="L39" s="703" t="n">
        <v>564.94934</v>
      </c>
      <c r="M39" s="703" t="n">
        <v>0</v>
      </c>
      <c r="N39" s="703" t="n">
        <v>82.099047</v>
      </c>
      <c r="O39" s="703">
        <f>SUM(L39:N39)</f>
        <v/>
      </c>
      <c r="P39" s="703" t="n">
        <v>0</v>
      </c>
      <c r="Q39" s="703" t="n">
        <v>3092.4036</v>
      </c>
      <c r="R39" s="703" t="n">
        <v>61.007408</v>
      </c>
      <c r="S39" s="703">
        <f>SUM(P39:R39)</f>
        <v/>
      </c>
      <c r="T39" s="703" t="n">
        <v>178.04748</v>
      </c>
      <c r="U39" s="703" t="n">
        <v>0</v>
      </c>
      <c r="V39" s="703" t="n">
        <v>32.11807</v>
      </c>
      <c r="W39" s="703">
        <f>SUM(T39:V39)</f>
        <v/>
      </c>
      <c r="X39" s="703" t="n">
        <v>47.229437</v>
      </c>
      <c r="Y39" s="703" t="n">
        <v>0</v>
      </c>
      <c r="Z39" s="703" t="n">
        <v>24.120644</v>
      </c>
      <c r="AA39" s="703">
        <f>SUM(X39:Z39)</f>
        <v/>
      </c>
      <c r="AB39" s="703" t="n">
        <v>524.574731</v>
      </c>
      <c r="AC39" s="703" t="n">
        <v>0</v>
      </c>
      <c r="AD39" s="703" t="n">
        <v>1.216481</v>
      </c>
      <c r="AE39" s="703">
        <f>SUM(AB39:AD39)</f>
        <v/>
      </c>
      <c r="AF39" s="703" t="n">
        <v>0</v>
      </c>
      <c r="AG39" s="318">
        <f>SUM(K39+O39+S39+W39+AA39+AE39+AF39)</f>
        <v/>
      </c>
      <c r="AH39" s="319">
        <f>IF(F39=0,"",K39/(F39/((YEAR(E39)*12+MONTH(E39))-(YEAR(D39)*12+MONTH(D39))+1)))</f>
        <v/>
      </c>
      <c r="AI39" s="319">
        <f>G39/F39</f>
        <v/>
      </c>
      <c r="AJ39" s="704">
        <f>F39-G39</f>
        <v/>
      </c>
      <c r="AK39" s="321">
        <f>SUM(F39:F40)</f>
        <v/>
      </c>
      <c r="AL39" s="322">
        <f>AL41</f>
        <v/>
      </c>
      <c r="AM39" s="717">
        <f>AM41</f>
        <v/>
      </c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30908.450689</v>
      </c>
      <c r="H40" s="707" t="n">
        <v>1245.549558</v>
      </c>
      <c r="I40" s="707" t="n">
        <v>0</v>
      </c>
      <c r="J40" s="707" t="n">
        <v>0</v>
      </c>
      <c r="K40" s="707">
        <f>SUM(H40:J40)</f>
        <v/>
      </c>
      <c r="L40" s="707" t="n">
        <v>3874.376797</v>
      </c>
      <c r="M40" s="707" t="n">
        <v>253.81824</v>
      </c>
      <c r="N40" s="707" t="n">
        <v>414.138443</v>
      </c>
      <c r="O40" s="707">
        <f>SUM(L40:N40)</f>
        <v/>
      </c>
      <c r="P40" s="707" t="n">
        <v>5263.972173</v>
      </c>
      <c r="Q40" s="707" t="n">
        <v>1110.4548</v>
      </c>
      <c r="R40" s="707" t="n">
        <v>271.92657</v>
      </c>
      <c r="S40" s="707">
        <f>SUM(P40:R40)</f>
        <v/>
      </c>
      <c r="T40" s="707" t="n">
        <v>3533.62581</v>
      </c>
      <c r="U40" s="707" t="n">
        <v>2435.06874</v>
      </c>
      <c r="V40" s="707" t="n">
        <v>188.462147</v>
      </c>
      <c r="W40" s="707">
        <f>SUM(T40:V40)</f>
        <v/>
      </c>
      <c r="X40" s="707" t="n">
        <v>9546.464904</v>
      </c>
      <c r="Y40" s="707" t="n">
        <v>0</v>
      </c>
      <c r="Z40" s="707" t="n">
        <v>401.214551</v>
      </c>
      <c r="AA40" s="707">
        <f>SUM(X40:Z40)</f>
        <v/>
      </c>
      <c r="AB40" s="707" t="n">
        <v>1081.878995</v>
      </c>
      <c r="AC40" s="707" t="n">
        <v>523.50012</v>
      </c>
      <c r="AD40" s="707" t="n">
        <v>135.589522</v>
      </c>
      <c r="AE40" s="707">
        <f>SUM(AB40:AD40)</f>
        <v/>
      </c>
      <c r="AF40" s="707" t="n">
        <v>1873.958877</v>
      </c>
      <c r="AG40" s="271">
        <f>SUM(K40+O40+S40+W40+AA40+AE40+AF40)</f>
        <v/>
      </c>
      <c r="AH40" s="326">
        <f>IF(F40=0,"",K40/(F40/((YEAR(E40)*12+MONTH(E40))-(YEAR(D40)*12+MONTH(D40))+1)))</f>
        <v/>
      </c>
      <c r="AI40" s="326">
        <f>G40/F40</f>
        <v/>
      </c>
      <c r="AJ40" s="708">
        <f>F40-G40</f>
        <v/>
      </c>
      <c r="AK40" s="513" t="n"/>
      <c r="AL40" s="513" t="n"/>
      <c r="AM40" s="513" t="n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0">
        <f>SUM(AC39:AC40)</f>
        <v/>
      </c>
      <c r="AD41" s="710">
        <f>SUM(AD39:AD40)</f>
        <v/>
      </c>
      <c r="AE41" s="710">
        <f>SUM(AE39:AE40)</f>
        <v/>
      </c>
      <c r="AF41" s="710">
        <f>SUM(AF39:AF40)</f>
        <v/>
      </c>
      <c r="AG41" s="711">
        <f>SUM(K41+O41+S41+W41+AA41+AE41+AF41)</f>
        <v/>
      </c>
      <c r="AH41" s="335">
        <f>IF(F41=0,"",K41/(F41/((YEAR(E39)*12+MONTH(E39))-(YEAR(D39)*12+MONTH(D39))+1)))</f>
        <v/>
      </c>
      <c r="AI41" s="336">
        <f>G41/F41</f>
        <v/>
      </c>
      <c r="AJ41" s="711">
        <f>F41-G41</f>
        <v/>
      </c>
      <c r="AK41" s="337">
        <f>AK39</f>
        <v/>
      </c>
      <c r="AL41" s="335">
        <f>AG41/AK39</f>
        <v/>
      </c>
      <c r="AM41" s="718">
        <f>AK39-AG41</f>
        <v/>
      </c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  <c r="BJ41" s="713" t="inlineStr"/>
      <c r="BK41" s="713" t="inlineStr"/>
      <c r="BL41" s="713" t="inlineStr"/>
      <c r="BM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20206.994718</v>
      </c>
      <c r="H42" s="703" t="n">
        <v>1509.324102</v>
      </c>
      <c r="I42" s="703" t="n">
        <v>0</v>
      </c>
      <c r="J42" s="703" t="n">
        <v>0</v>
      </c>
      <c r="K42" s="703">
        <f>SUM(H42:J42)</f>
        <v/>
      </c>
      <c r="L42" s="703" t="n">
        <v>2686.912949</v>
      </c>
      <c r="M42" s="703" t="n">
        <v>384.193382</v>
      </c>
      <c r="N42" s="703" t="n">
        <v>712.227223</v>
      </c>
      <c r="O42" s="703">
        <f>SUM(L42:N42)</f>
        <v/>
      </c>
      <c r="P42" s="703" t="n">
        <v>3250.598551</v>
      </c>
      <c r="Q42" s="703" t="n">
        <v>241.63794</v>
      </c>
      <c r="R42" s="703" t="n">
        <v>443.427462</v>
      </c>
      <c r="S42" s="703">
        <f>SUM(P42:R42)</f>
        <v/>
      </c>
      <c r="T42" s="703" t="n">
        <v>1492.14231</v>
      </c>
      <c r="U42" s="703" t="n">
        <v>0</v>
      </c>
      <c r="V42" s="703" t="n">
        <v>381.121236</v>
      </c>
      <c r="W42" s="703">
        <f>SUM(T42:V42)</f>
        <v/>
      </c>
      <c r="X42" s="703" t="n">
        <v>2747.788321</v>
      </c>
      <c r="Y42" s="703" t="n">
        <v>0</v>
      </c>
      <c r="Z42" s="703" t="n">
        <v>613.27548</v>
      </c>
      <c r="AA42" s="703">
        <f>SUM(X42:Z42)</f>
        <v/>
      </c>
      <c r="AB42" s="703" t="n">
        <v>1566.390968</v>
      </c>
      <c r="AC42" s="703" t="n">
        <v>1037.679365</v>
      </c>
      <c r="AD42" s="703" t="n">
        <v>313.732955</v>
      </c>
      <c r="AE42" s="703">
        <f>SUM(AB42:AD42)</f>
        <v/>
      </c>
      <c r="AF42" s="703" t="n">
        <v>4335.866577</v>
      </c>
      <c r="AG42" s="318">
        <f>SUM(K42+O42+S42+W42+AA42+AE42+AF42)</f>
        <v/>
      </c>
      <c r="AH42" s="319">
        <f>IF(F42=0,"",K42/(F42/((YEAR(E42)*12+MONTH(E42))-(YEAR(D42)*12+MONTH(D42))+1)))</f>
        <v/>
      </c>
      <c r="AI42" s="319">
        <f>G42/F42</f>
        <v/>
      </c>
      <c r="AJ42" s="704">
        <f>F42-G42</f>
        <v/>
      </c>
      <c r="AK42" s="321">
        <f>SUM(F42:F46)</f>
        <v/>
      </c>
      <c r="AL42" s="322">
        <f>AL47</f>
        <v/>
      </c>
      <c r="AM42" s="717">
        <f>AM47</f>
        <v/>
      </c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20370.818528</v>
      </c>
      <c r="H43" s="707" t="n">
        <v>1568.002829</v>
      </c>
      <c r="I43" s="707" t="n">
        <v>0</v>
      </c>
      <c r="J43" s="707" t="n">
        <v>0</v>
      </c>
      <c r="K43" s="707">
        <f>SUM(H43:J43)</f>
        <v/>
      </c>
      <c r="L43" s="707" t="n">
        <v>3023.349137</v>
      </c>
      <c r="M43" s="707" t="n">
        <v>0</v>
      </c>
      <c r="N43" s="707" t="n">
        <v>2172.888255</v>
      </c>
      <c r="O43" s="707">
        <f>SUM(L43:N43)</f>
        <v/>
      </c>
      <c r="P43" s="707" t="n">
        <v>2530.119274</v>
      </c>
      <c r="Q43" s="707" t="n">
        <v>2029.71366</v>
      </c>
      <c r="R43" s="707" t="n">
        <v>1772.582909</v>
      </c>
      <c r="S43" s="707">
        <f>SUM(P43:R43)</f>
        <v/>
      </c>
      <c r="T43" s="707" t="n">
        <v>567.268131</v>
      </c>
      <c r="U43" s="707" t="n">
        <v>0</v>
      </c>
      <c r="V43" s="707" t="n">
        <v>1666.262563</v>
      </c>
      <c r="W43" s="707">
        <f>SUM(T43:V43)</f>
        <v/>
      </c>
      <c r="X43" s="707" t="n">
        <v>1550.383391</v>
      </c>
      <c r="Y43" s="707" t="n">
        <v>0</v>
      </c>
      <c r="Z43" s="707" t="n">
        <v>2273.498356</v>
      </c>
      <c r="AA43" s="707">
        <f>SUM(X43:Z43)</f>
        <v/>
      </c>
      <c r="AB43" s="707" t="n">
        <v>1396.194268</v>
      </c>
      <c r="AC43" s="707" t="n">
        <v>0</v>
      </c>
      <c r="AD43" s="707" t="n">
        <v>1388.558583</v>
      </c>
      <c r="AE43" s="707">
        <f>SUM(AB43:AD43)</f>
        <v/>
      </c>
      <c r="AF43" s="707" t="n">
        <v>7202.586607</v>
      </c>
      <c r="AG43" s="271">
        <f>SUM(K43+O43+S43+W43+AA43+AE43+AF43)</f>
        <v/>
      </c>
      <c r="AH43" s="326">
        <f>IF(F43=0,"",K43/(F43/((YEAR(E43)*12+MONTH(E43))-(YEAR(D43)*12+MONTH(D43))+1)))</f>
        <v/>
      </c>
      <c r="AI43" s="326">
        <f>G43/F43</f>
        <v/>
      </c>
      <c r="AJ43" s="708">
        <f>F43-G43</f>
        <v/>
      </c>
      <c r="AK43" s="500" t="n"/>
      <c r="AL43" s="500" t="n"/>
      <c r="AM43" s="500" t="n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1189.566397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644.8338</v>
      </c>
      <c r="M44" s="707" t="n">
        <v>64.736256</v>
      </c>
      <c r="N44" s="707" t="n">
        <v>38.329254</v>
      </c>
      <c r="O44" s="707">
        <f>SUM(L44:N44)</f>
        <v/>
      </c>
      <c r="P44" s="707" t="n">
        <v>0</v>
      </c>
      <c r="Q44" s="707" t="n">
        <v>0</v>
      </c>
      <c r="R44" s="707" t="n">
        <v>20.217377</v>
      </c>
      <c r="S44" s="707">
        <f>SUM(P44:R44)</f>
        <v/>
      </c>
      <c r="T44" s="707" t="n">
        <v>410.9235</v>
      </c>
      <c r="U44" s="707" t="n">
        <v>0</v>
      </c>
      <c r="V44" s="707" t="n">
        <v>4.340061</v>
      </c>
      <c r="W44" s="707">
        <f>SUM(T44:V44)</f>
        <v/>
      </c>
      <c r="X44" s="707" t="n">
        <v>0</v>
      </c>
      <c r="Y44" s="707" t="n">
        <v>0</v>
      </c>
      <c r="Z44" s="707" t="n">
        <v>5.058234</v>
      </c>
      <c r="AA44" s="707">
        <f>SUM(X44:Z44)</f>
        <v/>
      </c>
      <c r="AB44" s="707" t="n">
        <v>0</v>
      </c>
      <c r="AC44" s="707" t="n">
        <v>0</v>
      </c>
      <c r="AD44" s="707" t="n">
        <v>1.127915</v>
      </c>
      <c r="AE44" s="707">
        <f>SUM(AB44:AD44)</f>
        <v/>
      </c>
      <c r="AF44" s="707" t="n">
        <v>0</v>
      </c>
      <c r="AG44" s="271">
        <f>SUM(K44+O44+S44+W44+AA44+AE44+AF44)</f>
        <v/>
      </c>
      <c r="AH44" s="326">
        <f>IF(F44=0,"",K44/(F44/((YEAR(E44)*12+MONTH(E44))-(YEAR(D44)*12+MONTH(D44))+1)))</f>
        <v/>
      </c>
      <c r="AI44" s="326">
        <f>G44/F44</f>
        <v/>
      </c>
      <c r="AJ44" s="708">
        <f>F44-G44</f>
        <v/>
      </c>
      <c r="AK44" s="500" t="n"/>
      <c r="AL44" s="500" t="n"/>
      <c r="AM44" s="500" t="n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1353.456</v>
      </c>
      <c r="I45" s="707" t="n">
        <v>0</v>
      </c>
      <c r="J45" s="707" t="n">
        <v>0</v>
      </c>
      <c r="K45" s="707">
        <f>SUM(H45:J45)</f>
        <v/>
      </c>
      <c r="L45" s="707" t="n">
        <v>1086.743489</v>
      </c>
      <c r="M45" s="707" t="n">
        <v>0</v>
      </c>
      <c r="N45" s="707" t="n">
        <v>631.560503</v>
      </c>
      <c r="O45" s="707">
        <f>SUM(L45:N45)</f>
        <v/>
      </c>
      <c r="P45" s="707" t="n">
        <v>2310.349392</v>
      </c>
      <c r="Q45" s="707" t="n">
        <v>0</v>
      </c>
      <c r="R45" s="707" t="n">
        <v>582.016803</v>
      </c>
      <c r="S45" s="707">
        <f>SUM(P45:R45)</f>
        <v/>
      </c>
      <c r="T45" s="707" t="n">
        <v>753.431552</v>
      </c>
      <c r="U45" s="707" t="n">
        <v>0</v>
      </c>
      <c r="V45" s="707" t="n">
        <v>581.619744</v>
      </c>
      <c r="W45" s="707">
        <f>SUM(T45:V45)</f>
        <v/>
      </c>
      <c r="X45" s="707" t="n">
        <v>1958.298381</v>
      </c>
      <c r="Y45" s="707" t="n">
        <v>0</v>
      </c>
      <c r="Z45" s="707" t="n">
        <v>655.575922</v>
      </c>
      <c r="AA45" s="707">
        <f>SUM(X45:Z45)</f>
        <v/>
      </c>
      <c r="AB45" s="707" t="n">
        <v>2837.047697</v>
      </c>
      <c r="AC45" s="707" t="n">
        <v>0</v>
      </c>
      <c r="AD45" s="707" t="n">
        <v>463.983498</v>
      </c>
      <c r="AE45" s="707">
        <f>SUM(AB45:AD45)</f>
        <v/>
      </c>
      <c r="AF45" s="707" t="n">
        <v>2545.018293</v>
      </c>
      <c r="AG45" s="271">
        <f>SUM(K45+O45+S45+W45+AA45+AE45+AF45)</f>
        <v/>
      </c>
      <c r="AH45" s="326">
        <f>IF(F45=0,"",K45/(F45/MAX(1,(YEAR(E45)*12+MONTH(E45))-(YEAR(D45)*12+MONTH(D45))+1)))</f>
        <v/>
      </c>
      <c r="AI45" s="326">
        <f>G45/F45</f>
        <v/>
      </c>
      <c r="AJ45" s="708">
        <f>F45-G45</f>
        <v/>
      </c>
      <c r="AK45" s="500" t="n"/>
      <c r="AL45" s="500" t="n"/>
      <c r="AM45" s="500" t="n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36636.441638</v>
      </c>
      <c r="H46" s="707" t="n">
        <v>2283.217794</v>
      </c>
      <c r="I46" s="707" t="n">
        <v>0</v>
      </c>
      <c r="J46" s="707" t="n">
        <v>0</v>
      </c>
      <c r="K46" s="707">
        <f>SUM(H46:J46)</f>
        <v/>
      </c>
      <c r="L46" s="707" t="n">
        <v>5710.083829</v>
      </c>
      <c r="M46" s="707" t="n">
        <v>0</v>
      </c>
      <c r="N46" s="707" t="n">
        <v>4494.012415</v>
      </c>
      <c r="O46" s="707">
        <f>SUM(L46:N46)</f>
        <v/>
      </c>
      <c r="P46" s="707" t="n">
        <v>5099.256359</v>
      </c>
      <c r="Q46" s="707" t="n">
        <v>0</v>
      </c>
      <c r="R46" s="707" t="n">
        <v>2165.674642</v>
      </c>
      <c r="S46" s="707">
        <f>SUM(P46:R46)</f>
        <v/>
      </c>
      <c r="T46" s="707" t="n">
        <v>937.141286</v>
      </c>
      <c r="U46" s="707" t="n">
        <v>0</v>
      </c>
      <c r="V46" s="707" t="n">
        <v>1775.786688</v>
      </c>
      <c r="W46" s="707">
        <f>SUM(T46:V46)</f>
        <v/>
      </c>
      <c r="X46" s="707" t="n">
        <v>3160.387028</v>
      </c>
      <c r="Y46" s="707" t="n">
        <v>0</v>
      </c>
      <c r="Z46" s="707" t="n">
        <v>3880.484178</v>
      </c>
      <c r="AA46" s="707">
        <f>SUM(X46:Z46)</f>
        <v/>
      </c>
      <c r="AB46" s="707" t="n">
        <v>3065.24731</v>
      </c>
      <c r="AC46" s="707" t="n">
        <v>0</v>
      </c>
      <c r="AD46" s="707" t="n">
        <v>1466.609142</v>
      </c>
      <c r="AE46" s="707">
        <f>SUM(AB46:AD46)</f>
        <v/>
      </c>
      <c r="AF46" s="707" t="n">
        <v>4881.758761</v>
      </c>
      <c r="AG46" s="271">
        <f>SUM(K46+O46+S46+W46+AA46+AE46+AF46)</f>
        <v/>
      </c>
      <c r="AH46" s="326">
        <f>IF(F46=0,"",K46/(F46/((YEAR(E46)*12+MONTH(E46))-(YEAR(D46)*12+MONTH(D46))+1)))</f>
        <v/>
      </c>
      <c r="AI46" s="326">
        <f>G46/F46</f>
        <v/>
      </c>
      <c r="AJ46" s="708">
        <f>F46-G46</f>
        <v/>
      </c>
      <c r="AK46" s="513" t="n"/>
      <c r="AL46" s="513" t="n"/>
      <c r="AM46" s="513" t="n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SUM(AC42:AC46)</f>
        <v/>
      </c>
      <c r="AD47" s="710">
        <f>SUM(AD42:AD46)</f>
        <v/>
      </c>
      <c r="AE47" s="710">
        <f>SUM(AE42:AE46)</f>
        <v/>
      </c>
      <c r="AF47" s="710">
        <f>SUM(AF42:AF46)</f>
        <v/>
      </c>
      <c r="AG47" s="710">
        <f>SUM(K47+O47+S47+W47+AA47+AE47+AF47)</f>
        <v/>
      </c>
      <c r="AH47" s="335">
        <f>IF(F47=0,"",K47/(F47/((YEAR(E42)*12+MONTH(E42))-(YEAR(D42)*12+MONTH(D42))+1)))</f>
        <v/>
      </c>
      <c r="AI47" s="336">
        <f>G47/F47</f>
        <v/>
      </c>
      <c r="AJ47" s="710">
        <f>F47-G47</f>
        <v/>
      </c>
      <c r="AK47" s="337">
        <f>AK42</f>
        <v/>
      </c>
      <c r="AL47" s="335">
        <f>AG47/AK42</f>
        <v/>
      </c>
      <c r="AM47" s="712">
        <f>AK42-AG47</f>
        <v/>
      </c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F9+F14+F19+F23+F27+F31+F34+F38+F41+F47</f>
        <v/>
      </c>
      <c r="G48" s="720">
        <f>G9+G14+G19+G23+G27+G31+G34+G38+G41+G47</f>
        <v/>
      </c>
      <c r="H48" s="722">
        <f>H9+H14+H19+H23+H27+H31+H34+H38+H41+H47</f>
        <v/>
      </c>
      <c r="I48" s="722">
        <f>I9+I14+I19+I23+I27+I31+I34+I38+I41+I47</f>
        <v/>
      </c>
      <c r="J48" s="722">
        <f>J9+J14+J19+J23+J27+J31+J34+J38+J41+J47</f>
        <v/>
      </c>
      <c r="K48" s="722">
        <f>K9+K14+K19+K23+K27+K31+K34+K38+K41+K47</f>
        <v/>
      </c>
      <c r="L48" s="720">
        <f>L9+L14+L19+L23+L27+L31+L34+L38+L41+L47</f>
        <v/>
      </c>
      <c r="M48" s="720">
        <f>M9+M14+M19+M23+M27+M31+M34+M38+M41+M47</f>
        <v/>
      </c>
      <c r="N48" s="720">
        <f>N9+N14+N19+N23+N27+N31+N34+N38+N41+N47</f>
        <v/>
      </c>
      <c r="O48" s="720">
        <f>O9+O14+O19+O23+O27+O31+O34+O38+O41+O47</f>
        <v/>
      </c>
      <c r="P48" s="720">
        <f>P9+P14+P19+P23+P27+P31+P34+P38+P41+P47</f>
        <v/>
      </c>
      <c r="Q48" s="720">
        <f>Q9+Q14+Q19+Q23+Q27+Q31+Q34+Q38+Q41+Q47</f>
        <v/>
      </c>
      <c r="R48" s="720">
        <f>R9+R14+R19+R23+R27+R31+R34+R38+R41+R47</f>
        <v/>
      </c>
      <c r="S48" s="720">
        <f>S9+S14+S19+S23+S27+S31+S34+S38+S41+S47</f>
        <v/>
      </c>
      <c r="T48" s="720">
        <f>T9+T14+T19+T23+T27+T31+T34+T38+T41+T47</f>
        <v/>
      </c>
      <c r="U48" s="720">
        <f>U9+U14+U19+U23+U27+U31+U34+U38+U41+U47</f>
        <v/>
      </c>
      <c r="V48" s="720">
        <f>V9+V14+V19+V23+V27+V31+V34+V38+V41+V47</f>
        <v/>
      </c>
      <c r="W48" s="720">
        <f>W9+W14+W19+W23+W27+W31+W34+W38+W41+W47</f>
        <v/>
      </c>
      <c r="X48" s="720">
        <f>X9+X14+X19+X23+X27+X31+X34+X38+X41+X47</f>
        <v/>
      </c>
      <c r="Y48" s="720">
        <f>Y9+Y14+Y19+Y23+Y27+Y31+Y34+Y38+Y41+Y47</f>
        <v/>
      </c>
      <c r="Z48" s="720">
        <f>Z9+Z14+Z19+Z23+Z27+Z31+Z34+Z38+Z41+Z47</f>
        <v/>
      </c>
      <c r="AA48" s="720">
        <f>AA9+AA14+AA19+AA23+AA27+AA31+AA34+AA38+AA41+AA47</f>
        <v/>
      </c>
      <c r="AB48" s="720">
        <f>AB9+AB14+AB19+AB23+AB27+AB31+AB34+AB38+AB41+AB47</f>
        <v/>
      </c>
      <c r="AC48" s="722">
        <f>AC9+AC14+AC19+AC23+AC27+AC31+AC34+AC38+AC41+AC47</f>
        <v/>
      </c>
      <c r="AD48" s="722">
        <f>AD9+AD14+AD19+AD23+AD27+AD31+AD34+AD38+AD41+AD47</f>
        <v/>
      </c>
      <c r="AE48" s="722">
        <f>AE9+AE14+AE19+AE23+AE27+AE31+AE34+AE38+AE41+AE47</f>
        <v/>
      </c>
      <c r="AF48" s="722">
        <f>AF9+AF14+AF19+AF23+AF27+AF31+AF34+AF38+AF41+AF47</f>
        <v/>
      </c>
      <c r="AG48" s="728">
        <f>AG9+AG14+AG19+AG23+AG27+AG31+AG34+AG38+AG41+AG47</f>
        <v/>
      </c>
      <c r="AH48" s="350">
        <f>K48/(F48/((YEAR(E4)*12+MONTH(E4))-(YEAR(D4)*12+MONTH(D4))+1))</f>
        <v/>
      </c>
      <c r="AI48" s="350">
        <f>G48/F48</f>
        <v/>
      </c>
      <c r="AJ48" s="722">
        <f>F48-G48</f>
        <v/>
      </c>
      <c r="AK48" s="352">
        <f>AK9+AK14+AK19+AK23+AK27+AK31+AK34+AK38+AK41+AK47</f>
        <v/>
      </c>
      <c r="AL48" s="353">
        <f>AG48/AK48</f>
        <v/>
      </c>
      <c r="AM48" s="722">
        <f>AK48-AG48</f>
        <v/>
      </c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7" t="inlineStr"/>
    </row>
    <row r="49" ht="14.25" customFormat="1" customHeight="1" s="483">
      <c r="AJ49" s="633" t="inlineStr">
        <is>
          <t>公司目标</t>
        </is>
      </c>
      <c r="AK49" s="633" t="n">
        <v>934969.485968</v>
      </c>
      <c r="AL49" s="252">
        <f>IF(AK49&lt;&gt;0,AG48/AK49,"")</f>
        <v/>
      </c>
      <c r="AM49" s="663">
        <f>AK49-AG48</f>
        <v/>
      </c>
    </row>
    <row r="50" ht="35.1" customFormat="1" customHeight="1" s="483"/>
    <row r="51" ht="24" customFormat="1" customHeight="1" s="483"/>
  </sheetData>
  <mergeCells count="91">
    <mergeCell ref="A48:E48"/>
    <mergeCell ref="A20:A22"/>
    <mergeCell ref="A4:A8"/>
    <mergeCell ref="U2:U3"/>
    <mergeCell ref="AK15:AK18"/>
    <mergeCell ref="AM4:AM8"/>
    <mergeCell ref="A2:A3"/>
    <mergeCell ref="A24:A26"/>
    <mergeCell ref="C2:C3"/>
    <mergeCell ref="E2:E3"/>
    <mergeCell ref="W2:W3"/>
    <mergeCell ref="AK10:AK13"/>
    <mergeCell ref="AM10:AM13"/>
    <mergeCell ref="A23:E23"/>
    <mergeCell ref="AA2:AA3"/>
    <mergeCell ref="AC2:AC3"/>
    <mergeCell ref="A10:A13"/>
    <mergeCell ref="AM2:AM3"/>
    <mergeCell ref="V2:V3"/>
    <mergeCell ref="AK20:AK22"/>
    <mergeCell ref="X2:X3"/>
    <mergeCell ref="AL15:AL18"/>
    <mergeCell ref="A34:E34"/>
    <mergeCell ref="AM20:AM22"/>
    <mergeCell ref="AL24:AL26"/>
    <mergeCell ref="A42:A46"/>
    <mergeCell ref="N2:N3"/>
    <mergeCell ref="F2:F3"/>
    <mergeCell ref="P2:P3"/>
    <mergeCell ref="H2:H3"/>
    <mergeCell ref="AK39:AK40"/>
    <mergeCell ref="AM39:AM40"/>
    <mergeCell ref="AL35:AL37"/>
    <mergeCell ref="AK42:AK46"/>
    <mergeCell ref="AF2:AF3"/>
    <mergeCell ref="AM42:AM46"/>
    <mergeCell ref="K2:K3"/>
    <mergeCell ref="AH2:AH3"/>
    <mergeCell ref="AK1:AL1"/>
    <mergeCell ref="O2:O3"/>
    <mergeCell ref="Q2:Q3"/>
    <mergeCell ref="A14:E14"/>
    <mergeCell ref="AI2:AI3"/>
    <mergeCell ref="AK2:AK3"/>
    <mergeCell ref="AK24:AK26"/>
    <mergeCell ref="AL39:AL40"/>
    <mergeCell ref="AK4:AK8"/>
    <mergeCell ref="A38:E38"/>
    <mergeCell ref="A39:A40"/>
    <mergeCell ref="AM24:AM26"/>
    <mergeCell ref="AK35:AK37"/>
    <mergeCell ref="A31:E31"/>
    <mergeCell ref="S2:S3"/>
    <mergeCell ref="AM35:AM37"/>
    <mergeCell ref="B2:B3"/>
    <mergeCell ref="D2:D3"/>
    <mergeCell ref="AL4:AL8"/>
    <mergeCell ref="A28:A30"/>
    <mergeCell ref="AL32:AL33"/>
    <mergeCell ref="Z2:Z3"/>
    <mergeCell ref="AB2:AB3"/>
    <mergeCell ref="AD2:AD3"/>
    <mergeCell ref="T2:T3"/>
    <mergeCell ref="AK28:AK30"/>
    <mergeCell ref="A47:E47"/>
    <mergeCell ref="AM15:AM18"/>
    <mergeCell ref="AL10:AL13"/>
    <mergeCell ref="A15:A18"/>
    <mergeCell ref="AK32:AK33"/>
    <mergeCell ref="G2:G3"/>
    <mergeCell ref="I2:I3"/>
    <mergeCell ref="AL28:AL30"/>
    <mergeCell ref="M2:M3"/>
    <mergeCell ref="AE2:AE3"/>
    <mergeCell ref="AL42:AL46"/>
    <mergeCell ref="AG2:AG3"/>
    <mergeCell ref="AL20:AL22"/>
    <mergeCell ref="Y2:Y3"/>
    <mergeCell ref="A35:A37"/>
    <mergeCell ref="A41:E41"/>
    <mergeCell ref="AJ2:AJ3"/>
    <mergeCell ref="A27:E27"/>
    <mergeCell ref="A32:A33"/>
    <mergeCell ref="R2:R3"/>
    <mergeCell ref="J2:J3"/>
    <mergeCell ref="AM28:AM30"/>
    <mergeCell ref="L2:L3"/>
    <mergeCell ref="AM32:AM33"/>
    <mergeCell ref="A19:E19"/>
    <mergeCell ref="A9:E9"/>
    <mergeCell ref="AL2:AL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width="9" customWidth="1" style="533" min="27" max="27"/>
    <col hidden="1" width="13" customWidth="1" style="483" min="28" max="30"/>
    <col width="9" customWidth="1" style="533" min="31" max="32"/>
    <col width="13.2143" customWidth="1" style="533" min="33" max="33"/>
    <col width="9" customWidth="1" style="533" min="34" max="35"/>
    <col width="12.7857" customWidth="1" style="533" min="36" max="36"/>
    <col width="11.7143" customWidth="1" style="533" min="37" max="37"/>
    <col width="9" customWidth="1" style="533" min="38" max="41"/>
    <col width="12.3571" customWidth="1" style="533" min="42" max="42"/>
    <col width="11.2857" customWidth="1" style="533" min="43" max="43"/>
    <col width="9" customWidth="1" style="533" min="44" max="65"/>
  </cols>
  <sheetData>
    <row r="1" ht="20.25" customFormat="1" customHeight="1" s="483">
      <c r="A1" s="754" t="inlineStr">
        <is>
          <t>私人财富管理部折标销售进度表-截止20260724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552" t="inlineStr">
        <is>
          <t>上半年时间进度</t>
        </is>
      </c>
      <c r="AM1" s="70">
        <f>AR7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传统202607</t>
        </is>
      </c>
      <c r="I2" s="541" t="inlineStr">
        <is>
          <t>保险202607</t>
        </is>
      </c>
      <c r="J2" s="541" t="inlineStr">
        <is>
          <t>管理费202607</t>
        </is>
      </c>
      <c r="K2" s="669" t="inlineStr">
        <is>
          <t>2026年
7月折标</t>
        </is>
      </c>
      <c r="L2" s="541" t="inlineStr">
        <is>
          <t>传统202606</t>
        </is>
      </c>
      <c r="M2" s="541" t="inlineStr">
        <is>
          <t>保险202606</t>
        </is>
      </c>
      <c r="N2" s="541" t="inlineStr">
        <is>
          <t>管理费202606</t>
        </is>
      </c>
      <c r="O2" s="669" t="inlineStr">
        <is>
          <t>2026年
6月折标</t>
        </is>
      </c>
      <c r="P2" s="541" t="inlineStr">
        <is>
          <t>传统202605</t>
        </is>
      </c>
      <c r="Q2" s="541" t="inlineStr">
        <is>
          <t>保险202605</t>
        </is>
      </c>
      <c r="R2" s="541" t="inlineStr">
        <is>
          <t>管理费202605</t>
        </is>
      </c>
      <c r="S2" s="669" t="inlineStr">
        <is>
          <t>2026年
5月折标</t>
        </is>
      </c>
      <c r="T2" s="541" t="inlineStr">
        <is>
          <t>传统202604</t>
        </is>
      </c>
      <c r="U2" s="541" t="inlineStr">
        <is>
          <t>保险202604</t>
        </is>
      </c>
      <c r="V2" s="541" t="inlineStr">
        <is>
          <t>管理费202604</t>
        </is>
      </c>
      <c r="W2" s="669" t="inlineStr">
        <is>
          <t>2026年
4月折标</t>
        </is>
      </c>
      <c r="X2" s="541" t="inlineStr">
        <is>
          <t>传统202603</t>
        </is>
      </c>
      <c r="Y2" s="541" t="inlineStr">
        <is>
          <t>保险202603</t>
        </is>
      </c>
      <c r="Z2" s="541" t="inlineStr">
        <is>
          <t>管理费202603</t>
        </is>
      </c>
      <c r="AA2" s="669" t="inlineStr">
        <is>
          <t>2026年
3月折标</t>
        </is>
      </c>
      <c r="AB2" s="541" t="inlineStr">
        <is>
          <t>传统202602</t>
        </is>
      </c>
      <c r="AC2" s="541" t="inlineStr">
        <is>
          <t>保险202602</t>
        </is>
      </c>
      <c r="AD2" s="541" t="inlineStr">
        <is>
          <t>管理费202602</t>
        </is>
      </c>
      <c r="AE2" s="669" t="inlineStr">
        <is>
          <t>2026年
2月折标</t>
        </is>
      </c>
      <c r="AF2" s="669" t="inlineStr">
        <is>
          <t>2026年
1月折标</t>
        </is>
      </c>
      <c r="AG2" s="670" t="inlineStr">
        <is>
          <t>2026年YTD折标</t>
        </is>
      </c>
      <c r="AH2" s="671" t="inlineStr">
        <is>
          <t>月度
完成率</t>
        </is>
      </c>
      <c r="AI2" s="666" t="inlineStr">
        <is>
          <t>考核期完成率（累计）</t>
        </is>
      </c>
      <c r="AJ2" s="560" t="inlineStr">
        <is>
          <t>考核期差距</t>
        </is>
      </c>
      <c r="AK2" s="561" t="inlineStr">
        <is>
          <t>财富中心
上半年年任务</t>
        </is>
      </c>
      <c r="AL2" s="79" t="inlineStr">
        <is>
          <t>财富中心
上半年任务完成率</t>
        </is>
      </c>
      <c r="AM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23923.20077</v>
      </c>
      <c r="H4" s="703" t="n">
        <v>1825.260469</v>
      </c>
      <c r="I4" s="703" t="n">
        <v>0</v>
      </c>
      <c r="J4" s="703" t="n">
        <v>0</v>
      </c>
      <c r="K4" s="703">
        <f>SUM(H4:J4)</f>
        <v/>
      </c>
      <c r="L4" s="703" t="n">
        <v>927.52544</v>
      </c>
      <c r="M4" s="703" t="n">
        <v>0</v>
      </c>
      <c r="N4" s="703" t="n">
        <v>1433.561147</v>
      </c>
      <c r="O4" s="703">
        <f>SUM(L4:N4)</f>
        <v/>
      </c>
      <c r="P4" s="703" t="n">
        <v>1183.338361</v>
      </c>
      <c r="Q4" s="703" t="n">
        <v>0</v>
      </c>
      <c r="R4" s="703" t="n">
        <v>634.456086</v>
      </c>
      <c r="S4" s="703">
        <f>SUM(P4:R4)</f>
        <v/>
      </c>
      <c r="T4" s="703" t="n">
        <v>3203.368286</v>
      </c>
      <c r="U4" s="703" t="n">
        <v>0</v>
      </c>
      <c r="V4" s="703" t="n">
        <v>538.668767</v>
      </c>
      <c r="W4" s="703">
        <f>SUM(T4:V4)</f>
        <v/>
      </c>
      <c r="X4" s="703" t="n">
        <v>8704.796721000001</v>
      </c>
      <c r="Y4" s="703" t="n">
        <v>0</v>
      </c>
      <c r="Z4" s="703" t="n">
        <v>1253.999839</v>
      </c>
      <c r="AA4" s="703">
        <f>SUM(X4:Z4)</f>
        <v/>
      </c>
      <c r="AB4" s="703" t="n">
        <v>1402.304143</v>
      </c>
      <c r="AC4" s="703" t="n">
        <v>742.65048</v>
      </c>
      <c r="AD4" s="703" t="n">
        <v>433.535601</v>
      </c>
      <c r="AE4" s="703">
        <f>SUM(AB4:AD4)</f>
        <v/>
      </c>
      <c r="AF4" s="703" t="n">
        <v>3464.9959</v>
      </c>
      <c r="AG4" s="318">
        <f>SUM(K4+O4+S4+W4+AA4+AE4+AF4)</f>
        <v/>
      </c>
      <c r="AH4" s="319">
        <f>IF(F4=0,"",K4/(F4/((YEAR(E4)*12+MONTH(E4))-(YEAR(D4)*12+MONTH(D4))+1)))</f>
        <v/>
      </c>
      <c r="AI4" s="319">
        <f>G4/F4</f>
        <v/>
      </c>
      <c r="AJ4" s="704">
        <f>F4-G4</f>
        <v/>
      </c>
      <c r="AK4" s="321">
        <f>SUM(F4:F8)</f>
        <v/>
      </c>
      <c r="AL4" s="322">
        <f>AL9</f>
        <v/>
      </c>
      <c r="AM4" s="705">
        <f>AM9</f>
        <v/>
      </c>
      <c r="AN4" s="706" t="inlineStr"/>
      <c r="AO4" s="706" t="inlineStr"/>
      <c r="AP4" s="706" t="inlineStr">
        <is>
          <t>开始日期</t>
        </is>
      </c>
      <c r="AQ4" s="706" t="inlineStr">
        <is>
          <t>结束日期</t>
        </is>
      </c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21247.130816</v>
      </c>
      <c r="H5" s="707" t="n">
        <v>53.374464</v>
      </c>
      <c r="I5" s="707" t="n">
        <v>0</v>
      </c>
      <c r="J5" s="707" t="n">
        <v>0</v>
      </c>
      <c r="K5" s="707">
        <f>SUM(H5:J5)</f>
        <v/>
      </c>
      <c r="L5" s="707" t="n">
        <v>832.638851</v>
      </c>
      <c r="M5" s="707" t="n">
        <v>3261.7728</v>
      </c>
      <c r="N5" s="707" t="n">
        <v>555.368737</v>
      </c>
      <c r="O5" s="707">
        <f>SUM(L5:N5)</f>
        <v/>
      </c>
      <c r="P5" s="707" t="n">
        <v>593.9975920000001</v>
      </c>
      <c r="Q5" s="707" t="n">
        <v>0</v>
      </c>
      <c r="R5" s="707" t="n">
        <v>382.045052</v>
      </c>
      <c r="S5" s="707">
        <f>SUM(P5:R5)</f>
        <v/>
      </c>
      <c r="T5" s="707" t="n">
        <v>249.800095</v>
      </c>
      <c r="U5" s="707" t="n">
        <v>5040.9216</v>
      </c>
      <c r="V5" s="707" t="n">
        <v>342.801462</v>
      </c>
      <c r="W5" s="707">
        <f>SUM(T5:V5)</f>
        <v/>
      </c>
      <c r="X5" s="707" t="n">
        <v>1613.445926</v>
      </c>
      <c r="Y5" s="707" t="n">
        <v>0</v>
      </c>
      <c r="Z5" s="707" t="n">
        <v>488.407071</v>
      </c>
      <c r="AA5" s="707">
        <f>SUM(X5:Z5)</f>
        <v/>
      </c>
      <c r="AB5" s="707" t="n">
        <v>454.800547</v>
      </c>
      <c r="AC5" s="707" t="n">
        <v>0</v>
      </c>
      <c r="AD5" s="707" t="n">
        <v>289.117436</v>
      </c>
      <c r="AE5" s="707">
        <f>SUM(AB5:AD5)</f>
        <v/>
      </c>
      <c r="AF5" s="707" t="n">
        <v>3311.566531</v>
      </c>
      <c r="AG5" s="271">
        <f>SUM(K5+O5+S5+W5+AA5+AE5+AF5)</f>
        <v/>
      </c>
      <c r="AH5" s="326">
        <f>IF(F5=0,"",K5/(F5/((YEAR(E5)*12+MONTH(E5))-(YEAR(D5)*12+MONTH(D5))+1)))</f>
        <v/>
      </c>
      <c r="AI5" s="326">
        <f>G5/F5</f>
        <v/>
      </c>
      <c r="AJ5" s="708">
        <f>F5-G5</f>
        <v/>
      </c>
      <c r="AK5" s="500" t="n"/>
      <c r="AL5" s="500" t="n"/>
      <c r="AM5" s="500" t="n"/>
      <c r="AN5" s="706" t="inlineStr"/>
      <c r="AO5" s="706" t="inlineStr"/>
      <c r="AP5" s="328" t="n">
        <v>46023</v>
      </c>
      <c r="AQ5" s="328" t="n">
        <v>46203</v>
      </c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15466.160136</v>
      </c>
      <c r="H6" s="707" t="n">
        <v>10212.37201</v>
      </c>
      <c r="I6" s="707" t="n">
        <v>0</v>
      </c>
      <c r="J6" s="707" t="n">
        <v>0</v>
      </c>
      <c r="K6" s="707">
        <f>SUM(H6:J6)</f>
        <v/>
      </c>
      <c r="L6" s="707" t="n">
        <v>1992.298661</v>
      </c>
      <c r="M6" s="707" t="n">
        <v>0</v>
      </c>
      <c r="N6" s="707" t="n">
        <v>3261.489465</v>
      </c>
      <c r="O6" s="707">
        <f>SUM(L6:N6)</f>
        <v/>
      </c>
      <c r="P6" s="707" t="n">
        <v>15009.556327</v>
      </c>
      <c r="Q6" s="707" t="n">
        <v>0</v>
      </c>
      <c r="R6" s="707" t="n">
        <v>1609.578423</v>
      </c>
      <c r="S6" s="707">
        <f>SUM(P6:R6)</f>
        <v/>
      </c>
      <c r="T6" s="707" t="n">
        <v>3788.477067</v>
      </c>
      <c r="U6" s="707" t="n">
        <v>0</v>
      </c>
      <c r="V6" s="707" t="n">
        <v>1122.243766</v>
      </c>
      <c r="W6" s="707">
        <f>SUM(T6:V6)</f>
        <v/>
      </c>
      <c r="X6" s="707" t="n">
        <v>1444.66245</v>
      </c>
      <c r="Y6" s="707" t="n">
        <v>0</v>
      </c>
      <c r="Z6" s="707" t="n">
        <v>1063.763858</v>
      </c>
      <c r="AA6" s="707">
        <f>SUM(X6:Z6)</f>
        <v/>
      </c>
      <c r="AB6" s="707" t="n">
        <v>9688.821542</v>
      </c>
      <c r="AC6" s="707" t="n">
        <v>0</v>
      </c>
      <c r="AD6" s="707" t="n">
        <v>606.6776630000001</v>
      </c>
      <c r="AE6" s="707">
        <f>SUM(AB6:AD6)</f>
        <v/>
      </c>
      <c r="AF6" s="707" t="n">
        <v>13116.995922</v>
      </c>
      <c r="AG6" s="271">
        <f>SUM(K6+O6+S6+W6+AA6+AE6+AF6)</f>
        <v/>
      </c>
      <c r="AH6" s="326">
        <f>IF(F6=0,"",K6/(F6/((YEAR(E6)*12+MONTH(E6))-(YEAR(D6)*12+MONTH(D6))+1)))</f>
        <v/>
      </c>
      <c r="AI6" s="326">
        <f>G6/F6</f>
        <v/>
      </c>
      <c r="AJ6" s="708">
        <f>F6-G6</f>
        <v/>
      </c>
      <c r="AK6" s="500" t="n"/>
      <c r="AL6" s="500" t="n"/>
      <c r="AM6" s="500" t="n"/>
      <c r="AN6" s="706" t="inlineStr"/>
      <c r="AO6" s="706" t="inlineStr"/>
      <c r="AP6" s="706" t="inlineStr">
        <is>
          <t>计算日期</t>
        </is>
      </c>
      <c r="AQ6" s="706">
        <f>W5-V5</f>
        <v/>
      </c>
      <c r="AR6" s="706" t="inlineStr">
        <is>
          <t>时间进度</t>
        </is>
      </c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3874.421583</v>
      </c>
      <c r="H7" s="707" t="n">
        <v>191.980425</v>
      </c>
      <c r="I7" s="707" t="n">
        <v>0</v>
      </c>
      <c r="J7" s="707" t="n">
        <v>0</v>
      </c>
      <c r="K7" s="707">
        <f>SUM(H7:J7)</f>
        <v/>
      </c>
      <c r="L7" s="707" t="n">
        <v>125.538504</v>
      </c>
      <c r="M7" s="707" t="n">
        <v>0</v>
      </c>
      <c r="N7" s="707" t="n">
        <v>202.092562</v>
      </c>
      <c r="O7" s="707">
        <f>SUM(L7:N7)</f>
        <v/>
      </c>
      <c r="P7" s="707" t="n">
        <v>66.7758</v>
      </c>
      <c r="Q7" s="707" t="n">
        <v>0</v>
      </c>
      <c r="R7" s="707" t="n">
        <v>22.323011</v>
      </c>
      <c r="S7" s="707">
        <f>SUM(P7:R7)</f>
        <v/>
      </c>
      <c r="T7" s="707" t="n">
        <v>133.5516</v>
      </c>
      <c r="U7" s="707" t="n">
        <v>0</v>
      </c>
      <c r="V7" s="707" t="n">
        <v>22.107856</v>
      </c>
      <c r="W7" s="707">
        <f>SUM(T7:V7)</f>
        <v/>
      </c>
      <c r="X7" s="707" t="n">
        <v>500.150742</v>
      </c>
      <c r="Y7" s="707" t="n">
        <v>0</v>
      </c>
      <c r="Z7" s="707" t="n">
        <v>157.397938</v>
      </c>
      <c r="AA7" s="707">
        <f>SUM(X7:Z7)</f>
        <v/>
      </c>
      <c r="AB7" s="707" t="n">
        <v>267.1032</v>
      </c>
      <c r="AC7" s="707" t="n">
        <v>0</v>
      </c>
      <c r="AD7" s="707" t="n">
        <v>25.494675</v>
      </c>
      <c r="AE7" s="707">
        <f>SUM(AB7:AD7)</f>
        <v/>
      </c>
      <c r="AF7" s="707" t="n">
        <v>2351.885696</v>
      </c>
      <c r="AG7" s="271">
        <f>SUM(K7+O7+S7+W7+AA7+AE7+AF7)</f>
        <v/>
      </c>
      <c r="AH7" s="326">
        <f>IF(F7=0,"",K7/(F7/((YEAR(E7)*12+MONTH(E7))-(YEAR(D7)*12+MONTH(D7))+1)))</f>
        <v/>
      </c>
      <c r="AI7" s="326">
        <f>G7/F7</f>
        <v/>
      </c>
      <c r="AJ7" s="708">
        <f>F7-G7</f>
        <v/>
      </c>
      <c r="AK7" s="500" t="n"/>
      <c r="AL7" s="500" t="n"/>
      <c r="AM7" s="500" t="n"/>
      <c r="AN7" s="706" t="inlineStr"/>
      <c r="AO7" s="706" t="inlineStr"/>
      <c r="AP7" s="709" t="n">
        <v>46227</v>
      </c>
      <c r="AQ7" s="330">
        <f>AQ5-AP5+1</f>
        <v/>
      </c>
      <c r="AR7" s="331">
        <f>(AP7-AP5+1)/AQ7</f>
        <v/>
      </c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806.257512</v>
      </c>
      <c r="H8" s="707" t="n">
        <v>206.388</v>
      </c>
      <c r="I8" s="707" t="n">
        <v>0</v>
      </c>
      <c r="J8" s="707" t="n">
        <v>0</v>
      </c>
      <c r="K8" s="707">
        <f>SUM(H8:J8)</f>
        <v/>
      </c>
      <c r="L8" s="707" t="n">
        <v>95.21789800000001</v>
      </c>
      <c r="M8" s="707" t="n">
        <v>264.17664</v>
      </c>
      <c r="N8" s="707" t="n">
        <v>67.830038</v>
      </c>
      <c r="O8" s="707">
        <f>SUM(L8:N8)</f>
        <v/>
      </c>
      <c r="P8" s="707" t="n">
        <v>130.02444</v>
      </c>
      <c r="Q8" s="707" t="n">
        <v>0</v>
      </c>
      <c r="R8" s="707" t="n">
        <v>16.066547</v>
      </c>
      <c r="S8" s="707">
        <f>SUM(P8:R8)</f>
        <v/>
      </c>
      <c r="T8" s="707" t="n">
        <v>0</v>
      </c>
      <c r="U8" s="707" t="n">
        <v>0</v>
      </c>
      <c r="V8" s="707" t="n">
        <v>12.779778</v>
      </c>
      <c r="W8" s="707">
        <f>SUM(T8:V8)</f>
        <v/>
      </c>
      <c r="X8" s="707" t="n">
        <v>0</v>
      </c>
      <c r="Y8" s="707" t="n">
        <v>25509.5568</v>
      </c>
      <c r="Z8" s="707" t="n">
        <v>13.774172</v>
      </c>
      <c r="AA8" s="707">
        <f>SUM(X8:Z8)</f>
        <v/>
      </c>
      <c r="AB8" s="707" t="n">
        <v>41.2776</v>
      </c>
      <c r="AC8" s="707" t="n">
        <v>0</v>
      </c>
      <c r="AD8" s="707" t="n">
        <v>18.646322</v>
      </c>
      <c r="AE8" s="707">
        <f>SUM(AB8:AD8)</f>
        <v/>
      </c>
      <c r="AF8" s="707" t="n">
        <v>683.02396</v>
      </c>
      <c r="AG8" s="271">
        <f>SUM(K8+O8+S8+W8+AA8+AE8+AF8)</f>
        <v/>
      </c>
      <c r="AH8" s="326">
        <f>IF(F8=0,"",K8/(F8/((YEAR(E8)*12+MONTH(E8))-(YEAR(D8)*12+MONTH(D8))+1)))</f>
        <v/>
      </c>
      <c r="AI8" s="326">
        <f>G8/F8</f>
        <v/>
      </c>
      <c r="AJ8" s="708">
        <f>F8-G8</f>
        <v/>
      </c>
      <c r="AK8" s="513" t="n"/>
      <c r="AL8" s="513" t="n"/>
      <c r="AM8" s="513" t="n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1">
        <f>SUM(K9+O9+S9+W9+AA9+AE9+AF9)</f>
        <v/>
      </c>
      <c r="AH9" s="335">
        <f>IF(F9=0,"",K9/(F9/((YEAR(E4)*12+MONTH(E4))-(YEAR(D4)*12+MONTH(D4))+1)))</f>
        <v/>
      </c>
      <c r="AI9" s="336">
        <f>G9/F9</f>
        <v/>
      </c>
      <c r="AJ9" s="711">
        <f>F9-G9</f>
        <v/>
      </c>
      <c r="AK9" s="337">
        <f>AK4</f>
        <v/>
      </c>
      <c r="AL9" s="335">
        <f>AG9/AK4</f>
        <v/>
      </c>
      <c r="AM9" s="712">
        <f>AK4-AG9</f>
        <v/>
      </c>
      <c r="AN9" s="713" t="inlineStr"/>
      <c r="AO9" s="713" t="inlineStr"/>
      <c r="AP9" s="340" t="n">
        <v>46136</v>
      </c>
      <c r="AQ9" s="713" t="inlineStr"/>
      <c r="AR9" s="341">
        <f>(AD10-DATE(YEAR(AD10),1,1)+1)/AE9</f>
        <v/>
      </c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24941.640018</v>
      </c>
      <c r="H10" s="703" t="n">
        <v>2531.716861</v>
      </c>
      <c r="I10" s="703" t="n">
        <v>0</v>
      </c>
      <c r="J10" s="703" t="n">
        <v>0</v>
      </c>
      <c r="K10" s="703">
        <f>SUM(H10:J10)</f>
        <v/>
      </c>
      <c r="L10" s="703" t="n">
        <v>3599.205131</v>
      </c>
      <c r="M10" s="703" t="n">
        <v>0</v>
      </c>
      <c r="N10" s="703" t="n">
        <v>206.592585</v>
      </c>
      <c r="O10" s="703">
        <f>SUM(L10:N10)</f>
        <v/>
      </c>
      <c r="P10" s="703" t="n">
        <v>4233.38058</v>
      </c>
      <c r="Q10" s="703" t="n">
        <v>0</v>
      </c>
      <c r="R10" s="703" t="n">
        <v>103.388547</v>
      </c>
      <c r="S10" s="703">
        <f>SUM(P10:R10)</f>
        <v/>
      </c>
      <c r="T10" s="703" t="n">
        <v>2418.943367</v>
      </c>
      <c r="U10" s="703" t="n">
        <v>2443.706261</v>
      </c>
      <c r="V10" s="703" t="n">
        <v>88.105912</v>
      </c>
      <c r="W10" s="703">
        <f>SUM(T10:V10)</f>
        <v/>
      </c>
      <c r="X10" s="703" t="n">
        <v>2574.496213</v>
      </c>
      <c r="Y10" s="703" t="n">
        <v>2927.70165</v>
      </c>
      <c r="Z10" s="703" t="n">
        <v>154.748145</v>
      </c>
      <c r="AA10" s="703">
        <f>SUM(X10:Z10)</f>
        <v/>
      </c>
      <c r="AB10" s="703" t="n">
        <v>745.691219</v>
      </c>
      <c r="AC10" s="703" t="n">
        <v>2330.36622</v>
      </c>
      <c r="AD10" s="703" t="n">
        <v>72.478376</v>
      </c>
      <c r="AE10" s="703">
        <f>SUM(AB10:AD10)</f>
        <v/>
      </c>
      <c r="AF10" s="703" t="n">
        <v>3042.835811</v>
      </c>
      <c r="AG10" s="318">
        <f>SUM(K10+O10+S10+W10+AA10+AE10+AF10)</f>
        <v/>
      </c>
      <c r="AH10" s="319">
        <f>IF(F10=0,"",K10/(F10/((YEAR(E10)*12+MONTH(E10))-(YEAR(D10)*12+MONTH(D10))+1)))</f>
        <v/>
      </c>
      <c r="AI10" s="319">
        <f>G10/F10</f>
        <v/>
      </c>
      <c r="AJ10" s="704">
        <f>F10-G10</f>
        <v/>
      </c>
      <c r="AK10" s="321">
        <f>SUM(F10:F13)</f>
        <v/>
      </c>
      <c r="AL10" s="322">
        <f>AL14</f>
        <v/>
      </c>
      <c r="AM10" s="705">
        <f>AM14</f>
        <v/>
      </c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340.263021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304.3131</v>
      </c>
      <c r="M11" s="707" t="n">
        <v>0</v>
      </c>
      <c r="N11" s="707" t="n">
        <v>35.949921</v>
      </c>
      <c r="O11" s="707">
        <f>SUM(L11:N11)</f>
        <v/>
      </c>
      <c r="P11" s="707" t="n">
        <v>139.11456</v>
      </c>
      <c r="Q11" s="707" t="n">
        <v>2956.1844</v>
      </c>
      <c r="R11" s="707" t="n">
        <v>14.716853</v>
      </c>
      <c r="S11" s="707">
        <f>SUM(P11:R11)</f>
        <v/>
      </c>
      <c r="T11" s="707" t="n">
        <v>280.185418</v>
      </c>
      <c r="U11" s="707" t="n">
        <v>773.505646</v>
      </c>
      <c r="V11" s="707" t="n">
        <v>3.573146</v>
      </c>
      <c r="W11" s="707">
        <f>SUM(T11:V11)</f>
        <v/>
      </c>
      <c r="X11" s="707" t="n">
        <v>43.4733</v>
      </c>
      <c r="Y11" s="707" t="n">
        <v>0</v>
      </c>
      <c r="Z11" s="707" t="n">
        <v>10.334614</v>
      </c>
      <c r="AA11" s="707">
        <f>SUM(X11:Z11)</f>
        <v/>
      </c>
      <c r="AB11" s="707" t="n">
        <v>0</v>
      </c>
      <c r="AC11" s="707" t="n">
        <v>0</v>
      </c>
      <c r="AD11" s="707" t="n">
        <v>0</v>
      </c>
      <c r="AE11" s="707">
        <f>SUM(AB11:AD11)</f>
        <v/>
      </c>
      <c r="AF11" s="707" t="n">
        <v>0</v>
      </c>
      <c r="AG11" s="271">
        <f>SUM(K11+O11+S11+W11+AA11+AE11+AF11)</f>
        <v/>
      </c>
      <c r="AH11" s="326">
        <f>IF(F11=0,"",K11/(F11/((YEAR(E11)*12+MONTH(E11))-(YEAR(D11)*12+MONTH(D11))+1)))</f>
        <v/>
      </c>
      <c r="AI11" s="326">
        <f>G11/F11</f>
        <v/>
      </c>
      <c r="AJ11" s="708">
        <f>F11-G11</f>
        <v/>
      </c>
      <c r="AK11" s="500" t="n"/>
      <c r="AL11" s="500" t="n"/>
      <c r="AM11" s="500" t="n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22552.233026</v>
      </c>
      <c r="H12" s="707" t="n">
        <v>5487.872514</v>
      </c>
      <c r="I12" s="707" t="n">
        <v>0</v>
      </c>
      <c r="J12" s="707" t="n">
        <v>0</v>
      </c>
      <c r="K12" s="707">
        <f>SUM(H12:J12)</f>
        <v/>
      </c>
      <c r="L12" s="707" t="n">
        <v>5138.663789</v>
      </c>
      <c r="M12" s="707" t="n">
        <v>0</v>
      </c>
      <c r="N12" s="707" t="n">
        <v>787.892575</v>
      </c>
      <c r="O12" s="707">
        <f>SUM(L12:N12)</f>
        <v/>
      </c>
      <c r="P12" s="707" t="n">
        <v>527.86032</v>
      </c>
      <c r="Q12" s="707" t="n">
        <v>0</v>
      </c>
      <c r="R12" s="707" t="n">
        <v>176.99322</v>
      </c>
      <c r="S12" s="707">
        <f>SUM(P12:R12)</f>
        <v/>
      </c>
      <c r="T12" s="707" t="n">
        <v>5719.894428</v>
      </c>
      <c r="U12" s="707" t="n">
        <v>0</v>
      </c>
      <c r="V12" s="707" t="n">
        <v>170.991639</v>
      </c>
      <c r="W12" s="707">
        <f>SUM(T12:V12)</f>
        <v/>
      </c>
      <c r="X12" s="707" t="n">
        <v>2659.960961</v>
      </c>
      <c r="Y12" s="707" t="n">
        <v>0</v>
      </c>
      <c r="Z12" s="707" t="n">
        <v>743.622962</v>
      </c>
      <c r="AA12" s="707">
        <f>SUM(X12:Z12)</f>
        <v/>
      </c>
      <c r="AB12" s="707" t="n">
        <v>0</v>
      </c>
      <c r="AC12" s="707" t="n">
        <v>0</v>
      </c>
      <c r="AD12" s="707" t="n">
        <v>144.157177</v>
      </c>
      <c r="AE12" s="707">
        <f>SUM(AB12:AD12)</f>
        <v/>
      </c>
      <c r="AF12" s="707" t="n">
        <v>6482.195956</v>
      </c>
      <c r="AG12" s="271">
        <f>SUM(K12+O12+S12+W12+AA12+AE12+AF12)</f>
        <v/>
      </c>
      <c r="AH12" s="326">
        <f>IF(F12=0,"",K12/(F12/((YEAR(E12)*12+MONTH(E12))-(YEAR(D12)*12+MONTH(D12))+1)))</f>
        <v/>
      </c>
      <c r="AI12" s="326">
        <f>G12/F12</f>
        <v/>
      </c>
      <c r="AJ12" s="708">
        <f>F12-G12</f>
        <v/>
      </c>
      <c r="AK12" s="500" t="n"/>
      <c r="AL12" s="500" t="n"/>
      <c r="AM12" s="500" t="n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13403.709586</v>
      </c>
      <c r="H13" s="707" t="n">
        <v>1492.150889</v>
      </c>
      <c r="I13" s="707" t="n">
        <v>0</v>
      </c>
      <c r="J13" s="707" t="n">
        <v>0</v>
      </c>
      <c r="K13" s="707">
        <f>SUM(H13:J13)</f>
        <v/>
      </c>
      <c r="L13" s="707" t="n">
        <v>2826.176184</v>
      </c>
      <c r="M13" s="707" t="n">
        <v>0</v>
      </c>
      <c r="N13" s="707" t="n">
        <v>536.034869</v>
      </c>
      <c r="O13" s="707">
        <f>SUM(L13:N13)</f>
        <v/>
      </c>
      <c r="P13" s="707" t="n">
        <v>1000.951193</v>
      </c>
      <c r="Q13" s="707" t="n">
        <v>0</v>
      </c>
      <c r="R13" s="707" t="n">
        <v>278.383375</v>
      </c>
      <c r="S13" s="707">
        <f>SUM(P13:R13)</f>
        <v/>
      </c>
      <c r="T13" s="707" t="n">
        <v>3291.566745</v>
      </c>
      <c r="U13" s="707" t="n">
        <v>0</v>
      </c>
      <c r="V13" s="707" t="n">
        <v>242.965979</v>
      </c>
      <c r="W13" s="707">
        <f>SUM(T13:V13)</f>
        <v/>
      </c>
      <c r="X13" s="707" t="n">
        <v>3556.620439</v>
      </c>
      <c r="Y13" s="707" t="n">
        <v>0</v>
      </c>
      <c r="Z13" s="707" t="n">
        <v>446.103228</v>
      </c>
      <c r="AA13" s="707">
        <f>SUM(X13:Z13)</f>
        <v/>
      </c>
      <c r="AB13" s="707" t="n">
        <v>1054.327266</v>
      </c>
      <c r="AC13" s="707" t="n">
        <v>0</v>
      </c>
      <c r="AD13" s="707" t="n">
        <v>170.580309</v>
      </c>
      <c r="AE13" s="707">
        <f>SUM(AB13:AD13)</f>
        <v/>
      </c>
      <c r="AF13" s="707" t="n">
        <v>692.512431</v>
      </c>
      <c r="AG13" s="271">
        <f>SUM(K13+O13+S13+W13+AA13+AE13+AF13)</f>
        <v/>
      </c>
      <c r="AH13" s="326">
        <f>IF(F13=0,"",K13/(F13/((YEAR(E13)*12+MONTH(E13))-(YEAR(D13)*12+MONTH(D13))+1)))</f>
        <v/>
      </c>
      <c r="AI13" s="326">
        <f>G13/F13</f>
        <v/>
      </c>
      <c r="AJ13" s="708">
        <f>F13-G13</f>
        <v/>
      </c>
      <c r="AK13" s="513" t="n"/>
      <c r="AL13" s="513" t="n"/>
      <c r="AM13" s="513" t="n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333">
        <f>SUM(K14+O14+S14+W14+AA14+AE14+AF14)</f>
        <v/>
      </c>
      <c r="AH14" s="335">
        <f>IF(F14=0,"",K14/(F14/((YEAR(E10)*12+MONTH(E10))-(YEAR(D10)*12+MONTH(D10))+1)))</f>
        <v/>
      </c>
      <c r="AI14" s="336">
        <f>G14/F14</f>
        <v/>
      </c>
      <c r="AJ14" s="715">
        <f>F14-G14</f>
        <v/>
      </c>
      <c r="AK14" s="337">
        <f>AK10</f>
        <v/>
      </c>
      <c r="AL14" s="335">
        <f>AG14/AK10</f>
        <v/>
      </c>
      <c r="AM14" s="712">
        <f>AK10-AG14</f>
        <v/>
      </c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25005.058923</v>
      </c>
      <c r="H15" s="703" t="n">
        <v>1190.323875</v>
      </c>
      <c r="I15" s="703" t="n">
        <v>0</v>
      </c>
      <c r="J15" s="703" t="n">
        <v>0</v>
      </c>
      <c r="K15" s="703">
        <f>SUM(H15:J15)</f>
        <v/>
      </c>
      <c r="L15" s="703" t="n">
        <v>1521.715752</v>
      </c>
      <c r="M15" s="703" t="n">
        <v>14101.410508</v>
      </c>
      <c r="N15" s="703" t="n">
        <v>201.494206</v>
      </c>
      <c r="O15" s="703">
        <f>SUM(L15:N15)</f>
        <v/>
      </c>
      <c r="P15" s="703" t="n">
        <v>1776.618655</v>
      </c>
      <c r="Q15" s="703" t="n">
        <v>0</v>
      </c>
      <c r="R15" s="703" t="n">
        <v>64.972886</v>
      </c>
      <c r="S15" s="703">
        <f>SUM(P15:R15)</f>
        <v/>
      </c>
      <c r="T15" s="703" t="n">
        <v>2171.402323</v>
      </c>
      <c r="U15" s="703" t="n">
        <v>0</v>
      </c>
      <c r="V15" s="703" t="n">
        <v>15.631431</v>
      </c>
      <c r="W15" s="703">
        <f>SUM(T15:V15)</f>
        <v/>
      </c>
      <c r="X15" s="703" t="n">
        <v>1305.1575</v>
      </c>
      <c r="Y15" s="703" t="n">
        <v>1178.4864</v>
      </c>
      <c r="Z15" s="703" t="n">
        <v>22.441342</v>
      </c>
      <c r="AA15" s="703">
        <f>SUM(X15:Z15)</f>
        <v/>
      </c>
      <c r="AB15" s="703" t="n">
        <v>0</v>
      </c>
      <c r="AC15" s="703" t="n">
        <v>0</v>
      </c>
      <c r="AD15" s="703" t="n">
        <v>15.177921</v>
      </c>
      <c r="AE15" s="703">
        <f>SUM(AB15:AD15)</f>
        <v/>
      </c>
      <c r="AF15" s="703" t="n">
        <v>2630.55</v>
      </c>
      <c r="AG15" s="724">
        <f>SUM(K15+O15+S15+W15+AA15+AE15+AF15)</f>
        <v/>
      </c>
      <c r="AH15" s="319">
        <f>IF(F15=0,"",K15/(F15/((YEAR(E15)*12+MONTH(E15))-(YEAR(D15)*12+MONTH(D15))+1)))</f>
        <v/>
      </c>
      <c r="AI15" s="319">
        <f>G15/F15</f>
        <v/>
      </c>
      <c r="AJ15" s="724">
        <f>F15-G15</f>
        <v/>
      </c>
      <c r="AK15" s="321">
        <f>SUM(F15:F18)</f>
        <v/>
      </c>
      <c r="AL15" s="322">
        <f>AL19</f>
        <v/>
      </c>
      <c r="AM15" s="717">
        <f>AM19</f>
        <v/>
      </c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0</v>
      </c>
      <c r="M16" s="707" t="n">
        <v>700.6272</v>
      </c>
      <c r="N16" s="707" t="n">
        <v>11.31433</v>
      </c>
      <c r="O16" s="707">
        <f>SUM(L16:N16)</f>
        <v/>
      </c>
      <c r="P16" s="707" t="n">
        <v>0</v>
      </c>
      <c r="Q16" s="707" t="n">
        <v>0</v>
      </c>
      <c r="R16" s="707" t="n">
        <v>2.157894</v>
      </c>
      <c r="S16" s="707">
        <f>SUM(P16:R16)</f>
        <v/>
      </c>
      <c r="T16" s="707" t="n">
        <v>0</v>
      </c>
      <c r="U16" s="707" t="n">
        <v>0</v>
      </c>
      <c r="V16" s="707" t="n">
        <v>2.058637</v>
      </c>
      <c r="W16" s="707">
        <f>SUM(T16:V16)</f>
        <v/>
      </c>
      <c r="X16" s="707" t="n">
        <v>0</v>
      </c>
      <c r="Y16" s="707" t="n">
        <v>0</v>
      </c>
      <c r="Z16" s="707" t="n">
        <v>3.23046</v>
      </c>
      <c r="AA16" s="707">
        <f>SUM(X16:Z16)</f>
        <v/>
      </c>
      <c r="AB16" s="707" t="n">
        <v>25.0224</v>
      </c>
      <c r="AC16" s="707" t="n">
        <v>1050.9408</v>
      </c>
      <c r="AD16" s="707" t="n">
        <v>3.667668</v>
      </c>
      <c r="AE16" s="707">
        <f>SUM(AB16:AD16)</f>
        <v/>
      </c>
      <c r="AF16" s="707" t="n">
        <v>125.112</v>
      </c>
      <c r="AG16" s="271">
        <f>SUM(K16+O16+S16+W16+AA16+AE16+AF16)</f>
        <v/>
      </c>
      <c r="AH16" s="326">
        <f>IF(F16=0,"",K16/(F16/((YEAR(E16)*12+MONTH(E16))-(YEAR(D16)*12+MONTH(D16))+1)))</f>
        <v/>
      </c>
      <c r="AI16" s="326">
        <f>G16/F16</f>
        <v/>
      </c>
      <c r="AJ16" s="708">
        <f>F16-G16</f>
        <v/>
      </c>
      <c r="AK16" s="500" t="n"/>
      <c r="AL16" s="500" t="n"/>
      <c r="AM16" s="500" t="n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4915.033623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412.205196</v>
      </c>
      <c r="M17" s="707" t="n">
        <v>0</v>
      </c>
      <c r="N17" s="707" t="n">
        <v>61.849591</v>
      </c>
      <c r="O17" s="707">
        <f>SUM(L17:N17)</f>
        <v/>
      </c>
      <c r="P17" s="707" t="n">
        <v>539.9043</v>
      </c>
      <c r="Q17" s="707" t="n">
        <v>1859.14872</v>
      </c>
      <c r="R17" s="707" t="n">
        <v>44.064709</v>
      </c>
      <c r="S17" s="707">
        <f>SUM(P17:R17)</f>
        <v/>
      </c>
      <c r="T17" s="707" t="n">
        <v>0</v>
      </c>
      <c r="U17" s="707" t="n">
        <v>0</v>
      </c>
      <c r="V17" s="707" t="n">
        <v>43.453355</v>
      </c>
      <c r="W17" s="707">
        <f>SUM(T17:V17)</f>
        <v/>
      </c>
      <c r="X17" s="707" t="n">
        <v>0</v>
      </c>
      <c r="Y17" s="707" t="n">
        <v>1943.65548</v>
      </c>
      <c r="Z17" s="707" t="n">
        <v>10.752272</v>
      </c>
      <c r="AA17" s="707">
        <f>SUM(X17:Z17)</f>
        <v/>
      </c>
      <c r="AB17" s="707" t="n">
        <v>0</v>
      </c>
      <c r="AC17" s="707" t="n">
        <v>0</v>
      </c>
      <c r="AD17" s="707" t="n">
        <v>0</v>
      </c>
      <c r="AE17" s="707">
        <f>SUM(AB17:AD17)</f>
        <v/>
      </c>
      <c r="AF17" s="707" t="n">
        <v>0</v>
      </c>
      <c r="AG17" s="271">
        <f>SUM(K17+O17+S17+W17+AA17+AE17+AF17)</f>
        <v/>
      </c>
      <c r="AH17" s="326">
        <f>IF(F17=0,"",K17/(F17/MAX(1,(YEAR(E17)*12+MONTH(E17))-(YEAR(D17)*12+MONTH(D17))+1)))</f>
        <v/>
      </c>
      <c r="AI17" s="326">
        <f>G17/F17</f>
        <v/>
      </c>
      <c r="AJ17" s="708">
        <f>F17-G17</f>
        <v/>
      </c>
      <c r="AK17" s="500" t="n"/>
      <c r="AL17" s="500" t="n"/>
      <c r="AM17" s="500" t="n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35462.605985</v>
      </c>
      <c r="H18" s="707" t="n">
        <v>1316.916602</v>
      </c>
      <c r="I18" s="707" t="n">
        <v>0</v>
      </c>
      <c r="J18" s="707" t="n">
        <v>0</v>
      </c>
      <c r="K18" s="707">
        <f>SUM(H18:J18)</f>
        <v/>
      </c>
      <c r="L18" s="707" t="n">
        <v>4030.216259</v>
      </c>
      <c r="M18" s="707" t="n">
        <v>0</v>
      </c>
      <c r="N18" s="707" t="n">
        <v>591.382342</v>
      </c>
      <c r="O18" s="707">
        <f>SUM(L18:N18)</f>
        <v/>
      </c>
      <c r="P18" s="707" t="n">
        <v>1274.903482</v>
      </c>
      <c r="Q18" s="707" t="n">
        <v>3566.1951</v>
      </c>
      <c r="R18" s="707" t="n">
        <v>343.572179</v>
      </c>
      <c r="S18" s="707">
        <f>SUM(P18:R18)</f>
        <v/>
      </c>
      <c r="T18" s="707" t="n">
        <v>2660.12632</v>
      </c>
      <c r="U18" s="707" t="n">
        <v>0</v>
      </c>
      <c r="V18" s="707" t="n">
        <v>331.400492</v>
      </c>
      <c r="W18" s="707">
        <f>SUM(T18:V18)</f>
        <v/>
      </c>
      <c r="X18" s="707" t="n">
        <v>3406.959578</v>
      </c>
      <c r="Y18" s="707" t="n">
        <v>14793.1056</v>
      </c>
      <c r="Z18" s="707" t="n">
        <v>606.358521</v>
      </c>
      <c r="AA18" s="707">
        <f>SUM(X18:Z18)</f>
        <v/>
      </c>
      <c r="AB18" s="707" t="n">
        <v>3557.362586</v>
      </c>
      <c r="AC18" s="707" t="n">
        <v>0</v>
      </c>
      <c r="AD18" s="707" t="n">
        <v>301.023526</v>
      </c>
      <c r="AE18" s="707">
        <f>SUM(AB18:AD18)</f>
        <v/>
      </c>
      <c r="AF18" s="707" t="n">
        <v>8988.571889000001</v>
      </c>
      <c r="AG18" s="271">
        <f>SUM(K18+O18+S18+W18+AA18+AE18+AF18)</f>
        <v/>
      </c>
      <c r="AH18" s="326">
        <f>IF(F18=0,"",K18/(F18/((YEAR(E18)*12+MONTH(E18))-(YEAR(D18)*12+MONTH(D18))+1)))</f>
        <v/>
      </c>
      <c r="AI18" s="326">
        <f>G18/F18</f>
        <v/>
      </c>
      <c r="AJ18" s="708">
        <f>F18-G18</f>
        <v/>
      </c>
      <c r="AK18" s="513" t="n"/>
      <c r="AL18" s="513" t="n"/>
      <c r="AM18" s="513" t="n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0">
        <f>SUM(AC15:AC18)</f>
        <v/>
      </c>
      <c r="AD19" s="710">
        <f>SUM(AD15:AD18)</f>
        <v/>
      </c>
      <c r="AE19" s="710">
        <f>SUM(AE15:AE18)</f>
        <v/>
      </c>
      <c r="AF19" s="710">
        <f>SUM(AF15:AF18)</f>
        <v/>
      </c>
      <c r="AG19" s="711">
        <f>SUM(K19+O19+S19+W19+AA19+AE19+AF19)</f>
        <v/>
      </c>
      <c r="AH19" s="335">
        <f>IF(F19=0,"",K19/(F19/((YEAR(E15)*12+MONTH(E15))-(YEAR(D15)*12+MONTH(D15))+1)))</f>
        <v/>
      </c>
      <c r="AI19" s="336">
        <f>G19/F19</f>
        <v/>
      </c>
      <c r="AJ19" s="711">
        <f>F19-G19</f>
        <v/>
      </c>
      <c r="AK19" s="337">
        <f>AK15</f>
        <v/>
      </c>
      <c r="AL19" s="335">
        <f>AG19/AK15</f>
        <v/>
      </c>
      <c r="AM19" s="712">
        <f>AK15-AG19</f>
        <v/>
      </c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0</v>
      </c>
      <c r="I20" s="703" t="n">
        <v>0</v>
      </c>
      <c r="J20" s="703" t="n">
        <v>0</v>
      </c>
      <c r="K20" s="703">
        <f>SUM(H20:J20)</f>
        <v/>
      </c>
      <c r="L20" s="703" t="n">
        <v>488.8416</v>
      </c>
      <c r="M20" s="703" t="n">
        <v>0</v>
      </c>
      <c r="N20" s="703" t="n">
        <v>90.34230599999999</v>
      </c>
      <c r="O20" s="703">
        <f>SUM(L20:N20)</f>
        <v/>
      </c>
      <c r="P20" s="703" t="n">
        <v>305.526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703" t="n">
        <v>0</v>
      </c>
      <c r="Z20" s="703" t="n">
        <v>32.04495</v>
      </c>
      <c r="AA20" s="703">
        <f>SUM(X20:Z20)</f>
        <v/>
      </c>
      <c r="AB20" s="703" t="n">
        <v>0</v>
      </c>
      <c r="AC20" s="703" t="n">
        <v>0</v>
      </c>
      <c r="AD20" s="703" t="n">
        <v>0</v>
      </c>
      <c r="AE20" s="703">
        <f>SUM(AB20:AD20)</f>
        <v/>
      </c>
      <c r="AF20" s="703" t="n">
        <v>0</v>
      </c>
      <c r="AG20" s="318">
        <f>SUM(K20+O20+S20+W20+AA20+AE20+AF20)</f>
        <v/>
      </c>
      <c r="AH20" s="319">
        <f>IF(F20=0,"",K20/(F20/((YEAR(E20)*12+MONTH(E20))-(YEAR(D20)*12+MONTH(D20))+1)))</f>
        <v/>
      </c>
      <c r="AI20" s="319">
        <f>G20/F20</f>
        <v/>
      </c>
      <c r="AJ20" s="704">
        <f>F20-G20</f>
        <v/>
      </c>
      <c r="AK20" s="321">
        <f>SUM(F20:F22)</f>
        <v/>
      </c>
      <c r="AL20" s="322">
        <f>AL23</f>
        <v/>
      </c>
      <c r="AM20" s="705">
        <f>AM23</f>
        <v/>
      </c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5540.630636</v>
      </c>
      <c r="H21" s="707" t="n">
        <v>0</v>
      </c>
      <c r="I21" s="707" t="n">
        <v>0</v>
      </c>
      <c r="J21" s="707" t="n">
        <v>0</v>
      </c>
      <c r="K21" s="707">
        <f>SUM(H21:J21)</f>
        <v/>
      </c>
      <c r="L21" s="707" t="n">
        <v>42.846788</v>
      </c>
      <c r="M21" s="707" t="n">
        <v>0</v>
      </c>
      <c r="N21" s="707" t="n">
        <v>56.785916</v>
      </c>
      <c r="O21" s="707">
        <f>SUM(L21:N21)</f>
        <v/>
      </c>
      <c r="P21" s="707" t="n">
        <v>494.115336</v>
      </c>
      <c r="Q21" s="707" t="n">
        <v>0</v>
      </c>
      <c r="R21" s="707" t="n">
        <v>46.211266</v>
      </c>
      <c r="S21" s="707">
        <f>SUM(P21:R21)</f>
        <v/>
      </c>
      <c r="T21" s="707" t="n">
        <v>0</v>
      </c>
      <c r="U21" s="707" t="n">
        <v>0</v>
      </c>
      <c r="V21" s="707" t="n">
        <v>37.443523</v>
      </c>
      <c r="W21" s="707">
        <f>SUM(T21:V21)</f>
        <v/>
      </c>
      <c r="X21" s="707" t="n">
        <v>198.1746</v>
      </c>
      <c r="Y21" s="707" t="n">
        <v>0</v>
      </c>
      <c r="Z21" s="707" t="n">
        <v>29.640215</v>
      </c>
      <c r="AA21" s="707">
        <f>SUM(X21:Z21)</f>
        <v/>
      </c>
      <c r="AB21" s="707" t="n">
        <v>0.8469</v>
      </c>
      <c r="AC21" s="707" t="n">
        <v>4558.0158</v>
      </c>
      <c r="AD21" s="707" t="n">
        <v>19.389048</v>
      </c>
      <c r="AE21" s="707">
        <f>SUM(AB21:AD21)</f>
        <v/>
      </c>
      <c r="AF21" s="707" t="n">
        <v>21.644177</v>
      </c>
      <c r="AG21" s="271">
        <f>SUM(K21+O21+S21+W21+AA21+AE21+AF21)</f>
        <v/>
      </c>
      <c r="AH21" s="326">
        <f>IF(F21=0,"",K21/(F21/((YEAR(E21)*12+MONTH(E21))-(YEAR(D21)*12+MONTH(D21))+1)))</f>
        <v/>
      </c>
      <c r="AI21" s="326">
        <f>G21/F21</f>
        <v/>
      </c>
      <c r="AJ21" s="708">
        <f>F21-G21</f>
        <v/>
      </c>
      <c r="AK21" s="500" t="n"/>
      <c r="AL21" s="500" t="n"/>
      <c r="AM21" s="500" t="n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12759.025525</v>
      </c>
      <c r="H22" s="707" t="n">
        <v>880.659</v>
      </c>
      <c r="I22" s="707" t="n">
        <v>0</v>
      </c>
      <c r="J22" s="707" t="n">
        <v>0</v>
      </c>
      <c r="K22" s="707">
        <f>SUM(H22:J22)</f>
        <v/>
      </c>
      <c r="L22" s="707" t="n">
        <v>1356.21486</v>
      </c>
      <c r="M22" s="707" t="n">
        <v>0</v>
      </c>
      <c r="N22" s="707" t="n">
        <v>318.416359</v>
      </c>
      <c r="O22" s="707">
        <f>SUM(L22:N22)</f>
        <v/>
      </c>
      <c r="P22" s="707" t="n">
        <v>2200.72469</v>
      </c>
      <c r="Q22" s="707" t="n">
        <v>0</v>
      </c>
      <c r="R22" s="707" t="n">
        <v>130.270558</v>
      </c>
      <c r="S22" s="707">
        <f>SUM(P22:R22)</f>
        <v/>
      </c>
      <c r="T22" s="707" t="n">
        <v>1832.902273</v>
      </c>
      <c r="U22" s="707" t="n">
        <v>0</v>
      </c>
      <c r="V22" s="707" t="n">
        <v>114.994826</v>
      </c>
      <c r="W22" s="707">
        <f>SUM(T22:V22)</f>
        <v/>
      </c>
      <c r="X22" s="707" t="n">
        <v>220.16475</v>
      </c>
      <c r="Y22" s="707" t="n">
        <v>0</v>
      </c>
      <c r="Z22" s="707" t="n">
        <v>158.674065</v>
      </c>
      <c r="AA22" s="707">
        <f>SUM(X22:Z22)</f>
        <v/>
      </c>
      <c r="AB22" s="707" t="n">
        <v>3847.561596</v>
      </c>
      <c r="AC22" s="707" t="n">
        <v>0</v>
      </c>
      <c r="AD22" s="707" t="n">
        <v>39.036743</v>
      </c>
      <c r="AE22" s="707">
        <f>SUM(AB22:AD22)</f>
        <v/>
      </c>
      <c r="AF22" s="707" t="n">
        <v>2540.064804</v>
      </c>
      <c r="AG22" s="271">
        <f>SUM(K22+O22+S22+W22+AA22+AE22+AF22)</f>
        <v/>
      </c>
      <c r="AH22" s="326">
        <f>IF(F22=0,"",K22/(F22/((YEAR(E22)*12+MONTH(E22))-(YEAR(D22)*12+MONTH(D22))+1)))</f>
        <v/>
      </c>
      <c r="AI22" s="326">
        <f>G22/F22</f>
        <v/>
      </c>
      <c r="AJ22" s="708">
        <f>F22-G22</f>
        <v/>
      </c>
      <c r="AK22" s="513" t="n"/>
      <c r="AL22" s="513" t="n"/>
      <c r="AM22" s="513" t="n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710">
        <f>SUM(AC20:AC22)</f>
        <v/>
      </c>
      <c r="AD23" s="710">
        <f>SUM(AD20:AD22)</f>
        <v/>
      </c>
      <c r="AE23" s="710">
        <f>SUM(AE20:AE22)</f>
        <v/>
      </c>
      <c r="AF23" s="710">
        <f>SUM(AF20:AF22)</f>
        <v/>
      </c>
      <c r="AG23" s="333">
        <f>SUM(K23+O23+S23+W23+AA23+AE23+AF23)</f>
        <v/>
      </c>
      <c r="AH23" s="335">
        <f>IF(F23=0,"",K23/(F23/((YEAR(E20)*12+MONTH(E20))-(YEAR(D20)*12+MONTH(D20))+1)))</f>
        <v/>
      </c>
      <c r="AI23" s="336">
        <f>G23/F23</f>
        <v/>
      </c>
      <c r="AJ23" s="715">
        <f>F23-G23</f>
        <v/>
      </c>
      <c r="AK23" s="337">
        <f>AK20</f>
        <v/>
      </c>
      <c r="AL23" s="335">
        <f>AG23/AK20</f>
        <v/>
      </c>
      <c r="AM23" s="712">
        <f>AK20-AG23</f>
        <v/>
      </c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6799.556221</v>
      </c>
      <c r="H24" s="703" t="n">
        <v>134.3004</v>
      </c>
      <c r="I24" s="703" t="n">
        <v>0</v>
      </c>
      <c r="J24" s="703" t="n">
        <v>0</v>
      </c>
      <c r="K24" s="703">
        <f>SUM(H24:J24)</f>
        <v/>
      </c>
      <c r="L24" s="703" t="n">
        <v>1035.385146</v>
      </c>
      <c r="M24" s="703" t="n">
        <v>0</v>
      </c>
      <c r="N24" s="703" t="n">
        <v>713.811077</v>
      </c>
      <c r="O24" s="703">
        <f>SUM(L24:N24)</f>
        <v/>
      </c>
      <c r="P24" s="703" t="n">
        <v>121.826127</v>
      </c>
      <c r="Q24" s="703" t="n">
        <v>0</v>
      </c>
      <c r="R24" s="703" t="n">
        <v>638.531805</v>
      </c>
      <c r="S24" s="703">
        <f>SUM(P24:R24)</f>
        <v/>
      </c>
      <c r="T24" s="703" t="n">
        <v>88.54274700000001</v>
      </c>
      <c r="U24" s="703" t="n">
        <v>0</v>
      </c>
      <c r="V24" s="703" t="n">
        <v>616.124389</v>
      </c>
      <c r="W24" s="703">
        <f>SUM(T24:V24)</f>
        <v/>
      </c>
      <c r="X24" s="703" t="n">
        <v>50.830377</v>
      </c>
      <c r="Y24" s="703" t="n">
        <v>0</v>
      </c>
      <c r="Z24" s="703" t="n">
        <v>791.318135</v>
      </c>
      <c r="AA24" s="703">
        <f>SUM(X24:Z24)</f>
        <v/>
      </c>
      <c r="AB24" s="703" t="n">
        <v>153.11976</v>
      </c>
      <c r="AC24" s="703" t="n">
        <v>0</v>
      </c>
      <c r="AD24" s="703" t="n">
        <v>560.548117</v>
      </c>
      <c r="AE24" s="703">
        <f>SUM(AB24:AD24)</f>
        <v/>
      </c>
      <c r="AF24" s="703" t="n">
        <v>2029.518541</v>
      </c>
      <c r="AG24" s="724">
        <f>SUM(K24+O24+S24+W24+AA24+AE24+AF24)</f>
        <v/>
      </c>
      <c r="AH24" s="319">
        <f>IF(F24=0,"",K24/(F24/((YEAR(E24)*12+MONTH(E24))-(YEAR(D24)*12+MONTH(D24))+1)))</f>
        <v/>
      </c>
      <c r="AI24" s="319">
        <f>G24/F24</f>
        <v/>
      </c>
      <c r="AJ24" s="724">
        <f>F24-G24</f>
        <v/>
      </c>
      <c r="AK24" s="321">
        <f>SUM(F24:F26)</f>
        <v/>
      </c>
      <c r="AL24" s="322">
        <f>AL27</f>
        <v/>
      </c>
      <c r="AM24" s="725">
        <f>AM27</f>
        <v/>
      </c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317.634446</v>
      </c>
      <c r="H25" s="707" t="n">
        <v>0</v>
      </c>
      <c r="I25" s="707" t="n">
        <v>0</v>
      </c>
      <c r="J25" s="707" t="n">
        <v>0</v>
      </c>
      <c r="K25" s="707">
        <f>SUM(H25:J25)</f>
        <v/>
      </c>
      <c r="L25" s="707" t="n">
        <v>63.103793</v>
      </c>
      <c r="M25" s="707" t="n">
        <v>0</v>
      </c>
      <c r="N25" s="707" t="n">
        <v>22.083459</v>
      </c>
      <c r="O25" s="707">
        <f>SUM(L25:N25)</f>
        <v/>
      </c>
      <c r="P25" s="707" t="n">
        <v>63.1797</v>
      </c>
      <c r="Q25" s="707" t="n">
        <v>0</v>
      </c>
      <c r="R25" s="707" t="n">
        <v>19.121258</v>
      </c>
      <c r="S25" s="707">
        <f>SUM(P25:R25)</f>
        <v/>
      </c>
      <c r="T25" s="707" t="n">
        <v>135.387173</v>
      </c>
      <c r="U25" s="707" t="n">
        <v>3685.0554</v>
      </c>
      <c r="V25" s="707" t="n">
        <v>14.759064</v>
      </c>
      <c r="W25" s="707">
        <f>SUM(T25:V25)</f>
        <v/>
      </c>
      <c r="X25" s="707" t="n">
        <v>0</v>
      </c>
      <c r="Y25" s="707" t="n">
        <v>0</v>
      </c>
      <c r="Z25" s="707" t="n">
        <v>2.181886</v>
      </c>
      <c r="AA25" s="707">
        <f>SUM(X25:Z25)</f>
        <v/>
      </c>
      <c r="AB25" s="707" t="n">
        <v>0</v>
      </c>
      <c r="AC25" s="707" t="n">
        <v>0</v>
      </c>
      <c r="AD25" s="707" t="n">
        <v>1.481485</v>
      </c>
      <c r="AE25" s="707">
        <f>SUM(AB25:AD25)</f>
        <v/>
      </c>
      <c r="AF25" s="707" t="n">
        <v>66.75825</v>
      </c>
      <c r="AG25" s="271">
        <f>SUM(K25+O25+S25+W25+AA25+AE25+AF25)</f>
        <v/>
      </c>
      <c r="AH25" s="326">
        <f>IF(F25=0,"",K25/(F25/((YEAR(E25)*12+MONTH(E25))-(YEAR(D25)*12+MONTH(D25))+1)))</f>
        <v/>
      </c>
      <c r="AI25" s="326">
        <f>G25/F25</f>
        <v/>
      </c>
      <c r="AJ25" s="708">
        <f>F25-G25</f>
        <v/>
      </c>
      <c r="AK25" s="500" t="n"/>
      <c r="AL25" s="500" t="n"/>
      <c r="AM25" s="500" t="n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27397.572858</v>
      </c>
      <c r="H26" s="707" t="n">
        <v>3163.841359</v>
      </c>
      <c r="I26" s="707" t="n">
        <v>0</v>
      </c>
      <c r="J26" s="707" t="n">
        <v>0</v>
      </c>
      <c r="K26" s="707">
        <f>SUM(H26:J26)</f>
        <v/>
      </c>
      <c r="L26" s="707" t="n">
        <v>662.537684</v>
      </c>
      <c r="M26" s="707" t="n">
        <v>0</v>
      </c>
      <c r="N26" s="707" t="n">
        <v>353.318319</v>
      </c>
      <c r="O26" s="707">
        <f>SUM(L26:N26)</f>
        <v/>
      </c>
      <c r="P26" s="707" t="n">
        <v>2227.154433</v>
      </c>
      <c r="Q26" s="707" t="n">
        <v>0</v>
      </c>
      <c r="R26" s="707" t="n">
        <v>234.231608</v>
      </c>
      <c r="S26" s="707">
        <f>SUM(P26:R26)</f>
        <v/>
      </c>
      <c r="T26" s="707" t="n">
        <v>-6272.609198</v>
      </c>
      <c r="U26" s="707" t="n">
        <v>0</v>
      </c>
      <c r="V26" s="707" t="n">
        <v>210.102519</v>
      </c>
      <c r="W26" s="707">
        <f>SUM(T26:V26)</f>
        <v/>
      </c>
      <c r="X26" s="707" t="n">
        <v>2164.476574</v>
      </c>
      <c r="Y26" s="707" t="n">
        <v>0</v>
      </c>
      <c r="Z26" s="707" t="n">
        <v>365.27682</v>
      </c>
      <c r="AA26" s="707">
        <f>SUM(X26:Z26)</f>
        <v/>
      </c>
      <c r="AB26" s="707" t="n">
        <v>2346.171162</v>
      </c>
      <c r="AC26" s="707" t="n">
        <v>0</v>
      </c>
      <c r="AD26" s="707" t="n">
        <v>187.41719</v>
      </c>
      <c r="AE26" s="707">
        <f>SUM(AB26:AD26)</f>
        <v/>
      </c>
      <c r="AF26" s="707" t="n">
        <v>24919.495747</v>
      </c>
      <c r="AG26" s="271">
        <f>SUM(K26+O26+S26+W26+AA26+AE26+AF26)</f>
        <v/>
      </c>
      <c r="AH26" s="326">
        <f>IF(F26=0,"",K26/(F26/((YEAR(E26)*12+MONTH(E26))-(YEAR(D26)*12+MONTH(D26))+1)))</f>
        <v/>
      </c>
      <c r="AI26" s="326">
        <f>G26/F26</f>
        <v/>
      </c>
      <c r="AJ26" s="708">
        <f>F26-G26</f>
        <v/>
      </c>
      <c r="AK26" s="513" t="n"/>
      <c r="AL26" s="513" t="n"/>
      <c r="AM26" s="513" t="n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710">
        <f>SUM(AC24:AC26)</f>
        <v/>
      </c>
      <c r="AD27" s="710">
        <f>SUM(AD24:AD26)</f>
        <v/>
      </c>
      <c r="AE27" s="710">
        <f>SUM(AE24:AE26)</f>
        <v/>
      </c>
      <c r="AF27" s="710">
        <f>SUM(AF24:AF26)</f>
        <v/>
      </c>
      <c r="AG27" s="333">
        <f>SUM(K27+O27+S27+W27+AA27+AE27+AF27)</f>
        <v/>
      </c>
      <c r="AH27" s="335">
        <f>IF(F27=0,"",K27/(F27/((YEAR(E24)*12+MONTH(E24))-(YEAR(D24)*12+MONTH(D24))+1)))</f>
        <v/>
      </c>
      <c r="AI27" s="336">
        <f>G27/F27</f>
        <v/>
      </c>
      <c r="AJ27" s="715">
        <f>F27-G27</f>
        <v/>
      </c>
      <c r="AK27" s="337">
        <f>AK24</f>
        <v/>
      </c>
      <c r="AL27" s="335">
        <f>AG27/AK24</f>
        <v/>
      </c>
      <c r="AM27" s="712">
        <f>AK24-AG27</f>
        <v/>
      </c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理财师048</t>
        </is>
      </c>
      <c r="C28" s="703" t="inlineStr">
        <is>
          <t>观察期PWA0-1</t>
        </is>
      </c>
      <c r="D28" s="693" t="n">
        <v>46082</v>
      </c>
      <c r="E28" s="693" t="n">
        <v>46234</v>
      </c>
      <c r="F28" s="703" t="n">
        <v>3056.1223</v>
      </c>
      <c r="G28" s="703" t="n">
        <v>393.298244</v>
      </c>
      <c r="H28" s="703" t="n">
        <v>0</v>
      </c>
      <c r="I28" s="703" t="n">
        <v>0</v>
      </c>
      <c r="J28" s="703" t="n">
        <v>0</v>
      </c>
      <c r="K28" s="703">
        <f>SUM(H28:J28)</f>
        <v/>
      </c>
      <c r="L28" s="703" t="n">
        <v>130.21558</v>
      </c>
      <c r="M28" s="703" t="n">
        <v>0</v>
      </c>
      <c r="N28" s="703" t="n">
        <v>60.359225</v>
      </c>
      <c r="O28" s="703">
        <f>SUM(L28:N28)</f>
        <v/>
      </c>
      <c r="P28" s="703" t="n">
        <v>0</v>
      </c>
      <c r="Q28" s="703" t="n">
        <v>0</v>
      </c>
      <c r="R28" s="703" t="n">
        <v>26.609284</v>
      </c>
      <c r="S28" s="703">
        <f>SUM(P28:R28)</f>
        <v/>
      </c>
      <c r="T28" s="703" t="n">
        <v>0</v>
      </c>
      <c r="U28" s="703" t="n">
        <v>0</v>
      </c>
      <c r="V28" s="703" t="n">
        <v>25.715569</v>
      </c>
      <c r="W28" s="703">
        <f>SUM(T28:V28)</f>
        <v/>
      </c>
      <c r="X28" s="703" t="n">
        <v>103.23148</v>
      </c>
      <c r="Y28" s="703" t="n">
        <v>0</v>
      </c>
      <c r="Z28" s="703" t="n">
        <v>47.167105</v>
      </c>
      <c r="AA28" s="703">
        <f>SUM(X28:Z28)</f>
        <v/>
      </c>
      <c r="AB28" s="703" t="n">
        <v>51.706393</v>
      </c>
      <c r="AC28" s="703" t="n">
        <v>90.204069</v>
      </c>
      <c r="AD28" s="703" t="n">
        <v>16.925117</v>
      </c>
      <c r="AE28" s="703">
        <f>SUM(AB28:AD28)</f>
        <v/>
      </c>
      <c r="AF28" s="703" t="n">
        <v>193.330405</v>
      </c>
      <c r="AG28" s="724">
        <f>SUM(K28+O28+S28+W28+AA28+AE28+AF28)</f>
        <v/>
      </c>
      <c r="AH28" s="319">
        <f>IF(F28=0,"",K28/(F28/((YEAR(E28)*12+MONTH(E28))-(YEAR(D28)*12+MONTH(D28))+1)))</f>
        <v/>
      </c>
      <c r="AI28" s="319">
        <f>G28/F28</f>
        <v/>
      </c>
      <c r="AJ28" s="724">
        <f>F28-G28</f>
        <v/>
      </c>
      <c r="AK28" s="321">
        <f>SUM(F28:F30)</f>
        <v/>
      </c>
      <c r="AL28" s="322">
        <f>AL31</f>
        <v/>
      </c>
      <c r="AM28" s="725">
        <f>AM31</f>
        <v/>
      </c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</row>
    <row r="29" outlineLevel="1" ht="14.25" customFormat="1" customHeight="1" s="483">
      <c r="A29" s="500" t="n"/>
      <c r="B29" s="707" t="inlineStr">
        <is>
          <t>理财师009</t>
        </is>
      </c>
      <c r="C29" s="707" t="inlineStr">
        <is>
          <t>私人财富管理专家PWA4-1</t>
        </is>
      </c>
      <c r="D29" s="676" t="n">
        <v>46023</v>
      </c>
      <c r="E29" s="676" t="n">
        <v>46203</v>
      </c>
      <c r="F29" s="707" t="n">
        <v>28282.8</v>
      </c>
      <c r="G29" s="707" t="n">
        <v>39063.219121</v>
      </c>
      <c r="H29" s="707" t="n">
        <v>4392.2424</v>
      </c>
      <c r="I29" s="707" t="n">
        <v>0</v>
      </c>
      <c r="J29" s="707" t="n">
        <v>0</v>
      </c>
      <c r="K29" s="707">
        <f>SUM(H29:J29)</f>
        <v/>
      </c>
      <c r="L29" s="707" t="n">
        <v>2106.18954</v>
      </c>
      <c r="M29" s="707" t="n">
        <v>2057.0004</v>
      </c>
      <c r="N29" s="707" t="n">
        <v>955.9889920000001</v>
      </c>
      <c r="O29" s="707">
        <f>SUM(L29:N29)</f>
        <v/>
      </c>
      <c r="P29" s="707" t="n">
        <v>536.6088</v>
      </c>
      <c r="Q29" s="707" t="n">
        <v>0</v>
      </c>
      <c r="R29" s="707" t="n">
        <v>722.01536</v>
      </c>
      <c r="S29" s="707">
        <f>SUM(P29:R29)</f>
        <v/>
      </c>
      <c r="T29" s="707" t="n">
        <v>1351.820914</v>
      </c>
      <c r="U29" s="707" t="n">
        <v>20570.004</v>
      </c>
      <c r="V29" s="707" t="n">
        <v>668.034433</v>
      </c>
      <c r="W29" s="707">
        <f>SUM(T29:V29)</f>
        <v/>
      </c>
      <c r="X29" s="707" t="n">
        <v>3314.503374</v>
      </c>
      <c r="Y29" s="707" t="n">
        <v>0</v>
      </c>
      <c r="Z29" s="707" t="n">
        <v>713.569709</v>
      </c>
      <c r="AA29" s="707">
        <f>SUM(X29:Z29)</f>
        <v/>
      </c>
      <c r="AB29" s="707" t="n">
        <v>4769.379014</v>
      </c>
      <c r="AC29" s="707" t="n">
        <v>0</v>
      </c>
      <c r="AD29" s="707" t="n">
        <v>228.136442</v>
      </c>
      <c r="AE29" s="707">
        <f>SUM(AB29:AD29)</f>
        <v/>
      </c>
      <c r="AF29" s="707" t="n">
        <v>1069.968142</v>
      </c>
      <c r="AG29" s="271">
        <f>SUM(K29+O29+S29+W29+AA29+AE29+AF29)</f>
        <v/>
      </c>
      <c r="AH29" s="326">
        <f>IF(F29=0,"",K29/(F29/((YEAR(E29)*12+MONTH(E29))-(YEAR(D29)*12+MONTH(D29))+1)))</f>
        <v/>
      </c>
      <c r="AI29" s="326">
        <f>G29/F29</f>
        <v/>
      </c>
      <c r="AJ29" s="708">
        <f>F29-G29</f>
        <v/>
      </c>
      <c r="AK29" s="500" t="n"/>
      <c r="AL29" s="500" t="n"/>
      <c r="AM29" s="500" t="n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</row>
    <row r="30" outlineLevel="1" ht="14.25" customFormat="1" customHeight="1" s="483">
      <c r="A30" s="513" t="n"/>
      <c r="B30" s="707" t="inlineStr">
        <is>
          <t>理财师010</t>
        </is>
      </c>
      <c r="C30" s="707" t="inlineStr">
        <is>
          <t>观察期PWA0-2</t>
        </is>
      </c>
      <c r="D30" s="676" t="n">
        <v>46023</v>
      </c>
      <c r="E30" s="676" t="n">
        <v>46203</v>
      </c>
      <c r="F30" s="707" t="n">
        <v>4868.16</v>
      </c>
      <c r="G30" s="707" t="n">
        <v>16998.364317</v>
      </c>
      <c r="H30" s="707" t="n">
        <v>79.10760000000001</v>
      </c>
      <c r="I30" s="707" t="n">
        <v>0</v>
      </c>
      <c r="J30" s="707" t="n">
        <v>0</v>
      </c>
      <c r="K30" s="707">
        <f>SUM(H30:J30)</f>
        <v/>
      </c>
      <c r="L30" s="707" t="n">
        <v>520.393558</v>
      </c>
      <c r="M30" s="707" t="n">
        <v>1637.52732</v>
      </c>
      <c r="N30" s="707" t="n">
        <v>284.729185</v>
      </c>
      <c r="O30" s="707">
        <f>SUM(L30:N30)</f>
        <v/>
      </c>
      <c r="P30" s="707" t="n">
        <v>994.77807</v>
      </c>
      <c r="Q30" s="707" t="n">
        <v>0</v>
      </c>
      <c r="R30" s="707" t="n">
        <v>185.511372</v>
      </c>
      <c r="S30" s="707">
        <f>SUM(P30:R30)</f>
        <v/>
      </c>
      <c r="T30" s="707" t="n">
        <v>949.2912</v>
      </c>
      <c r="U30" s="707" t="n">
        <v>0</v>
      </c>
      <c r="V30" s="707" t="n">
        <v>144.291309</v>
      </c>
      <c r="W30" s="707">
        <f>SUM(T30:V30)</f>
        <v/>
      </c>
      <c r="X30" s="707" t="n">
        <v>2158.292651</v>
      </c>
      <c r="Y30" s="707" t="n">
        <v>8187.6366</v>
      </c>
      <c r="Z30" s="707" t="n">
        <v>194.447373</v>
      </c>
      <c r="AA30" s="707">
        <f>SUM(X30:Z30)</f>
        <v/>
      </c>
      <c r="AB30" s="707" t="n">
        <v>474.6456</v>
      </c>
      <c r="AC30" s="707" t="n">
        <v>0</v>
      </c>
      <c r="AD30" s="707" t="n">
        <v>122.035472</v>
      </c>
      <c r="AE30" s="707">
        <f>SUM(AB30:AD30)</f>
        <v/>
      </c>
      <c r="AF30" s="707" t="n">
        <v>1144.784607</v>
      </c>
      <c r="AG30" s="271">
        <f>SUM(K30+O30+S30+W30+AA30+AE30+AF30)</f>
        <v/>
      </c>
      <c r="AH30" s="326">
        <f>IF(F30=0,"",K30/(F30/((YEAR(E30)*12+MONTH(E30))-(YEAR(D30)*12+MONTH(D30))+1)))</f>
        <v/>
      </c>
      <c r="AI30" s="326">
        <f>G30/F30</f>
        <v/>
      </c>
      <c r="AJ30" s="708">
        <f>F30-G30</f>
        <v/>
      </c>
      <c r="AK30" s="513" t="n"/>
      <c r="AL30" s="513" t="n"/>
      <c r="AM30" s="513" t="n"/>
      <c r="AN30" s="706" t="inlineStr"/>
      <c r="AO30" s="706" t="inlineStr"/>
      <c r="AP30" s="706" t="inlineStr"/>
      <c r="AQ30" s="706" t="inlineStr"/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</row>
    <row r="31" outlineLevel="1" ht="14.25" customFormat="1" customHeight="1" s="483">
      <c r="A31" s="710" t="inlineStr">
        <is>
          <t>合计</t>
        </is>
      </c>
      <c r="B31" s="518" t="n"/>
      <c r="C31" s="518" t="n"/>
      <c r="D31" s="518" t="n"/>
      <c r="E31" s="578" t="n"/>
      <c r="F31" s="333">
        <f>SUM(F28:F30)</f>
        <v/>
      </c>
      <c r="G31" s="710">
        <f>SUM(G28:G30)</f>
        <v/>
      </c>
      <c r="H31" s="710">
        <f>SUM(H28:H30)</f>
        <v/>
      </c>
      <c r="I31" s="710">
        <f>SUM(I28:I30)</f>
        <v/>
      </c>
      <c r="J31" s="710">
        <f>SUM(J28:J30)</f>
        <v/>
      </c>
      <c r="K31" s="710">
        <f>SUM(K28:K30)</f>
        <v/>
      </c>
      <c r="L31" s="710">
        <f>SUM(L28:L30)</f>
        <v/>
      </c>
      <c r="M31" s="710">
        <f>SUM(M28:M30)</f>
        <v/>
      </c>
      <c r="N31" s="710">
        <f>SUM(N28:N30)</f>
        <v/>
      </c>
      <c r="O31" s="710">
        <f>SUM(O28:O30)</f>
        <v/>
      </c>
      <c r="P31" s="710">
        <f>SUM(P28:P30)</f>
        <v/>
      </c>
      <c r="Q31" s="710">
        <f>SUM(Q28:Q30)</f>
        <v/>
      </c>
      <c r="R31" s="710">
        <f>SUM(R28:R30)</f>
        <v/>
      </c>
      <c r="S31" s="710">
        <f>SUM(S28:S30)</f>
        <v/>
      </c>
      <c r="T31" s="710">
        <f>SUM(T28:T30)</f>
        <v/>
      </c>
      <c r="U31" s="710">
        <f>SUM(U28:U30)</f>
        <v/>
      </c>
      <c r="V31" s="710">
        <f>SUM(V28:V30)</f>
        <v/>
      </c>
      <c r="W31" s="710">
        <f>SUM(W28:W30)</f>
        <v/>
      </c>
      <c r="X31" s="710">
        <f>SUM(X28:X30)</f>
        <v/>
      </c>
      <c r="Y31" s="710">
        <f>SUM(Y28:Y30)</f>
        <v/>
      </c>
      <c r="Z31" s="710">
        <f>SUM(Z28:Z30)</f>
        <v/>
      </c>
      <c r="AA31" s="710">
        <f>SUM(AA28:AA30)</f>
        <v/>
      </c>
      <c r="AB31" s="710">
        <f>SUM(AB28:AB30)</f>
        <v/>
      </c>
      <c r="AC31" s="710">
        <f>SUM(AC28:AC30)</f>
        <v/>
      </c>
      <c r="AD31" s="710">
        <f>SUM(AD28:AD30)</f>
        <v/>
      </c>
      <c r="AE31" s="710">
        <f>SUM(AE28:AE30)</f>
        <v/>
      </c>
      <c r="AF31" s="710">
        <f>SUM(AF28:AF30)</f>
        <v/>
      </c>
      <c r="AG31" s="333">
        <f>SUM(K31+O31+S31+W31+AA31+AE31+AF31)</f>
        <v/>
      </c>
      <c r="AH31" s="335">
        <f>IF(F31=0,"",K31/(F31/((YEAR(E28)*12+MONTH(E28))-(YEAR(D28)*12+MONTH(D28))+1)))</f>
        <v/>
      </c>
      <c r="AI31" s="336">
        <f>G31/F31</f>
        <v/>
      </c>
      <c r="AJ31" s="715">
        <f>F31-G31</f>
        <v/>
      </c>
      <c r="AK31" s="337">
        <f>AK28</f>
        <v/>
      </c>
      <c r="AL31" s="335">
        <f>AG31/AK28</f>
        <v/>
      </c>
      <c r="AM31" s="712">
        <f>AK28-AG31</f>
        <v/>
      </c>
      <c r="AN31" s="713" t="inlineStr"/>
      <c r="AO31" s="713" t="inlineStr"/>
      <c r="AP31" s="713" t="inlineStr"/>
      <c r="AQ31" s="713" t="inlineStr"/>
      <c r="AR31" s="713" t="inlineStr"/>
      <c r="AS31" s="713" t="inlineStr"/>
      <c r="AT31" s="713" t="inlineStr"/>
      <c r="AU31" s="713" t="inlineStr"/>
      <c r="AV31" s="713" t="inlineStr"/>
      <c r="AW31" s="713" t="inlineStr"/>
      <c r="AX31" s="713" t="inlineStr"/>
      <c r="AY31" s="713" t="inlineStr"/>
      <c r="AZ31" s="713" t="inlineStr"/>
      <c r="BA31" s="713" t="inlineStr"/>
      <c r="BB31" s="713" t="inlineStr"/>
      <c r="BC31" s="713" t="inlineStr"/>
      <c r="BD31" s="713" t="inlineStr"/>
      <c r="BE31" s="713" t="inlineStr"/>
      <c r="BF31" s="713" t="inlineStr"/>
      <c r="BG31" s="713" t="inlineStr"/>
      <c r="BH31" s="713" t="inlineStr"/>
      <c r="BI31" s="713" t="inlineStr"/>
      <c r="BJ31" s="713" t="inlineStr"/>
      <c r="BK31" s="713" t="inlineStr"/>
      <c r="BL31" s="713" t="inlineStr"/>
      <c r="BM31" s="713" t="inlineStr"/>
    </row>
    <row r="32" outlineLevel="1" ht="14.25" customFormat="1" customHeight="1" s="483">
      <c r="A32" s="703" t="inlineStr">
        <is>
          <t>理财师020</t>
        </is>
      </c>
      <c r="B32" s="703" t="inlineStr">
        <is>
          <t>理财师032</t>
        </is>
      </c>
      <c r="C32" s="703" t="inlineStr">
        <is>
          <t>C3</t>
        </is>
      </c>
      <c r="D32" s="693" t="n">
        <v>46049</v>
      </c>
      <c r="E32" s="693" t="n">
        <v>46229</v>
      </c>
      <c r="F32" s="703" t="n">
        <v>7912.17</v>
      </c>
      <c r="G32" s="703" t="n">
        <v>9772.918148000001</v>
      </c>
      <c r="H32" s="703" t="n">
        <v>661.23135</v>
      </c>
      <c r="I32" s="703" t="n">
        <v>0</v>
      </c>
      <c r="J32" s="703" t="n">
        <v>0</v>
      </c>
      <c r="K32" s="703">
        <f>SUM(H32:J32)</f>
        <v/>
      </c>
      <c r="L32" s="703" t="n">
        <v>2009.44</v>
      </c>
      <c r="M32" s="703" t="n">
        <v>646.53732</v>
      </c>
      <c r="N32" s="703" t="n">
        <v>131.738053</v>
      </c>
      <c r="O32" s="703">
        <f>SUM(L32:N32)</f>
        <v/>
      </c>
      <c r="P32" s="703" t="n">
        <v>1610.465688</v>
      </c>
      <c r="Q32" s="703" t="n">
        <v>110.192882</v>
      </c>
      <c r="R32" s="703" t="n">
        <v>23.921364</v>
      </c>
      <c r="S32" s="703">
        <f>SUM(P32:R32)</f>
        <v/>
      </c>
      <c r="T32" s="703" t="n">
        <v>1602.628872</v>
      </c>
      <c r="U32" s="703" t="n">
        <v>0</v>
      </c>
      <c r="V32" s="703" t="n">
        <v>42.539952</v>
      </c>
      <c r="W32" s="703">
        <f>SUM(T32:V32)</f>
        <v/>
      </c>
      <c r="X32" s="703" t="n">
        <v>0</v>
      </c>
      <c r="Y32" s="703" t="n">
        <v>342.296351</v>
      </c>
      <c r="Z32" s="703" t="n">
        <v>111.159107</v>
      </c>
      <c r="AA32" s="703">
        <f>SUM(X32:Z32)</f>
        <v/>
      </c>
      <c r="AB32" s="703" t="n">
        <v>440.8209</v>
      </c>
      <c r="AC32" s="703" t="n">
        <v>0</v>
      </c>
      <c r="AD32" s="703" t="n">
        <v>27.757259</v>
      </c>
      <c r="AE32" s="703">
        <f>SUM(AB32:AD32)</f>
        <v/>
      </c>
      <c r="AF32" s="703" t="n">
        <v>1313.905711</v>
      </c>
      <c r="AG32" s="724">
        <f>SUM(K32+O32+S32+W32+AA32+AE32+AF32)</f>
        <v/>
      </c>
      <c r="AH32" s="319">
        <f>IF(F32=0,"",K32/(F32/((YEAR(E32)*12+MONTH(E32))-(YEAR(D32)*12+MONTH(D32))+1)))</f>
        <v/>
      </c>
      <c r="AI32" s="319">
        <f>G32/F32</f>
        <v/>
      </c>
      <c r="AJ32" s="724">
        <f>F32-G32</f>
        <v/>
      </c>
      <c r="AK32" s="321">
        <f>SUM(F32:F33)</f>
        <v/>
      </c>
      <c r="AL32" s="322">
        <f>AL34</f>
        <v/>
      </c>
      <c r="AM32" s="725">
        <f>AM34</f>
        <v/>
      </c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</row>
    <row r="33" outlineLevel="1" ht="14.25" customFormat="1" customHeight="1" s="483">
      <c r="A33" s="513" t="n"/>
      <c r="B33" s="707" t="inlineStr">
        <is>
          <t>理财师020</t>
        </is>
      </c>
      <c r="C33" s="707" t="inlineStr">
        <is>
          <t>私人财富管理资深顾问PWA2-5</t>
        </is>
      </c>
      <c r="D33" s="676" t="n">
        <v>46023</v>
      </c>
      <c r="E33" s="676" t="n">
        <v>46203</v>
      </c>
      <c r="F33" s="707" t="n">
        <v>15907.32</v>
      </c>
      <c r="G33" s="707" t="n">
        <v>49079.812318</v>
      </c>
      <c r="H33" s="707" t="n">
        <v>1319.494117</v>
      </c>
      <c r="I33" s="707" t="n">
        <v>0</v>
      </c>
      <c r="J33" s="707" t="n">
        <v>0</v>
      </c>
      <c r="K33" s="707">
        <f>SUM(H33:J33)</f>
        <v/>
      </c>
      <c r="L33" s="707" t="n">
        <v>7288.783433</v>
      </c>
      <c r="M33" s="707" t="n">
        <v>601.58592</v>
      </c>
      <c r="N33" s="707" t="n">
        <v>616.2783460000001</v>
      </c>
      <c r="O33" s="707">
        <f>SUM(L33:N33)</f>
        <v/>
      </c>
      <c r="P33" s="707" t="n">
        <v>8333.122670999999</v>
      </c>
      <c r="Q33" s="707" t="n">
        <v>0</v>
      </c>
      <c r="R33" s="707" t="n">
        <v>378.574951</v>
      </c>
      <c r="S33" s="707">
        <f>SUM(P33:R33)</f>
        <v/>
      </c>
      <c r="T33" s="707" t="n">
        <v>1259.210798</v>
      </c>
      <c r="U33" s="707" t="n">
        <v>3101.9274</v>
      </c>
      <c r="V33" s="707" t="n">
        <v>318.667286</v>
      </c>
      <c r="W33" s="707">
        <f>SUM(T33:V33)</f>
        <v/>
      </c>
      <c r="X33" s="707" t="n">
        <v>10803.329409</v>
      </c>
      <c r="Y33" s="707" t="n">
        <v>0</v>
      </c>
      <c r="Z33" s="707" t="n">
        <v>396.373158</v>
      </c>
      <c r="AA33" s="707">
        <f>SUM(X33:Z33)</f>
        <v/>
      </c>
      <c r="AB33" s="707" t="n">
        <v>6594.535422</v>
      </c>
      <c r="AC33" s="707" t="n">
        <v>0</v>
      </c>
      <c r="AD33" s="707" t="n">
        <v>271.914403</v>
      </c>
      <c r="AE33" s="707">
        <f>SUM(AB33:AD33)</f>
        <v/>
      </c>
      <c r="AF33" s="707" t="n">
        <v>9115.509121999999</v>
      </c>
      <c r="AG33" s="271">
        <f>SUM(K33+O33+S33+W33+AA33+AE33+AF33)</f>
        <v/>
      </c>
      <c r="AH33" s="326">
        <f>IF(F33=0,"",K33/(F33/((YEAR(E33)*12+MONTH(E33))-(YEAR(D33)*12+MONTH(D33))+1)))</f>
        <v/>
      </c>
      <c r="AI33" s="326">
        <f>G33/F33</f>
        <v/>
      </c>
      <c r="AJ33" s="708">
        <f>F33-G33</f>
        <v/>
      </c>
      <c r="AK33" s="513" t="n"/>
      <c r="AL33" s="513" t="n"/>
      <c r="AM33" s="513" t="n"/>
      <c r="AN33" s="706" t="inlineStr"/>
      <c r="AO33" s="706" t="inlineStr"/>
      <c r="AP33" s="706" t="inlineStr"/>
      <c r="AQ33" s="706" t="inlineStr"/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</row>
    <row r="34" outlineLevel="1" ht="14.25" customFormat="1" customHeight="1" s="483">
      <c r="A34" s="710" t="inlineStr">
        <is>
          <t>合计</t>
        </is>
      </c>
      <c r="B34" s="518" t="n"/>
      <c r="C34" s="518" t="n"/>
      <c r="D34" s="518" t="n"/>
      <c r="E34" s="578" t="n"/>
      <c r="F34" s="333">
        <f>SUM(F32:F33)</f>
        <v/>
      </c>
      <c r="G34" s="710">
        <f>SUM(G32:G33)</f>
        <v/>
      </c>
      <c r="H34" s="710">
        <f>SUM(H32:H33)</f>
        <v/>
      </c>
      <c r="I34" s="710">
        <f>SUM(I32:I33)</f>
        <v/>
      </c>
      <c r="J34" s="710">
        <f>SUM(J32:J33)</f>
        <v/>
      </c>
      <c r="K34" s="710">
        <f>SUM(K32:K33)</f>
        <v/>
      </c>
      <c r="L34" s="710">
        <f>SUM(L32:L33)</f>
        <v/>
      </c>
      <c r="M34" s="710">
        <f>SUM(M32:M33)</f>
        <v/>
      </c>
      <c r="N34" s="710">
        <f>SUM(N32:N33)</f>
        <v/>
      </c>
      <c r="O34" s="710">
        <f>SUM(O32:O33)</f>
        <v/>
      </c>
      <c r="P34" s="710">
        <f>SUM(P32:P33)</f>
        <v/>
      </c>
      <c r="Q34" s="710">
        <f>SUM(Q32:Q33)</f>
        <v/>
      </c>
      <c r="R34" s="710">
        <f>SUM(R32:R33)</f>
        <v/>
      </c>
      <c r="S34" s="710">
        <f>SUM(S32:S33)</f>
        <v/>
      </c>
      <c r="T34" s="710">
        <f>SUM(T32:T33)</f>
        <v/>
      </c>
      <c r="U34" s="710">
        <f>SUM(U32:U33)</f>
        <v/>
      </c>
      <c r="V34" s="710">
        <f>SUM(V32:V33)</f>
        <v/>
      </c>
      <c r="W34" s="710">
        <f>SUM(W32:W33)</f>
        <v/>
      </c>
      <c r="X34" s="710">
        <f>SUM(X32:X33)</f>
        <v/>
      </c>
      <c r="Y34" s="710">
        <f>SUM(Y32:Y33)</f>
        <v/>
      </c>
      <c r="Z34" s="710">
        <f>SUM(Z32:Z33)</f>
        <v/>
      </c>
      <c r="AA34" s="710">
        <f>SUM(AA32:AA33)</f>
        <v/>
      </c>
      <c r="AB34" s="710">
        <f>SUM(AB32:AB33)</f>
        <v/>
      </c>
      <c r="AC34" s="710">
        <f>SUM(AC32:AC33)</f>
        <v/>
      </c>
      <c r="AD34" s="710">
        <f>SUM(AD32:AD33)</f>
        <v/>
      </c>
      <c r="AE34" s="710">
        <f>SUM(AE32:AE33)</f>
        <v/>
      </c>
      <c r="AF34" s="710">
        <f>SUM(AF32:AF33)</f>
        <v/>
      </c>
      <c r="AG34" s="333">
        <f>SUM(K34+O34+S34+W34+AA34+AE34+AF34)</f>
        <v/>
      </c>
      <c r="AH34" s="335">
        <f>IF(F34=0,"",K34/(F34/((YEAR(E32)*12+MONTH(E32))-(YEAR(D32)*12+MONTH(D32))+1)))</f>
        <v/>
      </c>
      <c r="AI34" s="336">
        <f>G34/F34</f>
        <v/>
      </c>
      <c r="AJ34" s="715">
        <f>F34-G34</f>
        <v/>
      </c>
      <c r="AK34" s="337">
        <f>AK32</f>
        <v/>
      </c>
      <c r="AL34" s="335">
        <f>AG34/AK32</f>
        <v/>
      </c>
      <c r="AM34" s="712">
        <f>AK32-AG34</f>
        <v/>
      </c>
      <c r="AN34" s="713" t="inlineStr"/>
      <c r="AO34" s="713" t="inlineStr"/>
      <c r="AP34" s="713" t="inlineStr"/>
      <c r="AQ34" s="713" t="inlineStr"/>
      <c r="AR34" s="713" t="inlineStr"/>
      <c r="AS34" s="713" t="inlineStr"/>
      <c r="AT34" s="713" t="inlineStr"/>
      <c r="AU34" s="713" t="inlineStr"/>
      <c r="AV34" s="713" t="inlineStr"/>
      <c r="AW34" s="713" t="inlineStr"/>
      <c r="AX34" s="713" t="inlineStr"/>
      <c r="AY34" s="713" t="inlineStr"/>
      <c r="AZ34" s="713" t="inlineStr"/>
      <c r="BA34" s="713" t="inlineStr"/>
      <c r="BB34" s="713" t="inlineStr"/>
      <c r="BC34" s="713" t="inlineStr"/>
      <c r="BD34" s="713" t="inlineStr"/>
      <c r="BE34" s="713" t="inlineStr"/>
      <c r="BF34" s="713" t="inlineStr"/>
      <c r="BG34" s="713" t="inlineStr"/>
      <c r="BH34" s="713" t="inlineStr"/>
      <c r="BI34" s="713" t="inlineStr"/>
      <c r="BJ34" s="713" t="inlineStr"/>
      <c r="BK34" s="713" t="inlineStr"/>
      <c r="BL34" s="713" t="inlineStr"/>
      <c r="BM34" s="713" t="inlineStr"/>
    </row>
    <row r="35" outlineLevel="1" ht="14.25" customFormat="1" customHeight="1" s="483">
      <c r="A35" s="703" t="inlineStr">
        <is>
          <t>理财师005</t>
        </is>
      </c>
      <c r="B35" s="703" t="inlineStr">
        <is>
          <t>理财师030</t>
        </is>
      </c>
      <c r="C35" s="703" t="inlineStr">
        <is>
          <t>私人财富管理顾问PWA1-1</t>
        </is>
      </c>
      <c r="D35" s="693" t="n">
        <v>46195</v>
      </c>
      <c r="E35" s="693" t="n">
        <v>46377</v>
      </c>
      <c r="F35" s="703" t="n">
        <v>7461.34</v>
      </c>
      <c r="G35" s="703" t="n">
        <v>248.422704</v>
      </c>
      <c r="H35" s="703" t="n">
        <v>0</v>
      </c>
      <c r="I35" s="703" t="n">
        <v>0</v>
      </c>
      <c r="J35" s="703" t="n">
        <v>0</v>
      </c>
      <c r="K35" s="703">
        <f>SUM(H35:J35)</f>
        <v/>
      </c>
      <c r="L35" s="703" t="n">
        <v>247.0689</v>
      </c>
      <c r="M35" s="703" t="n">
        <v>0</v>
      </c>
      <c r="N35" s="703" t="n">
        <v>1.353804</v>
      </c>
      <c r="O35" s="703">
        <f>SUM(L35:N35)</f>
        <v/>
      </c>
      <c r="P35" s="703" t="n">
        <v>0</v>
      </c>
      <c r="Q35" s="703" t="n">
        <v>0</v>
      </c>
      <c r="R35" s="703" t="n">
        <v>0</v>
      </c>
      <c r="S35" s="703">
        <f>SUM(P35:R35)</f>
        <v/>
      </c>
      <c r="T35" s="703" t="n">
        <v>0</v>
      </c>
      <c r="U35" s="703" t="n">
        <v>0</v>
      </c>
      <c r="V35" s="703" t="n">
        <v>0</v>
      </c>
      <c r="W35" s="703">
        <f>SUM(T35:V35)</f>
        <v/>
      </c>
      <c r="X35" s="703" t="n">
        <v>0</v>
      </c>
      <c r="Y35" s="703" t="n">
        <v>0</v>
      </c>
      <c r="Z35" s="703" t="n">
        <v>0</v>
      </c>
      <c r="AA35" s="703">
        <f>SUM(X35:Z35)</f>
        <v/>
      </c>
      <c r="AB35" s="703" t="n">
        <v>0</v>
      </c>
      <c r="AC35" s="703" t="n">
        <v>0</v>
      </c>
      <c r="AD35" s="703" t="n">
        <v>0</v>
      </c>
      <c r="AE35" s="703">
        <f>SUM(AB35:AD35)</f>
        <v/>
      </c>
      <c r="AF35" s="703" t="n">
        <v>0</v>
      </c>
      <c r="AG35" s="724">
        <f>SUM(K35+O35+S35+W35+AA35+AE35+AF35)</f>
        <v/>
      </c>
      <c r="AH35" s="319">
        <f>IF(F35=0,"",K35/(F35/((YEAR(E35)*12+MONTH(E35))-(YEAR(D35)*12+MONTH(D35))+1)))</f>
        <v/>
      </c>
      <c r="AI35" s="319">
        <f>G35/F35</f>
        <v/>
      </c>
      <c r="AJ35" s="724">
        <f>F35-G35</f>
        <v/>
      </c>
      <c r="AK35" s="321">
        <f>SUM(F35:F37)</f>
        <v/>
      </c>
      <c r="AL35" s="322">
        <f>AL38</f>
        <v/>
      </c>
      <c r="AM35" s="725">
        <f>AM38</f>
        <v/>
      </c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</row>
    <row r="36" outlineLevel="1" ht="14.25" customFormat="1" customHeight="1" s="483">
      <c r="A36" s="500" t="n"/>
      <c r="B36" s="707" t="inlineStr">
        <is>
          <t>理财师026</t>
        </is>
      </c>
      <c r="C36" s="707" t="inlineStr">
        <is>
          <t>观察期PWA0-1</t>
        </is>
      </c>
      <c r="D36" s="676" t="n">
        <v>46113</v>
      </c>
      <c r="E36" s="676" t="n">
        <v>46203</v>
      </c>
      <c r="F36" s="707" t="n">
        <v>1943.13</v>
      </c>
      <c r="G36" s="707" t="n">
        <v>465.414758</v>
      </c>
      <c r="H36" s="707" t="n">
        <v>0</v>
      </c>
      <c r="I36" s="707" t="n">
        <v>0</v>
      </c>
      <c r="J36" s="707" t="n">
        <v>0</v>
      </c>
      <c r="K36" s="707">
        <f>SUM(H36:J36)</f>
        <v/>
      </c>
      <c r="L36" s="707" t="n">
        <v>288.6936</v>
      </c>
      <c r="M36" s="707" t="n">
        <v>0</v>
      </c>
      <c r="N36" s="707" t="n">
        <v>29.506523</v>
      </c>
      <c r="O36" s="707">
        <f>SUM(L36:N36)</f>
        <v/>
      </c>
      <c r="P36" s="707" t="n">
        <v>114.611359</v>
      </c>
      <c r="Q36" s="707" t="n">
        <v>0</v>
      </c>
      <c r="R36" s="707" t="n">
        <v>18.055825</v>
      </c>
      <c r="S36" s="707">
        <f>SUM(P36:R36)</f>
        <v/>
      </c>
      <c r="T36" s="707" t="n">
        <v>0</v>
      </c>
      <c r="U36" s="707" t="n">
        <v>0</v>
      </c>
      <c r="V36" s="707" t="n">
        <v>14.547451</v>
      </c>
      <c r="W36" s="707">
        <f>SUM(T36:V36)</f>
        <v/>
      </c>
      <c r="X36" s="707" t="n">
        <v>809.929895</v>
      </c>
      <c r="Y36" s="707" t="n">
        <v>0</v>
      </c>
      <c r="Z36" s="707" t="n">
        <v>47.501776</v>
      </c>
      <c r="AA36" s="707">
        <f>SUM(X36:Z36)</f>
        <v/>
      </c>
      <c r="AB36" s="707" t="n">
        <v>176.20858</v>
      </c>
      <c r="AC36" s="707" t="n">
        <v>0</v>
      </c>
      <c r="AD36" s="707" t="n">
        <v>11.404098</v>
      </c>
      <c r="AE36" s="707">
        <f>SUM(AB36:AD36)</f>
        <v/>
      </c>
      <c r="AF36" s="707" t="n">
        <v>12.282809</v>
      </c>
      <c r="AG36" s="271">
        <f>SUM(K36+O36+S36+W36+AA36+AE36+AF36)</f>
        <v/>
      </c>
      <c r="AH36" s="326">
        <f>IF(F36=0,"",K36/(F36/((YEAR(E36)*12+MONTH(E36))-(YEAR(D36)*12+MONTH(D36))+1)))</f>
        <v/>
      </c>
      <c r="AI36" s="326">
        <f>G36/F36</f>
        <v/>
      </c>
      <c r="AJ36" s="708">
        <f>F36-G36</f>
        <v/>
      </c>
      <c r="AK36" s="500" t="n"/>
      <c r="AL36" s="500" t="n"/>
      <c r="AM36" s="500" t="n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</row>
    <row r="37" outlineLevel="1" ht="14.25" customFormat="1" customHeight="1" s="483">
      <c r="A37" s="513" t="n"/>
      <c r="B37" s="707" t="inlineStr">
        <is>
          <t>理财师005</t>
        </is>
      </c>
      <c r="C37" s="707" t="inlineStr">
        <is>
          <t>私人财富管理资深顾问PWA2-4</t>
        </is>
      </c>
      <c r="D37" s="676" t="n">
        <v>46054</v>
      </c>
      <c r="E37" s="676" t="n">
        <v>46203</v>
      </c>
      <c r="F37" s="707" t="n">
        <v>9610.6</v>
      </c>
      <c r="G37" s="707" t="n">
        <v>15165.397152</v>
      </c>
      <c r="H37" s="707" t="n">
        <v>642.249223</v>
      </c>
      <c r="I37" s="707" t="n">
        <v>0</v>
      </c>
      <c r="J37" s="707" t="n">
        <v>0</v>
      </c>
      <c r="K37" s="707">
        <f>SUM(H37:J37)</f>
        <v/>
      </c>
      <c r="L37" s="707" t="n">
        <v>3750.483593</v>
      </c>
      <c r="M37" s="707" t="n">
        <v>0</v>
      </c>
      <c r="N37" s="707" t="n">
        <v>577.6405150000001</v>
      </c>
      <c r="O37" s="707">
        <f>SUM(L37:N37)</f>
        <v/>
      </c>
      <c r="P37" s="707" t="n">
        <v>907.591957</v>
      </c>
      <c r="Q37" s="707" t="n">
        <v>0</v>
      </c>
      <c r="R37" s="707" t="n">
        <v>364.243787</v>
      </c>
      <c r="S37" s="707">
        <f>SUM(P37:R37)</f>
        <v/>
      </c>
      <c r="T37" s="707" t="n">
        <v>1870.349984</v>
      </c>
      <c r="U37" s="707" t="n">
        <v>2312.474666</v>
      </c>
      <c r="V37" s="707" t="n">
        <v>319.48223</v>
      </c>
      <c r="W37" s="707">
        <f>SUM(T37:V37)</f>
        <v/>
      </c>
      <c r="X37" s="707" t="n">
        <v>731.292658</v>
      </c>
      <c r="Y37" s="707" t="n">
        <v>1925.150771</v>
      </c>
      <c r="Z37" s="707" t="n">
        <v>383.775324</v>
      </c>
      <c r="AA37" s="707">
        <f>SUM(X37:Z37)</f>
        <v/>
      </c>
      <c r="AB37" s="707" t="n">
        <v>1738.204897</v>
      </c>
      <c r="AC37" s="707" t="n">
        <v>0</v>
      </c>
      <c r="AD37" s="707" t="n">
        <v>284.706769</v>
      </c>
      <c r="AE37" s="707">
        <f>SUM(AB37:AD37)</f>
        <v/>
      </c>
      <c r="AF37" s="707" t="n">
        <v>1538.392041</v>
      </c>
      <c r="AG37" s="271">
        <f>SUM(K37+O37+S37+W37+AA37+AE37+AF37)</f>
        <v/>
      </c>
      <c r="AH37" s="326">
        <f>IF(F37=0,"",K37/(F37/((YEAR(E37)*12+MONTH(E37))-(YEAR(D37)*12+MONTH(D37))+1)))</f>
        <v/>
      </c>
      <c r="AI37" s="326">
        <f>G37/F37</f>
        <v/>
      </c>
      <c r="AJ37" s="708">
        <f>F37-G37</f>
        <v/>
      </c>
      <c r="AK37" s="513" t="n"/>
      <c r="AL37" s="513" t="n"/>
      <c r="AM37" s="513" t="n"/>
      <c r="AN37" s="706" t="inlineStr"/>
      <c r="AO37" s="706" t="inlineStr"/>
      <c r="AP37" s="706" t="inlineStr"/>
      <c r="AQ37" s="706" t="inlineStr"/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</row>
    <row r="38" outlineLevel="1" ht="14.25" customFormat="1" customHeight="1" s="483">
      <c r="A38" s="710" t="inlineStr">
        <is>
          <t>合计</t>
        </is>
      </c>
      <c r="B38" s="518" t="n"/>
      <c r="C38" s="518" t="n"/>
      <c r="D38" s="518" t="n"/>
      <c r="E38" s="578" t="n"/>
      <c r="F38" s="333">
        <f>SUM(F35:F37)</f>
        <v/>
      </c>
      <c r="G38" s="710">
        <f>SUM(G35:G37)</f>
        <v/>
      </c>
      <c r="H38" s="710">
        <f>SUM(H35:H37)</f>
        <v/>
      </c>
      <c r="I38" s="710">
        <f>SUM(I35:I37)</f>
        <v/>
      </c>
      <c r="J38" s="710">
        <f>SUM(J35:J37)</f>
        <v/>
      </c>
      <c r="K38" s="710">
        <f>SUM(K35:K37)</f>
        <v/>
      </c>
      <c r="L38" s="710">
        <f>SUM(L35:L37)</f>
        <v/>
      </c>
      <c r="M38" s="710">
        <f>SUM(M35:M37)</f>
        <v/>
      </c>
      <c r="N38" s="710">
        <f>SUM(N35:N37)</f>
        <v/>
      </c>
      <c r="O38" s="710">
        <f>SUM(O35:O37)</f>
        <v/>
      </c>
      <c r="P38" s="710">
        <f>SUM(P35:P37)</f>
        <v/>
      </c>
      <c r="Q38" s="710">
        <f>SUM(Q35:Q37)</f>
        <v/>
      </c>
      <c r="R38" s="710">
        <f>SUM(R35:R37)</f>
        <v/>
      </c>
      <c r="S38" s="710">
        <f>SUM(S35:S37)</f>
        <v/>
      </c>
      <c r="T38" s="710">
        <f>SUM(T35:T37)</f>
        <v/>
      </c>
      <c r="U38" s="710">
        <f>SUM(U35:U37)</f>
        <v/>
      </c>
      <c r="V38" s="710">
        <f>SUM(V35:V37)</f>
        <v/>
      </c>
      <c r="W38" s="710">
        <f>SUM(W35:W37)</f>
        <v/>
      </c>
      <c r="X38" s="710">
        <f>SUM(X35:X37)</f>
        <v/>
      </c>
      <c r="Y38" s="710">
        <f>SUM(Y35:Y37)</f>
        <v/>
      </c>
      <c r="Z38" s="710">
        <f>SUM(Z35:Z37)</f>
        <v/>
      </c>
      <c r="AA38" s="710">
        <f>SUM(AA35:AA37)</f>
        <v/>
      </c>
      <c r="AB38" s="710">
        <f>SUM(AB35:AB37)</f>
        <v/>
      </c>
      <c r="AC38" s="710">
        <f>SUM(AC35:AC37)</f>
        <v/>
      </c>
      <c r="AD38" s="710">
        <f>SUM(AD35:AD37)</f>
        <v/>
      </c>
      <c r="AE38" s="710">
        <f>SUM(AE35:AE37)</f>
        <v/>
      </c>
      <c r="AF38" s="710">
        <f>SUM(AF35:AF37)</f>
        <v/>
      </c>
      <c r="AG38" s="711">
        <f>SUM(K38+O38+S38+W38+AA38+AE38+AF38)</f>
        <v/>
      </c>
      <c r="AH38" s="335">
        <f>IF(F38=0,"",K38/(F38/((YEAR(E35)*12+MONTH(E35))-(YEAR(D35)*12+MONTH(D35))+1)))</f>
        <v/>
      </c>
      <c r="AI38" s="336">
        <f>G38/F38</f>
        <v/>
      </c>
      <c r="AJ38" s="711">
        <f>F38-G38</f>
        <v/>
      </c>
      <c r="AK38" s="337">
        <f>AK35</f>
        <v/>
      </c>
      <c r="AL38" s="335">
        <f>AG38/AK35</f>
        <v/>
      </c>
      <c r="AM38" s="718">
        <f>AK35-AG38</f>
        <v/>
      </c>
      <c r="AN38" s="713" t="inlineStr"/>
      <c r="AO38" s="713" t="inlineStr"/>
      <c r="AP38" s="713" t="inlineStr"/>
      <c r="AQ38" s="713" t="inlineStr"/>
      <c r="AR38" s="713" t="inlineStr"/>
      <c r="AS38" s="713" t="inlineStr"/>
      <c r="AT38" s="713" t="inlineStr"/>
      <c r="AU38" s="713" t="inlineStr"/>
      <c r="AV38" s="713" t="inlineStr"/>
      <c r="AW38" s="713" t="inlineStr"/>
      <c r="AX38" s="713" t="inlineStr"/>
      <c r="AY38" s="713" t="inlineStr"/>
      <c r="AZ38" s="713" t="inlineStr"/>
      <c r="BA38" s="713" t="inlineStr"/>
      <c r="BB38" s="713" t="inlineStr"/>
      <c r="BC38" s="713" t="inlineStr"/>
      <c r="BD38" s="713" t="inlineStr"/>
      <c r="BE38" s="713" t="inlineStr"/>
      <c r="BF38" s="713" t="inlineStr"/>
      <c r="BG38" s="713" t="inlineStr"/>
      <c r="BH38" s="713" t="inlineStr"/>
      <c r="BI38" s="713" t="inlineStr"/>
      <c r="BJ38" s="713" t="inlineStr"/>
      <c r="BK38" s="713" t="inlineStr"/>
      <c r="BL38" s="713" t="inlineStr"/>
      <c r="BM38" s="713" t="inlineStr"/>
    </row>
    <row r="39" outlineLevel="1" ht="14.25" customFormat="1" customHeight="1" s="483">
      <c r="A39" s="703" t="inlineStr">
        <is>
          <t>理财师008</t>
        </is>
      </c>
      <c r="B39" s="703" t="inlineStr">
        <is>
          <t>理财师011</t>
        </is>
      </c>
      <c r="C39" s="703" t="inlineStr">
        <is>
          <t>私人财富管理资深顾问PWA2-2</t>
        </is>
      </c>
      <c r="D39" s="693" t="n">
        <v>46023</v>
      </c>
      <c r="E39" s="693" t="n">
        <v>46203</v>
      </c>
      <c r="F39" s="703" t="n">
        <v>5045.88</v>
      </c>
      <c r="G39" s="703" t="n">
        <v>4607.766238</v>
      </c>
      <c r="H39" s="703" t="n">
        <v>84.068866</v>
      </c>
      <c r="I39" s="703" t="n">
        <v>0</v>
      </c>
      <c r="J39" s="703" t="n">
        <v>0</v>
      </c>
      <c r="K39" s="703">
        <f>SUM(H39:J39)</f>
        <v/>
      </c>
      <c r="L39" s="703" t="n">
        <v>564.94934</v>
      </c>
      <c r="M39" s="703" t="n">
        <v>0</v>
      </c>
      <c r="N39" s="703" t="n">
        <v>82.099047</v>
      </c>
      <c r="O39" s="703">
        <f>SUM(L39:N39)</f>
        <v/>
      </c>
      <c r="P39" s="703" t="n">
        <v>0</v>
      </c>
      <c r="Q39" s="703" t="n">
        <v>3092.4036</v>
      </c>
      <c r="R39" s="703" t="n">
        <v>61.007408</v>
      </c>
      <c r="S39" s="703">
        <f>SUM(P39:R39)</f>
        <v/>
      </c>
      <c r="T39" s="703" t="n">
        <v>178.04748</v>
      </c>
      <c r="U39" s="703" t="n">
        <v>0</v>
      </c>
      <c r="V39" s="703" t="n">
        <v>32.11807</v>
      </c>
      <c r="W39" s="703">
        <f>SUM(T39:V39)</f>
        <v/>
      </c>
      <c r="X39" s="703" t="n">
        <v>47.229437</v>
      </c>
      <c r="Y39" s="703" t="n">
        <v>0</v>
      </c>
      <c r="Z39" s="703" t="n">
        <v>24.120644</v>
      </c>
      <c r="AA39" s="703">
        <f>SUM(X39:Z39)</f>
        <v/>
      </c>
      <c r="AB39" s="703" t="n">
        <v>524.574731</v>
      </c>
      <c r="AC39" s="703" t="n">
        <v>0</v>
      </c>
      <c r="AD39" s="703" t="n">
        <v>1.216481</v>
      </c>
      <c r="AE39" s="703">
        <f>SUM(AB39:AD39)</f>
        <v/>
      </c>
      <c r="AF39" s="703" t="n">
        <v>0</v>
      </c>
      <c r="AG39" s="318">
        <f>SUM(K39+O39+S39+W39+AA39+AE39+AF39)</f>
        <v/>
      </c>
      <c r="AH39" s="319">
        <f>IF(F39=0,"",K39/(F39/((YEAR(E39)*12+MONTH(E39))-(YEAR(D39)*12+MONTH(D39))+1)))</f>
        <v/>
      </c>
      <c r="AI39" s="319">
        <f>G39/F39</f>
        <v/>
      </c>
      <c r="AJ39" s="704">
        <f>F39-G39</f>
        <v/>
      </c>
      <c r="AK39" s="321">
        <f>SUM(F39:F40)</f>
        <v/>
      </c>
      <c r="AL39" s="322">
        <f>AL41</f>
        <v/>
      </c>
      <c r="AM39" s="717">
        <f>AM41</f>
        <v/>
      </c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</row>
    <row r="40" outlineLevel="1" ht="14.25" customFormat="1" customHeight="1" s="483">
      <c r="A40" s="513" t="n"/>
      <c r="B40" s="707" t="inlineStr">
        <is>
          <t>理财师008</t>
        </is>
      </c>
      <c r="C40" s="707" t="inlineStr">
        <is>
          <t>私人财富管理专家PWA4-2</t>
        </is>
      </c>
      <c r="D40" s="676" t="n">
        <v>46023</v>
      </c>
      <c r="E40" s="676" t="n">
        <v>46203</v>
      </c>
      <c r="F40" s="707" t="n">
        <v>24202.22</v>
      </c>
      <c r="G40" s="707" t="n">
        <v>30908.450689</v>
      </c>
      <c r="H40" s="707" t="n">
        <v>1245.549558</v>
      </c>
      <c r="I40" s="707" t="n">
        <v>0</v>
      </c>
      <c r="J40" s="707" t="n">
        <v>0</v>
      </c>
      <c r="K40" s="707">
        <f>SUM(H40:J40)</f>
        <v/>
      </c>
      <c r="L40" s="707" t="n">
        <v>3874.376797</v>
      </c>
      <c r="M40" s="707" t="n">
        <v>253.81824</v>
      </c>
      <c r="N40" s="707" t="n">
        <v>414.138443</v>
      </c>
      <c r="O40" s="707">
        <f>SUM(L40:N40)</f>
        <v/>
      </c>
      <c r="P40" s="707" t="n">
        <v>5263.972173</v>
      </c>
      <c r="Q40" s="707" t="n">
        <v>1110.4548</v>
      </c>
      <c r="R40" s="707" t="n">
        <v>271.92657</v>
      </c>
      <c r="S40" s="707">
        <f>SUM(P40:R40)</f>
        <v/>
      </c>
      <c r="T40" s="707" t="n">
        <v>3533.62581</v>
      </c>
      <c r="U40" s="707" t="n">
        <v>2435.06874</v>
      </c>
      <c r="V40" s="707" t="n">
        <v>188.462147</v>
      </c>
      <c r="W40" s="707">
        <f>SUM(T40:V40)</f>
        <v/>
      </c>
      <c r="X40" s="707" t="n">
        <v>9546.464904</v>
      </c>
      <c r="Y40" s="707" t="n">
        <v>0</v>
      </c>
      <c r="Z40" s="707" t="n">
        <v>401.214551</v>
      </c>
      <c r="AA40" s="707">
        <f>SUM(X40:Z40)</f>
        <v/>
      </c>
      <c r="AB40" s="707" t="n">
        <v>1081.878995</v>
      </c>
      <c r="AC40" s="707" t="n">
        <v>523.50012</v>
      </c>
      <c r="AD40" s="707" t="n">
        <v>135.589522</v>
      </c>
      <c r="AE40" s="707">
        <f>SUM(AB40:AD40)</f>
        <v/>
      </c>
      <c r="AF40" s="707" t="n">
        <v>1873.958877</v>
      </c>
      <c r="AG40" s="271">
        <f>SUM(K40+O40+S40+W40+AA40+AE40+AF40)</f>
        <v/>
      </c>
      <c r="AH40" s="326">
        <f>IF(F40=0,"",K40/(F40/((YEAR(E40)*12+MONTH(E40))-(YEAR(D40)*12+MONTH(D40))+1)))</f>
        <v/>
      </c>
      <c r="AI40" s="326">
        <f>G40/F40</f>
        <v/>
      </c>
      <c r="AJ40" s="708">
        <f>F40-G40</f>
        <v/>
      </c>
      <c r="AK40" s="513" t="n"/>
      <c r="AL40" s="513" t="n"/>
      <c r="AM40" s="513" t="n"/>
      <c r="AN40" s="706" t="inlineStr"/>
      <c r="AO40" s="706" t="inlineStr"/>
      <c r="AP40" s="706" t="inlineStr"/>
      <c r="AQ40" s="706" t="inlineStr"/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</row>
    <row r="41" outlineLevel="1" ht="14.25" customFormat="1" customHeight="1" s="483">
      <c r="A41" s="710" t="inlineStr">
        <is>
          <t>合计</t>
        </is>
      </c>
      <c r="B41" s="518" t="n"/>
      <c r="C41" s="518" t="n"/>
      <c r="D41" s="518" t="n"/>
      <c r="E41" s="578" t="n"/>
      <c r="F41" s="333">
        <f>SUM(F39:F40)</f>
        <v/>
      </c>
      <c r="G41" s="710">
        <f>SUM(G39:G40)</f>
        <v/>
      </c>
      <c r="H41" s="710">
        <f>SUM(H39:H40)</f>
        <v/>
      </c>
      <c r="I41" s="710">
        <f>SUM(I39:I40)</f>
        <v/>
      </c>
      <c r="J41" s="710">
        <f>SUM(J39:J40)</f>
        <v/>
      </c>
      <c r="K41" s="710">
        <f>SUM(K39:K40)</f>
        <v/>
      </c>
      <c r="L41" s="710">
        <f>SUM(L39:L40)</f>
        <v/>
      </c>
      <c r="M41" s="710">
        <f>SUM(M39:M40)</f>
        <v/>
      </c>
      <c r="N41" s="710">
        <f>SUM(N39:N40)</f>
        <v/>
      </c>
      <c r="O41" s="710">
        <f>SUM(O39:O40)</f>
        <v/>
      </c>
      <c r="P41" s="710">
        <f>SUM(P39:P40)</f>
        <v/>
      </c>
      <c r="Q41" s="710">
        <f>SUM(Q39:Q40)</f>
        <v/>
      </c>
      <c r="R41" s="710">
        <f>SUM(R39:R40)</f>
        <v/>
      </c>
      <c r="S41" s="710">
        <f>SUM(S39:S40)</f>
        <v/>
      </c>
      <c r="T41" s="710">
        <f>SUM(T39:T40)</f>
        <v/>
      </c>
      <c r="U41" s="710">
        <f>SUM(U39:U40)</f>
        <v/>
      </c>
      <c r="V41" s="710">
        <f>SUM(V39:V40)</f>
        <v/>
      </c>
      <c r="W41" s="710">
        <f>SUM(W39:W40)</f>
        <v/>
      </c>
      <c r="X41" s="710">
        <f>SUM(X39:X40)</f>
        <v/>
      </c>
      <c r="Y41" s="710">
        <f>SUM(Y39:Y40)</f>
        <v/>
      </c>
      <c r="Z41" s="710">
        <f>SUM(Z39:Z40)</f>
        <v/>
      </c>
      <c r="AA41" s="710">
        <f>SUM(AA39:AA40)</f>
        <v/>
      </c>
      <c r="AB41" s="710">
        <f>SUM(AB39:AB40)</f>
        <v/>
      </c>
      <c r="AC41" s="710">
        <f>SUM(AC39:AC40)</f>
        <v/>
      </c>
      <c r="AD41" s="710">
        <f>SUM(AD39:AD40)</f>
        <v/>
      </c>
      <c r="AE41" s="710">
        <f>SUM(AE39:AE40)</f>
        <v/>
      </c>
      <c r="AF41" s="710">
        <f>SUM(AF39:AF40)</f>
        <v/>
      </c>
      <c r="AG41" s="711">
        <f>SUM(K41+O41+S41+W41+AA41+AE41+AF41)</f>
        <v/>
      </c>
      <c r="AH41" s="335">
        <f>IF(F41=0,"",K41/(F41/((YEAR(E39)*12+MONTH(E39))-(YEAR(D39)*12+MONTH(D39))+1)))</f>
        <v/>
      </c>
      <c r="AI41" s="336">
        <f>G41/F41</f>
        <v/>
      </c>
      <c r="AJ41" s="711">
        <f>F41-G41</f>
        <v/>
      </c>
      <c r="AK41" s="337">
        <f>AK39</f>
        <v/>
      </c>
      <c r="AL41" s="335">
        <f>AG41/AK39</f>
        <v/>
      </c>
      <c r="AM41" s="718">
        <f>AK39-AG41</f>
        <v/>
      </c>
      <c r="AN41" s="713" t="inlineStr"/>
      <c r="AO41" s="713" t="inlineStr"/>
      <c r="AP41" s="713" t="inlineStr"/>
      <c r="AQ41" s="713" t="inlineStr"/>
      <c r="AR41" s="713" t="inlineStr"/>
      <c r="AS41" s="713" t="inlineStr"/>
      <c r="AT41" s="713" t="inlineStr"/>
      <c r="AU41" s="713" t="inlineStr"/>
      <c r="AV41" s="713" t="inlineStr"/>
      <c r="AW41" s="713" t="inlineStr"/>
      <c r="AX41" s="713" t="inlineStr"/>
      <c r="AY41" s="713" t="inlineStr"/>
      <c r="AZ41" s="713" t="inlineStr"/>
      <c r="BA41" s="713" t="inlineStr"/>
      <c r="BB41" s="713" t="inlineStr"/>
      <c r="BC41" s="713" t="inlineStr"/>
      <c r="BD41" s="713" t="inlineStr"/>
      <c r="BE41" s="713" t="inlineStr"/>
      <c r="BF41" s="713" t="inlineStr"/>
      <c r="BG41" s="713" t="inlineStr"/>
      <c r="BH41" s="713" t="inlineStr"/>
      <c r="BI41" s="713" t="inlineStr"/>
      <c r="BJ41" s="713" t="inlineStr"/>
      <c r="BK41" s="713" t="inlineStr"/>
      <c r="BL41" s="713" t="inlineStr"/>
      <c r="BM41" s="713" t="inlineStr"/>
    </row>
    <row r="42" outlineLevel="1" ht="14.25" customFormat="1" customHeight="1" s="483">
      <c r="A42" s="703" t="inlineStr">
        <is>
          <t>理财师004</t>
        </is>
      </c>
      <c r="B42" s="703" t="inlineStr">
        <is>
          <t>理财师006</t>
        </is>
      </c>
      <c r="C42" s="703" t="inlineStr">
        <is>
          <t>私人财富管理专家PWA4-5</t>
        </is>
      </c>
      <c r="D42" s="693" t="n">
        <v>46023</v>
      </c>
      <c r="E42" s="693" t="n">
        <v>46203</v>
      </c>
      <c r="F42" s="703" t="n">
        <v>17235</v>
      </c>
      <c r="G42" s="703" t="n">
        <v>20206.994718</v>
      </c>
      <c r="H42" s="703" t="n">
        <v>1938.142967</v>
      </c>
      <c r="I42" s="703" t="n">
        <v>0</v>
      </c>
      <c r="J42" s="703" t="n">
        <v>0</v>
      </c>
      <c r="K42" s="703">
        <f>SUM(H42:J42)</f>
        <v/>
      </c>
      <c r="L42" s="703" t="n">
        <v>2686.912949</v>
      </c>
      <c r="M42" s="703" t="n">
        <v>384.193382</v>
      </c>
      <c r="N42" s="703" t="n">
        <v>712.227223</v>
      </c>
      <c r="O42" s="703">
        <f>SUM(L42:N42)</f>
        <v/>
      </c>
      <c r="P42" s="703" t="n">
        <v>3250.598551</v>
      </c>
      <c r="Q42" s="703" t="n">
        <v>241.63794</v>
      </c>
      <c r="R42" s="703" t="n">
        <v>443.427462</v>
      </c>
      <c r="S42" s="703">
        <f>SUM(P42:R42)</f>
        <v/>
      </c>
      <c r="T42" s="703" t="n">
        <v>1492.14231</v>
      </c>
      <c r="U42" s="703" t="n">
        <v>0</v>
      </c>
      <c r="V42" s="703" t="n">
        <v>381.121236</v>
      </c>
      <c r="W42" s="703">
        <f>SUM(T42:V42)</f>
        <v/>
      </c>
      <c r="X42" s="703" t="n">
        <v>2747.788321</v>
      </c>
      <c r="Y42" s="703" t="n">
        <v>0</v>
      </c>
      <c r="Z42" s="703" t="n">
        <v>613.27548</v>
      </c>
      <c r="AA42" s="703">
        <f>SUM(X42:Z42)</f>
        <v/>
      </c>
      <c r="AB42" s="703" t="n">
        <v>1566.390968</v>
      </c>
      <c r="AC42" s="703" t="n">
        <v>1037.679365</v>
      </c>
      <c r="AD42" s="703" t="n">
        <v>313.732955</v>
      </c>
      <c r="AE42" s="703">
        <f>SUM(AB42:AD42)</f>
        <v/>
      </c>
      <c r="AF42" s="703" t="n">
        <v>4335.866577</v>
      </c>
      <c r="AG42" s="318">
        <f>SUM(K42+O42+S42+W42+AA42+AE42+AF42)</f>
        <v/>
      </c>
      <c r="AH42" s="319">
        <f>IF(F42=0,"",K42/(F42/((YEAR(E42)*12+MONTH(E42))-(YEAR(D42)*12+MONTH(D42))+1)))</f>
        <v/>
      </c>
      <c r="AI42" s="319">
        <f>G42/F42</f>
        <v/>
      </c>
      <c r="AJ42" s="704">
        <f>F42-G42</f>
        <v/>
      </c>
      <c r="AK42" s="321">
        <f>SUM(F42:F46)</f>
        <v/>
      </c>
      <c r="AL42" s="322">
        <f>AL47</f>
        <v/>
      </c>
      <c r="AM42" s="717">
        <f>AM47</f>
        <v/>
      </c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</row>
    <row r="43" outlineLevel="1" ht="14.25" customFormat="1" customHeight="1" s="483">
      <c r="A43" s="500" t="n"/>
      <c r="B43" s="707" t="inlineStr">
        <is>
          <t>理财师003</t>
        </is>
      </c>
      <c r="C43" s="707" t="inlineStr">
        <is>
          <t>私人财富管理总监PWA3-3</t>
        </is>
      </c>
      <c r="D43" s="676" t="n">
        <v>46054</v>
      </c>
      <c r="E43" s="676" t="n">
        <v>46203</v>
      </c>
      <c r="F43" s="707" t="n">
        <v>18856.5</v>
      </c>
      <c r="G43" s="707" t="n">
        <v>20370.818528</v>
      </c>
      <c r="H43" s="707" t="n">
        <v>1803.331949</v>
      </c>
      <c r="I43" s="707" t="n">
        <v>0</v>
      </c>
      <c r="J43" s="707" t="n">
        <v>0</v>
      </c>
      <c r="K43" s="707">
        <f>SUM(H43:J43)</f>
        <v/>
      </c>
      <c r="L43" s="707" t="n">
        <v>3023.349137</v>
      </c>
      <c r="M43" s="707" t="n">
        <v>0</v>
      </c>
      <c r="N43" s="707" t="n">
        <v>2172.888255</v>
      </c>
      <c r="O43" s="707">
        <f>SUM(L43:N43)</f>
        <v/>
      </c>
      <c r="P43" s="707" t="n">
        <v>2530.119274</v>
      </c>
      <c r="Q43" s="707" t="n">
        <v>2029.71366</v>
      </c>
      <c r="R43" s="707" t="n">
        <v>1772.582909</v>
      </c>
      <c r="S43" s="707">
        <f>SUM(P43:R43)</f>
        <v/>
      </c>
      <c r="T43" s="707" t="n">
        <v>567.268131</v>
      </c>
      <c r="U43" s="707" t="n">
        <v>0</v>
      </c>
      <c r="V43" s="707" t="n">
        <v>1666.262563</v>
      </c>
      <c r="W43" s="707">
        <f>SUM(T43:V43)</f>
        <v/>
      </c>
      <c r="X43" s="707" t="n">
        <v>1550.383391</v>
      </c>
      <c r="Y43" s="707" t="n">
        <v>0</v>
      </c>
      <c r="Z43" s="707" t="n">
        <v>2273.498356</v>
      </c>
      <c r="AA43" s="707">
        <f>SUM(X43:Z43)</f>
        <v/>
      </c>
      <c r="AB43" s="707" t="n">
        <v>1396.194268</v>
      </c>
      <c r="AC43" s="707" t="n">
        <v>0</v>
      </c>
      <c r="AD43" s="707" t="n">
        <v>1388.558583</v>
      </c>
      <c r="AE43" s="707">
        <f>SUM(AB43:AD43)</f>
        <v/>
      </c>
      <c r="AF43" s="707" t="n">
        <v>7202.586607</v>
      </c>
      <c r="AG43" s="271">
        <f>SUM(K43+O43+S43+W43+AA43+AE43+AF43)</f>
        <v/>
      </c>
      <c r="AH43" s="326">
        <f>IF(F43=0,"",K43/(F43/((YEAR(E43)*12+MONTH(E43))-(YEAR(D43)*12+MONTH(D43))+1)))</f>
        <v/>
      </c>
      <c r="AI43" s="326">
        <f>G43/F43</f>
        <v/>
      </c>
      <c r="AJ43" s="708">
        <f>F43-G43</f>
        <v/>
      </c>
      <c r="AK43" s="500" t="n"/>
      <c r="AL43" s="500" t="n"/>
      <c r="AM43" s="500" t="n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</row>
    <row r="44" outlineLevel="1" ht="14.25" customFormat="1" customHeight="1" s="483">
      <c r="A44" s="500" t="n"/>
      <c r="B44" s="707" t="inlineStr">
        <is>
          <t>理财师029</t>
        </is>
      </c>
      <c r="C44" s="707" t="inlineStr">
        <is>
          <t>私人财富管理专家PWA4-3</t>
        </is>
      </c>
      <c r="D44" s="676" t="n">
        <v>46150</v>
      </c>
      <c r="E44" s="676" t="n">
        <v>46333</v>
      </c>
      <c r="F44" s="707" t="n">
        <v>16404.52</v>
      </c>
      <c r="G44" s="707" t="n">
        <v>1240.141597</v>
      </c>
      <c r="H44" s="707" t="n">
        <v>50.5752</v>
      </c>
      <c r="I44" s="707" t="n">
        <v>0</v>
      </c>
      <c r="J44" s="707" t="n">
        <v>0</v>
      </c>
      <c r="K44" s="707">
        <f>SUM(H44:J44)</f>
        <v/>
      </c>
      <c r="L44" s="707" t="n">
        <v>644.8338</v>
      </c>
      <c r="M44" s="707" t="n">
        <v>64.736256</v>
      </c>
      <c r="N44" s="707" t="n">
        <v>38.329254</v>
      </c>
      <c r="O44" s="707">
        <f>SUM(L44:N44)</f>
        <v/>
      </c>
      <c r="P44" s="707" t="n">
        <v>0</v>
      </c>
      <c r="Q44" s="707" t="n">
        <v>0</v>
      </c>
      <c r="R44" s="707" t="n">
        <v>20.217377</v>
      </c>
      <c r="S44" s="707">
        <f>SUM(P44:R44)</f>
        <v/>
      </c>
      <c r="T44" s="707" t="n">
        <v>410.9235</v>
      </c>
      <c r="U44" s="707" t="n">
        <v>0</v>
      </c>
      <c r="V44" s="707" t="n">
        <v>4.340061</v>
      </c>
      <c r="W44" s="707">
        <f>SUM(T44:V44)</f>
        <v/>
      </c>
      <c r="X44" s="707" t="n">
        <v>0</v>
      </c>
      <c r="Y44" s="707" t="n">
        <v>0</v>
      </c>
      <c r="Z44" s="707" t="n">
        <v>5.058234</v>
      </c>
      <c r="AA44" s="707">
        <f>SUM(X44:Z44)</f>
        <v/>
      </c>
      <c r="AB44" s="707" t="n">
        <v>0</v>
      </c>
      <c r="AC44" s="707" t="n">
        <v>0</v>
      </c>
      <c r="AD44" s="707" t="n">
        <v>1.127915</v>
      </c>
      <c r="AE44" s="707">
        <f>SUM(AB44:AD44)</f>
        <v/>
      </c>
      <c r="AF44" s="707" t="n">
        <v>0</v>
      </c>
      <c r="AG44" s="271">
        <f>SUM(K44+O44+S44+W44+AA44+AE44+AF44)</f>
        <v/>
      </c>
      <c r="AH44" s="326">
        <f>IF(F44=0,"",K44/(F44/((YEAR(E44)*12+MONTH(E44))-(YEAR(D44)*12+MONTH(D44))+1)))</f>
        <v/>
      </c>
      <c r="AI44" s="326">
        <f>G44/F44</f>
        <v/>
      </c>
      <c r="AJ44" s="708">
        <f>F44-G44</f>
        <v/>
      </c>
      <c r="AK44" s="500" t="n"/>
      <c r="AL44" s="500" t="n"/>
      <c r="AM44" s="500" t="n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</row>
    <row r="45" outlineLevel="1" ht="14.25" customFormat="1" customHeight="1" s="483">
      <c r="A45" s="500" t="n"/>
      <c r="B45" s="707" t="inlineStr">
        <is>
          <t>理财师004</t>
        </is>
      </c>
      <c r="C45" s="707" t="inlineStr"/>
      <c r="D45" s="707" t="inlineStr"/>
      <c r="E45" s="707" t="inlineStr"/>
      <c r="F45" s="707" t="n">
        <v>0</v>
      </c>
      <c r="G45" s="707" t="n">
        <v>0</v>
      </c>
      <c r="H45" s="707" t="n">
        <v>2297.386291</v>
      </c>
      <c r="I45" s="707" t="n">
        <v>0</v>
      </c>
      <c r="J45" s="707" t="n">
        <v>0</v>
      </c>
      <c r="K45" s="707">
        <f>SUM(H45:J45)</f>
        <v/>
      </c>
      <c r="L45" s="707" t="n">
        <v>1086.743489</v>
      </c>
      <c r="M45" s="707" t="n">
        <v>0</v>
      </c>
      <c r="N45" s="707" t="n">
        <v>631.560503</v>
      </c>
      <c r="O45" s="707">
        <f>SUM(L45:N45)</f>
        <v/>
      </c>
      <c r="P45" s="707" t="n">
        <v>2310.349392</v>
      </c>
      <c r="Q45" s="707" t="n">
        <v>0</v>
      </c>
      <c r="R45" s="707" t="n">
        <v>582.016803</v>
      </c>
      <c r="S45" s="707">
        <f>SUM(P45:R45)</f>
        <v/>
      </c>
      <c r="T45" s="707" t="n">
        <v>753.431552</v>
      </c>
      <c r="U45" s="707" t="n">
        <v>0</v>
      </c>
      <c r="V45" s="707" t="n">
        <v>581.619744</v>
      </c>
      <c r="W45" s="707">
        <f>SUM(T45:V45)</f>
        <v/>
      </c>
      <c r="X45" s="707" t="n">
        <v>1958.298381</v>
      </c>
      <c r="Y45" s="707" t="n">
        <v>0</v>
      </c>
      <c r="Z45" s="707" t="n">
        <v>655.575922</v>
      </c>
      <c r="AA45" s="707">
        <f>SUM(X45:Z45)</f>
        <v/>
      </c>
      <c r="AB45" s="707" t="n">
        <v>2837.047697</v>
      </c>
      <c r="AC45" s="707" t="n">
        <v>0</v>
      </c>
      <c r="AD45" s="707" t="n">
        <v>463.983498</v>
      </c>
      <c r="AE45" s="707">
        <f>SUM(AB45:AD45)</f>
        <v/>
      </c>
      <c r="AF45" s="707" t="n">
        <v>2545.018293</v>
      </c>
      <c r="AG45" s="271">
        <f>SUM(K45+O45+S45+W45+AA45+AE45+AF45)</f>
        <v/>
      </c>
      <c r="AH45" s="326">
        <f>IF(F45=0,"",K45/(F45/MAX(1,(YEAR(E45)*12+MONTH(E45))-(YEAR(D45)*12+MONTH(D45))+1)))</f>
        <v/>
      </c>
      <c r="AI45" s="326">
        <f>G45/F45</f>
        <v/>
      </c>
      <c r="AJ45" s="708">
        <f>F45-G45</f>
        <v/>
      </c>
      <c r="AK45" s="500" t="n"/>
      <c r="AL45" s="500" t="n"/>
      <c r="AM45" s="500" t="n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</row>
    <row r="46" outlineLevel="1" ht="14.25" customFormat="1" customHeight="1" s="483">
      <c r="A46" s="513" t="n"/>
      <c r="B46" s="707" t="inlineStr">
        <is>
          <t>理财师012</t>
        </is>
      </c>
      <c r="C46" s="707" t="inlineStr">
        <is>
          <t>首席私人财富管理专家PWA5-3</t>
        </is>
      </c>
      <c r="D46" s="676" t="n">
        <v>46023</v>
      </c>
      <c r="E46" s="676" t="n">
        <v>46203</v>
      </c>
      <c r="F46" s="707" t="n">
        <v>51394.5</v>
      </c>
      <c r="G46" s="707" t="n">
        <v>36636.441638</v>
      </c>
      <c r="H46" s="707" t="n">
        <v>4964.640174</v>
      </c>
      <c r="I46" s="707" t="n">
        <v>0</v>
      </c>
      <c r="J46" s="707" t="n">
        <v>0</v>
      </c>
      <c r="K46" s="707">
        <f>SUM(H46:J46)</f>
        <v/>
      </c>
      <c r="L46" s="707" t="n">
        <v>5710.083829</v>
      </c>
      <c r="M46" s="707" t="n">
        <v>0</v>
      </c>
      <c r="N46" s="707" t="n">
        <v>4494.012415</v>
      </c>
      <c r="O46" s="707">
        <f>SUM(L46:N46)</f>
        <v/>
      </c>
      <c r="P46" s="707" t="n">
        <v>5099.256359</v>
      </c>
      <c r="Q46" s="707" t="n">
        <v>0</v>
      </c>
      <c r="R46" s="707" t="n">
        <v>2165.674642</v>
      </c>
      <c r="S46" s="707">
        <f>SUM(P46:R46)</f>
        <v/>
      </c>
      <c r="T46" s="707" t="n">
        <v>937.141286</v>
      </c>
      <c r="U46" s="707" t="n">
        <v>0</v>
      </c>
      <c r="V46" s="707" t="n">
        <v>1775.786688</v>
      </c>
      <c r="W46" s="707">
        <f>SUM(T46:V46)</f>
        <v/>
      </c>
      <c r="X46" s="707" t="n">
        <v>3160.387028</v>
      </c>
      <c r="Y46" s="707" t="n">
        <v>0</v>
      </c>
      <c r="Z46" s="707" t="n">
        <v>3880.484178</v>
      </c>
      <c r="AA46" s="707">
        <f>SUM(X46:Z46)</f>
        <v/>
      </c>
      <c r="AB46" s="707" t="n">
        <v>3065.24731</v>
      </c>
      <c r="AC46" s="707" t="n">
        <v>0</v>
      </c>
      <c r="AD46" s="707" t="n">
        <v>1466.609142</v>
      </c>
      <c r="AE46" s="707">
        <f>SUM(AB46:AD46)</f>
        <v/>
      </c>
      <c r="AF46" s="707" t="n">
        <v>4881.758761</v>
      </c>
      <c r="AG46" s="271">
        <f>SUM(K46+O46+S46+W46+AA46+AE46+AF46)</f>
        <v/>
      </c>
      <c r="AH46" s="326">
        <f>IF(F46=0,"",K46/(F46/((YEAR(E46)*12+MONTH(E46))-(YEAR(D46)*12+MONTH(D46))+1)))</f>
        <v/>
      </c>
      <c r="AI46" s="326">
        <f>G46/F46</f>
        <v/>
      </c>
      <c r="AJ46" s="708">
        <f>F46-G46</f>
        <v/>
      </c>
      <c r="AK46" s="513" t="n"/>
      <c r="AL46" s="513" t="n"/>
      <c r="AM46" s="513" t="n"/>
      <c r="AN46" s="706" t="inlineStr"/>
      <c r="AO46" s="706" t="inlineStr"/>
      <c r="AP46" s="706" t="inlineStr"/>
      <c r="AQ46" s="706" t="inlineStr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</row>
    <row r="47" outlineLevel="1" ht="14.25" customFormat="1" customHeight="1" s="483">
      <c r="A47" s="710" t="inlineStr">
        <is>
          <t>合计</t>
        </is>
      </c>
      <c r="B47" s="518" t="n"/>
      <c r="C47" s="518" t="n"/>
      <c r="D47" s="518" t="n"/>
      <c r="E47" s="578" t="n"/>
      <c r="F47" s="333">
        <f>SUM(F42:F46)</f>
        <v/>
      </c>
      <c r="G47" s="710">
        <f>SUM(G42:G46)</f>
        <v/>
      </c>
      <c r="H47" s="710">
        <f>SUM(H42:H46)</f>
        <v/>
      </c>
      <c r="I47" s="710">
        <f>SUM(I42:I46)</f>
        <v/>
      </c>
      <c r="J47" s="710">
        <f>SUM(J42:J46)</f>
        <v/>
      </c>
      <c r="K47" s="710">
        <f>SUM(K42:K46)</f>
        <v/>
      </c>
      <c r="L47" s="710">
        <f>SUM(L42:L46)</f>
        <v/>
      </c>
      <c r="M47" s="710">
        <f>SUM(M42:M46)</f>
        <v/>
      </c>
      <c r="N47" s="710">
        <f>SUM(N42:N46)</f>
        <v/>
      </c>
      <c r="O47" s="710">
        <f>SUM(O42:O46)</f>
        <v/>
      </c>
      <c r="P47" s="710">
        <f>SUM(P42:P46)</f>
        <v/>
      </c>
      <c r="Q47" s="710">
        <f>SUM(Q42:Q46)</f>
        <v/>
      </c>
      <c r="R47" s="710">
        <f>SUM(R42:R46)</f>
        <v/>
      </c>
      <c r="S47" s="710">
        <f>SUM(S42:S46)</f>
        <v/>
      </c>
      <c r="T47" s="710">
        <f>SUM(T42:T46)</f>
        <v/>
      </c>
      <c r="U47" s="710">
        <f>SUM(U42:U46)</f>
        <v/>
      </c>
      <c r="V47" s="710">
        <f>SUM(V42:V46)</f>
        <v/>
      </c>
      <c r="W47" s="710">
        <f>SUM(W42:W46)</f>
        <v/>
      </c>
      <c r="X47" s="710">
        <f>SUM(X42:X46)</f>
        <v/>
      </c>
      <c r="Y47" s="710">
        <f>SUM(Y42:Y46)</f>
        <v/>
      </c>
      <c r="Z47" s="710">
        <f>SUM(Z42:Z46)</f>
        <v/>
      </c>
      <c r="AA47" s="710">
        <f>SUM(AA42:AA46)</f>
        <v/>
      </c>
      <c r="AB47" s="710">
        <f>SUM(AB42:AB46)</f>
        <v/>
      </c>
      <c r="AC47" s="710">
        <f>SUM(AC42:AC46)</f>
        <v/>
      </c>
      <c r="AD47" s="710">
        <f>SUM(AD42:AD46)</f>
        <v/>
      </c>
      <c r="AE47" s="710">
        <f>SUM(AE42:AE46)</f>
        <v/>
      </c>
      <c r="AF47" s="710">
        <f>SUM(AF42:AF46)</f>
        <v/>
      </c>
      <c r="AG47" s="710">
        <f>SUM(K47+O47+S47+W47+AA47+AE47+AF47)</f>
        <v/>
      </c>
      <c r="AH47" s="335">
        <f>IF(F47=0,"",K47/(F47/((YEAR(E42)*12+MONTH(E42))-(YEAR(D42)*12+MONTH(D42))+1)))</f>
        <v/>
      </c>
      <c r="AI47" s="336">
        <f>G47/F47</f>
        <v/>
      </c>
      <c r="AJ47" s="710">
        <f>F47-G47</f>
        <v/>
      </c>
      <c r="AK47" s="337">
        <f>AK42</f>
        <v/>
      </c>
      <c r="AL47" s="335">
        <f>AG47/AK42</f>
        <v/>
      </c>
      <c r="AM47" s="712">
        <f>AK42-AG47</f>
        <v/>
      </c>
      <c r="AN47" s="713" t="inlineStr"/>
      <c r="AO47" s="713" t="inlineStr"/>
      <c r="AP47" s="713" t="inlineStr"/>
      <c r="AQ47" s="713" t="inlineStr"/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</row>
    <row r="48" ht="14.25" customFormat="1" customHeight="1" s="483">
      <c r="A48" s="719" t="inlineStr">
        <is>
          <t>合计</t>
        </is>
      </c>
      <c r="B48" s="518" t="n"/>
      <c r="C48" s="518" t="n"/>
      <c r="D48" s="518" t="n"/>
      <c r="E48" s="578" t="n"/>
      <c r="F48" s="720">
        <f>F9+F14+F19+F23+F27+F31+F34+F38+F41+F47</f>
        <v/>
      </c>
      <c r="G48" s="720">
        <f>G9+G14+G19+G23+G27+G31+G34+G38+G41+G47</f>
        <v/>
      </c>
      <c r="H48" s="722">
        <f>H9+H14+H19+H23+H27+H31+H34+H38+H41+H47</f>
        <v/>
      </c>
      <c r="I48" s="722">
        <f>I9+I14+I19+I23+I27+I31+I34+I38+I41+I47</f>
        <v/>
      </c>
      <c r="J48" s="722">
        <f>J9+J14+J19+J23+J27+J31+J34+J38+J41+J47</f>
        <v/>
      </c>
      <c r="K48" s="722">
        <f>K9+K14+K19+K23+K27+K31+K34+K38+K41+K47</f>
        <v/>
      </c>
      <c r="L48" s="720">
        <f>L9+L14+L19+L23+L27+L31+L34+L38+L41+L47</f>
        <v/>
      </c>
      <c r="M48" s="720">
        <f>M9+M14+M19+M23+M27+M31+M34+M38+M41+M47</f>
        <v/>
      </c>
      <c r="N48" s="720">
        <f>N9+N14+N19+N23+N27+N31+N34+N38+N41+N47</f>
        <v/>
      </c>
      <c r="O48" s="720">
        <f>O9+O14+O19+O23+O27+O31+O34+O38+O41+O47</f>
        <v/>
      </c>
      <c r="P48" s="720">
        <f>P9+P14+P19+P23+P27+P31+P34+P38+P41+P47</f>
        <v/>
      </c>
      <c r="Q48" s="720">
        <f>Q9+Q14+Q19+Q23+Q27+Q31+Q34+Q38+Q41+Q47</f>
        <v/>
      </c>
      <c r="R48" s="720">
        <f>R9+R14+R19+R23+R27+R31+R34+R38+R41+R47</f>
        <v/>
      </c>
      <c r="S48" s="720">
        <f>S9+S14+S19+S23+S27+S31+S34+S38+S41+S47</f>
        <v/>
      </c>
      <c r="T48" s="720">
        <f>T9+T14+T19+T23+T27+T31+T34+T38+T41+T47</f>
        <v/>
      </c>
      <c r="U48" s="720">
        <f>U9+U14+U19+U23+U27+U31+U34+U38+U41+U47</f>
        <v/>
      </c>
      <c r="V48" s="720">
        <f>V9+V14+V19+V23+V27+V31+V34+V38+V41+V47</f>
        <v/>
      </c>
      <c r="W48" s="720">
        <f>W9+W14+W19+W23+W27+W31+W34+W38+W41+W47</f>
        <v/>
      </c>
      <c r="X48" s="720">
        <f>X9+X14+X19+X23+X27+X31+X34+X38+X41+X47</f>
        <v/>
      </c>
      <c r="Y48" s="720">
        <f>Y9+Y14+Y19+Y23+Y27+Y31+Y34+Y38+Y41+Y47</f>
        <v/>
      </c>
      <c r="Z48" s="720">
        <f>Z9+Z14+Z19+Z23+Z27+Z31+Z34+Z38+Z41+Z47</f>
        <v/>
      </c>
      <c r="AA48" s="720">
        <f>AA9+AA14+AA19+AA23+AA27+AA31+AA34+AA38+AA41+AA47</f>
        <v/>
      </c>
      <c r="AB48" s="720">
        <f>AB9+AB14+AB19+AB23+AB27+AB31+AB34+AB38+AB41+AB47</f>
        <v/>
      </c>
      <c r="AC48" s="722">
        <f>AC9+AC14+AC19+AC23+AC27+AC31+AC34+AC38+AC41+AC47</f>
        <v/>
      </c>
      <c r="AD48" s="722">
        <f>AD9+AD14+AD19+AD23+AD27+AD31+AD34+AD38+AD41+AD47</f>
        <v/>
      </c>
      <c r="AE48" s="722">
        <f>AE9+AE14+AE19+AE23+AE27+AE31+AE34+AE38+AE41+AE47</f>
        <v/>
      </c>
      <c r="AF48" s="722">
        <f>AF9+AF14+AF19+AF23+AF27+AF31+AF34+AF38+AF41+AF47</f>
        <v/>
      </c>
      <c r="AG48" s="728">
        <f>AG9+AG14+AG19+AG23+AG27+AG31+AG34+AG38+AG41+AG47</f>
        <v/>
      </c>
      <c r="AH48" s="350">
        <f>K48/(F48/((YEAR(E4)*12+MONTH(E4))-(YEAR(D4)*12+MONTH(D4))+1))</f>
        <v/>
      </c>
      <c r="AI48" s="350">
        <f>G48/F48</f>
        <v/>
      </c>
      <c r="AJ48" s="722">
        <f>F48-G48</f>
        <v/>
      </c>
      <c r="AK48" s="352">
        <f>AK9+AK14+AK19+AK23+AK27+AK31+AK34+AK38+AK41+AK47</f>
        <v/>
      </c>
      <c r="AL48" s="353">
        <f>AG48/AK48</f>
        <v/>
      </c>
      <c r="AM48" s="722">
        <f>AK48-AG48</f>
        <v/>
      </c>
      <c r="AN48" s="723" t="inlineStr"/>
      <c r="AO48" s="723" t="inlineStr"/>
      <c r="AP48" s="723" t="inlineStr"/>
      <c r="AQ48" s="723" t="inlineStr"/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7" t="inlineStr"/>
    </row>
    <row r="49" ht="14.25" customFormat="1" customHeight="1" s="483">
      <c r="AJ49" s="633" t="inlineStr">
        <is>
          <t>公司目标</t>
        </is>
      </c>
      <c r="AK49" s="633" t="n">
        <v>934969.485968</v>
      </c>
      <c r="AL49" s="252">
        <f>IF(AK49&lt;&gt;0,AG48/AK49,"")</f>
        <v/>
      </c>
      <c r="AM49" s="663">
        <f>AK49-AG48</f>
        <v/>
      </c>
    </row>
    <row r="50" ht="35.1" customFormat="1" customHeight="1" s="483"/>
    <row r="51" ht="24" customFormat="1" customHeight="1" s="483"/>
  </sheetData>
  <mergeCells count="91">
    <mergeCell ref="A48:E48"/>
    <mergeCell ref="A20:A22"/>
    <mergeCell ref="A4:A8"/>
    <mergeCell ref="U2:U3"/>
    <mergeCell ref="AK15:AK18"/>
    <mergeCell ref="AM4:AM8"/>
    <mergeCell ref="A2:A3"/>
    <mergeCell ref="A24:A26"/>
    <mergeCell ref="C2:C3"/>
    <mergeCell ref="E2:E3"/>
    <mergeCell ref="W2:W3"/>
    <mergeCell ref="AK10:AK13"/>
    <mergeCell ref="AM10:AM13"/>
    <mergeCell ref="A23:E23"/>
    <mergeCell ref="AA2:AA3"/>
    <mergeCell ref="AC2:AC3"/>
    <mergeCell ref="A10:A13"/>
    <mergeCell ref="AM2:AM3"/>
    <mergeCell ref="V2:V3"/>
    <mergeCell ref="AK20:AK22"/>
    <mergeCell ref="X2:X3"/>
    <mergeCell ref="AL15:AL18"/>
    <mergeCell ref="A34:E34"/>
    <mergeCell ref="AM20:AM22"/>
    <mergeCell ref="AL24:AL26"/>
    <mergeCell ref="A42:A46"/>
    <mergeCell ref="N2:N3"/>
    <mergeCell ref="F2:F3"/>
    <mergeCell ref="P2:P3"/>
    <mergeCell ref="H2:H3"/>
    <mergeCell ref="AK39:AK40"/>
    <mergeCell ref="AM39:AM40"/>
    <mergeCell ref="AL35:AL37"/>
    <mergeCell ref="AK42:AK46"/>
    <mergeCell ref="AF2:AF3"/>
    <mergeCell ref="AM42:AM46"/>
    <mergeCell ref="K2:K3"/>
    <mergeCell ref="AH2:AH3"/>
    <mergeCell ref="AK1:AL1"/>
    <mergeCell ref="O2:O3"/>
    <mergeCell ref="Q2:Q3"/>
    <mergeCell ref="A14:E14"/>
    <mergeCell ref="AI2:AI3"/>
    <mergeCell ref="AK2:AK3"/>
    <mergeCell ref="AK24:AK26"/>
    <mergeCell ref="AL39:AL40"/>
    <mergeCell ref="AK4:AK8"/>
    <mergeCell ref="A38:E38"/>
    <mergeCell ref="A39:A40"/>
    <mergeCell ref="AM24:AM26"/>
    <mergeCell ref="AK35:AK37"/>
    <mergeCell ref="A31:E31"/>
    <mergeCell ref="S2:S3"/>
    <mergeCell ref="AM35:AM37"/>
    <mergeCell ref="B2:B3"/>
    <mergeCell ref="D2:D3"/>
    <mergeCell ref="AL4:AL8"/>
    <mergeCell ref="A28:A30"/>
    <mergeCell ref="AL32:AL33"/>
    <mergeCell ref="Z2:Z3"/>
    <mergeCell ref="AB2:AB3"/>
    <mergeCell ref="AD2:AD3"/>
    <mergeCell ref="T2:T3"/>
    <mergeCell ref="AK28:AK30"/>
    <mergeCell ref="A47:E47"/>
    <mergeCell ref="AM15:AM18"/>
    <mergeCell ref="AL10:AL13"/>
    <mergeCell ref="A15:A18"/>
    <mergeCell ref="AK32:AK33"/>
    <mergeCell ref="G2:G3"/>
    <mergeCell ref="I2:I3"/>
    <mergeCell ref="AL28:AL30"/>
    <mergeCell ref="M2:M3"/>
    <mergeCell ref="AE2:AE3"/>
    <mergeCell ref="AL42:AL46"/>
    <mergeCell ref="AG2:AG3"/>
    <mergeCell ref="AL20:AL22"/>
    <mergeCell ref="Y2:Y3"/>
    <mergeCell ref="A35:A37"/>
    <mergeCell ref="A41:E41"/>
    <mergeCell ref="AJ2:AJ3"/>
    <mergeCell ref="A27:E27"/>
    <mergeCell ref="A32:A33"/>
    <mergeCell ref="R2:R3"/>
    <mergeCell ref="J2:J3"/>
    <mergeCell ref="AM28:AM30"/>
    <mergeCell ref="L2:L3"/>
    <mergeCell ref="AM32:AM33"/>
    <mergeCell ref="A19:E19"/>
    <mergeCell ref="A9:E9"/>
    <mergeCell ref="AL2:AL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48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8.875" customWidth="1" style="533" min="11" max="11"/>
    <col hidden="1" width="13" customWidth="1" style="533" min="12" max="12"/>
    <col hidden="1" width="12.75" customWidth="1" style="533" min="13" max="13"/>
    <col hidden="1" width="7.125" customWidth="1" style="533" min="14" max="14"/>
    <col width="9" customWidth="1" style="533" min="15" max="15"/>
    <col hidden="1" width="13" customWidth="1" style="533" min="16" max="16"/>
    <col hidden="1" width="13.625" customWidth="1" style="533" min="17" max="17"/>
    <col hidden="1" width="12.25" customWidth="1" style="533" min="18" max="18"/>
    <col width="18.75" customWidth="1" style="533" min="19" max="19"/>
    <col hidden="1" width="12.875" customWidth="1" style="533" min="20" max="20"/>
    <col hidden="1" width="13.2143" customWidth="1" style="533" min="21" max="21"/>
    <col hidden="1" width="14" customWidth="1" style="533" min="22" max="22"/>
    <col width="14.125" customWidth="1" style="533" min="23" max="23"/>
    <col hidden="1" width="9" customWidth="1" style="533" min="24" max="24"/>
    <col hidden="1" width="13" customWidth="1" style="483" min="25" max="26"/>
    <col width="9" customWidth="1" style="533" min="27" max="27"/>
    <col hidden="1" width="13" customWidth="1" style="483" min="28" max="30"/>
    <col width="9" customWidth="1" style="533" min="31" max="32"/>
    <col width="13.2143" customWidth="1" style="533" min="33" max="33"/>
    <col width="9" customWidth="1" style="533" min="34" max="35"/>
    <col width="12.7857" customWidth="1" style="533" min="36" max="36"/>
    <col width="11.7143" customWidth="1" style="533" min="37" max="37"/>
    <col width="9" customWidth="1" style="533" min="38" max="41"/>
    <col width="12.3571" customWidth="1" style="533" min="42" max="42"/>
    <col width="11.2857" customWidth="1" style="533" min="43" max="43"/>
    <col width="9" customWidth="1" style="533" min="44" max="65"/>
  </cols>
  <sheetData>
    <row r="1" ht="20.25" customFormat="1" customHeight="1" s="483">
      <c r="A1" s="754" t="inlineStr">
        <is>
          <t>私人财富管理部折标销售进度表-截止20260731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552" t="inlineStr">
        <is>
          <t>上半年时间进度</t>
        </is>
      </c>
      <c r="AM1" s="70">
        <f>AR7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传统202607</t>
        </is>
      </c>
      <c r="I2" s="541" t="inlineStr">
        <is>
          <t>保险202607</t>
        </is>
      </c>
      <c r="J2" s="541" t="inlineStr">
        <is>
          <t>管理费202607</t>
        </is>
      </c>
      <c r="K2" s="669" t="inlineStr">
        <is>
          <t>2026年
7月折标</t>
        </is>
      </c>
      <c r="L2" s="541" t="inlineStr">
        <is>
          <t>传统202606</t>
        </is>
      </c>
      <c r="M2" s="541" t="inlineStr">
        <is>
          <t>保险202606</t>
        </is>
      </c>
      <c r="N2" s="541" t="inlineStr">
        <is>
          <t>管理费202606</t>
        </is>
      </c>
      <c r="O2" s="669" t="inlineStr">
        <is>
          <t>2026年
6月折标</t>
        </is>
      </c>
      <c r="P2" s="541" t="inlineStr">
        <is>
          <t>传统202605</t>
        </is>
      </c>
      <c r="Q2" s="541" t="inlineStr">
        <is>
          <t>保险202605</t>
        </is>
      </c>
      <c r="R2" s="541" t="inlineStr">
        <is>
          <t>管理费202605</t>
        </is>
      </c>
      <c r="S2" s="669" t="inlineStr">
        <is>
          <t>2026年
5月折标</t>
        </is>
      </c>
      <c r="T2" s="541" t="inlineStr">
        <is>
          <t>传统202604</t>
        </is>
      </c>
      <c r="U2" s="541" t="inlineStr">
        <is>
          <t>保险202604</t>
        </is>
      </c>
      <c r="V2" s="541" t="inlineStr">
        <is>
          <t>管理费202604</t>
        </is>
      </c>
      <c r="W2" s="669" t="inlineStr">
        <is>
          <t>2026年
4月折标</t>
        </is>
      </c>
      <c r="X2" s="541" t="inlineStr">
        <is>
          <t>传统202603</t>
        </is>
      </c>
      <c r="Y2" s="541" t="inlineStr">
        <is>
          <t>保险202603</t>
        </is>
      </c>
      <c r="Z2" s="541" t="inlineStr">
        <is>
          <t>管理费202603</t>
        </is>
      </c>
      <c r="AA2" s="669" t="inlineStr">
        <is>
          <t>2026年
3月折标</t>
        </is>
      </c>
      <c r="AB2" s="541" t="inlineStr">
        <is>
          <t>传统202602</t>
        </is>
      </c>
      <c r="AC2" s="541" t="inlineStr">
        <is>
          <t>保险202602</t>
        </is>
      </c>
      <c r="AD2" s="541" t="inlineStr">
        <is>
          <t>管理费202602</t>
        </is>
      </c>
      <c r="AE2" s="669" t="inlineStr">
        <is>
          <t>2026年
2月折标</t>
        </is>
      </c>
      <c r="AF2" s="669" t="inlineStr">
        <is>
          <t>2026年
1月折标</t>
        </is>
      </c>
      <c r="AG2" s="670" t="inlineStr">
        <is>
          <t>2026年YTD折标</t>
        </is>
      </c>
      <c r="AH2" s="671" t="inlineStr">
        <is>
          <t>月度
完成率</t>
        </is>
      </c>
      <c r="AI2" s="666" t="inlineStr">
        <is>
          <t>考核期完成率（累计）</t>
        </is>
      </c>
      <c r="AJ2" s="560" t="inlineStr">
        <is>
          <t>考核期差距</t>
        </is>
      </c>
      <c r="AK2" s="561" t="inlineStr">
        <is>
          <t>财富中心
上半年年任务</t>
        </is>
      </c>
      <c r="AL2" s="79" t="inlineStr">
        <is>
          <t>财富中心
上半年任务完成率</t>
        </is>
      </c>
      <c r="AM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私人财富管理总监PWA3-2</t>
        </is>
      </c>
      <c r="D4" s="693" t="n">
        <v>46023</v>
      </c>
      <c r="E4" s="693" t="n">
        <v>46203</v>
      </c>
      <c r="F4" s="703" t="n">
        <v>11829.32</v>
      </c>
      <c r="G4" s="703" t="n">
        <v>23923.20077</v>
      </c>
      <c r="H4" s="703" t="n">
        <v>1825.260469</v>
      </c>
      <c r="I4" s="703" t="n">
        <v>0</v>
      </c>
      <c r="J4" s="703" t="n">
        <v>0</v>
      </c>
      <c r="K4" s="703">
        <f>SUM(H4:J4)</f>
        <v/>
      </c>
      <c r="L4" s="703" t="n">
        <v>927.52544</v>
      </c>
      <c r="M4" s="703" t="n">
        <v>0</v>
      </c>
      <c r="N4" s="703" t="n">
        <v>1433.561147</v>
      </c>
      <c r="O4" s="703">
        <f>SUM(L4:N4)</f>
        <v/>
      </c>
      <c r="P4" s="703" t="n">
        <v>1183.338361</v>
      </c>
      <c r="Q4" s="703" t="n">
        <v>0</v>
      </c>
      <c r="R4" s="703" t="n">
        <v>634.456086</v>
      </c>
      <c r="S4" s="703">
        <f>SUM(P4:R4)</f>
        <v/>
      </c>
      <c r="T4" s="703" t="n">
        <v>3203.368286</v>
      </c>
      <c r="U4" s="703" t="n">
        <v>0</v>
      </c>
      <c r="V4" s="703" t="n">
        <v>538.668767</v>
      </c>
      <c r="W4" s="703">
        <f>SUM(T4:V4)</f>
        <v/>
      </c>
      <c r="X4" s="703" t="n">
        <v>8704.796721000001</v>
      </c>
      <c r="Y4" s="703" t="n">
        <v>0</v>
      </c>
      <c r="Z4" s="703" t="n">
        <v>1253.999839</v>
      </c>
      <c r="AA4" s="703">
        <f>SUM(X4:Z4)</f>
        <v/>
      </c>
      <c r="AB4" s="703" t="n">
        <v>1402.304143</v>
      </c>
      <c r="AC4" s="703" t="n">
        <v>742.65048</v>
      </c>
      <c r="AD4" s="703" t="n">
        <v>433.535601</v>
      </c>
      <c r="AE4" s="703">
        <f>SUM(AB4:AD4)</f>
        <v/>
      </c>
      <c r="AF4" s="703" t="n">
        <v>3464.9959</v>
      </c>
      <c r="AG4" s="318">
        <f>SUM(K4+O4+S4+W4+AA4+AE4+AF4)</f>
        <v/>
      </c>
      <c r="AH4" s="319">
        <f>IF(F4=0,"",K4/(F4/((YEAR(E4)*12+MONTH(E4))-(YEAR(D4)*12+MONTH(D4))+1)))</f>
        <v/>
      </c>
      <c r="AI4" s="319">
        <f>G4/F4</f>
        <v/>
      </c>
      <c r="AJ4" s="704">
        <f>F4-G4</f>
        <v/>
      </c>
      <c r="AK4" s="321">
        <f>SUM(F4:F8)</f>
        <v/>
      </c>
      <c r="AL4" s="322">
        <f>AL9</f>
        <v/>
      </c>
      <c r="AM4" s="705">
        <f>AM9</f>
        <v/>
      </c>
      <c r="AN4" s="706" t="inlineStr"/>
      <c r="AO4" s="706" t="inlineStr"/>
      <c r="AP4" s="706" t="inlineStr">
        <is>
          <t>开始日期</t>
        </is>
      </c>
      <c r="AQ4" s="706" t="inlineStr">
        <is>
          <t>结束日期</t>
        </is>
      </c>
      <c r="AR4" s="706" t="inlineStr"/>
      <c r="AS4" s="706" t="inlineStr"/>
      <c r="AT4" s="706" t="inlineStr"/>
      <c r="AU4" s="706" t="inlineStr"/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私人财富管理总监PWA3-1</t>
        </is>
      </c>
      <c r="D5" s="676" t="n">
        <v>45992</v>
      </c>
      <c r="E5" s="676" t="n">
        <v>46203</v>
      </c>
      <c r="F5" s="707" t="n">
        <v>21880.7424</v>
      </c>
      <c r="G5" s="707" t="n">
        <v>21247.130816</v>
      </c>
      <c r="H5" s="707" t="n">
        <v>547.582464</v>
      </c>
      <c r="I5" s="707" t="n">
        <v>0</v>
      </c>
      <c r="J5" s="707" t="n">
        <v>0</v>
      </c>
      <c r="K5" s="707">
        <f>SUM(H5:J5)</f>
        <v/>
      </c>
      <c r="L5" s="707" t="n">
        <v>832.638851</v>
      </c>
      <c r="M5" s="707" t="n">
        <v>3261.7728</v>
      </c>
      <c r="N5" s="707" t="n">
        <v>555.368737</v>
      </c>
      <c r="O5" s="707">
        <f>SUM(L5:N5)</f>
        <v/>
      </c>
      <c r="P5" s="707" t="n">
        <v>593.9975920000001</v>
      </c>
      <c r="Q5" s="707" t="n">
        <v>0</v>
      </c>
      <c r="R5" s="707" t="n">
        <v>382.045052</v>
      </c>
      <c r="S5" s="707">
        <f>SUM(P5:R5)</f>
        <v/>
      </c>
      <c r="T5" s="707" t="n">
        <v>249.800095</v>
      </c>
      <c r="U5" s="707" t="n">
        <v>5040.9216</v>
      </c>
      <c r="V5" s="707" t="n">
        <v>342.801462</v>
      </c>
      <c r="W5" s="707">
        <f>SUM(T5:V5)</f>
        <v/>
      </c>
      <c r="X5" s="707" t="n">
        <v>1613.445926</v>
      </c>
      <c r="Y5" s="707" t="n">
        <v>0</v>
      </c>
      <c r="Z5" s="707" t="n">
        <v>488.407071</v>
      </c>
      <c r="AA5" s="707">
        <f>SUM(X5:Z5)</f>
        <v/>
      </c>
      <c r="AB5" s="707" t="n">
        <v>454.800547</v>
      </c>
      <c r="AC5" s="707" t="n">
        <v>0</v>
      </c>
      <c r="AD5" s="707" t="n">
        <v>289.117436</v>
      </c>
      <c r="AE5" s="707">
        <f>SUM(AB5:AD5)</f>
        <v/>
      </c>
      <c r="AF5" s="707" t="n">
        <v>3311.566531</v>
      </c>
      <c r="AG5" s="271">
        <f>SUM(K5+O5+S5+W5+AA5+AE5+AF5)</f>
        <v/>
      </c>
      <c r="AH5" s="326">
        <f>IF(F5=0,"",K5/(F5/((YEAR(E5)*12+MONTH(E5))-(YEAR(D5)*12+MONTH(D5))+1)))</f>
        <v/>
      </c>
      <c r="AI5" s="326">
        <f>G5/F5</f>
        <v/>
      </c>
      <c r="AJ5" s="708">
        <f>F5-G5</f>
        <v/>
      </c>
      <c r="AK5" s="500" t="n"/>
      <c r="AL5" s="500" t="n"/>
      <c r="AM5" s="500" t="n"/>
      <c r="AN5" s="706" t="inlineStr"/>
      <c r="AO5" s="706" t="inlineStr"/>
      <c r="AP5" s="328" t="n">
        <v>46023</v>
      </c>
      <c r="AQ5" s="328" t="n">
        <v>46203</v>
      </c>
      <c r="AR5" s="706" t="inlineStr"/>
      <c r="AS5" s="706" t="inlineStr"/>
      <c r="AT5" s="706" t="inlineStr"/>
      <c r="AU5" s="706" t="inlineStr"/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45302.655825</v>
      </c>
      <c r="H6" s="707" t="n">
        <v>11371.418899</v>
      </c>
      <c r="I6" s="707" t="n">
        <v>28677.4488</v>
      </c>
      <c r="J6" s="707" t="n">
        <v>0</v>
      </c>
      <c r="K6" s="707">
        <f>SUM(H6:J6)</f>
        <v/>
      </c>
      <c r="L6" s="707" t="n">
        <v>1992.298661</v>
      </c>
      <c r="M6" s="707" t="n">
        <v>0</v>
      </c>
      <c r="N6" s="707" t="n">
        <v>3261.489465</v>
      </c>
      <c r="O6" s="707">
        <f>SUM(L6:N6)</f>
        <v/>
      </c>
      <c r="P6" s="707" t="n">
        <v>15009.556327</v>
      </c>
      <c r="Q6" s="707" t="n">
        <v>0</v>
      </c>
      <c r="R6" s="707" t="n">
        <v>1609.578423</v>
      </c>
      <c r="S6" s="707">
        <f>SUM(P6:R6)</f>
        <v/>
      </c>
      <c r="T6" s="707" t="n">
        <v>3788.477067</v>
      </c>
      <c r="U6" s="707" t="n">
        <v>0</v>
      </c>
      <c r="V6" s="707" t="n">
        <v>1122.243766</v>
      </c>
      <c r="W6" s="707">
        <f>SUM(T6:V6)</f>
        <v/>
      </c>
      <c r="X6" s="707" t="n">
        <v>1444.66245</v>
      </c>
      <c r="Y6" s="707" t="n">
        <v>0</v>
      </c>
      <c r="Z6" s="707" t="n">
        <v>1063.763858</v>
      </c>
      <c r="AA6" s="707">
        <f>SUM(X6:Z6)</f>
        <v/>
      </c>
      <c r="AB6" s="707" t="n">
        <v>9688.821542</v>
      </c>
      <c r="AC6" s="707" t="n">
        <v>0</v>
      </c>
      <c r="AD6" s="707" t="n">
        <v>606.6776630000001</v>
      </c>
      <c r="AE6" s="707">
        <f>SUM(AB6:AD6)</f>
        <v/>
      </c>
      <c r="AF6" s="707" t="n">
        <v>13116.995922</v>
      </c>
      <c r="AG6" s="271">
        <f>SUM(K6+O6+S6+W6+AA6+AE6+AF6)</f>
        <v/>
      </c>
      <c r="AH6" s="326">
        <f>IF(F6=0,"",K6/(F6/((YEAR(E6)*12+MONTH(E6))-(YEAR(D6)*12+MONTH(D6))+1)))</f>
        <v/>
      </c>
      <c r="AI6" s="326">
        <f>G6/F6</f>
        <v/>
      </c>
      <c r="AJ6" s="708">
        <f>F6-G6</f>
        <v/>
      </c>
      <c r="AK6" s="500" t="n"/>
      <c r="AL6" s="500" t="n"/>
      <c r="AM6" s="500" t="n"/>
      <c r="AN6" s="706" t="inlineStr"/>
      <c r="AO6" s="706" t="inlineStr"/>
      <c r="AP6" s="706" t="inlineStr">
        <is>
          <t>计算日期</t>
        </is>
      </c>
      <c r="AQ6" s="706">
        <f>W5-V5</f>
        <v/>
      </c>
      <c r="AR6" s="706" t="inlineStr">
        <is>
          <t>时间进度</t>
        </is>
      </c>
      <c r="AS6" s="706" t="inlineStr"/>
      <c r="AT6" s="706" t="inlineStr"/>
      <c r="AU6" s="706" t="inlineStr"/>
      <c r="AV6" s="706" t="inlineStr"/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私人财富管理资深顾问PWA2-4</t>
        </is>
      </c>
      <c r="D7" s="676" t="n">
        <v>46023</v>
      </c>
      <c r="E7" s="676" t="n">
        <v>46203</v>
      </c>
      <c r="F7" s="707" t="n">
        <v>9930.76</v>
      </c>
      <c r="G7" s="707" t="n">
        <v>3874.421583</v>
      </c>
      <c r="H7" s="707" t="n">
        <v>191.980425</v>
      </c>
      <c r="I7" s="707" t="n">
        <v>0</v>
      </c>
      <c r="J7" s="707" t="n">
        <v>0</v>
      </c>
      <c r="K7" s="707">
        <f>SUM(H7:J7)</f>
        <v/>
      </c>
      <c r="L7" s="707" t="n">
        <v>125.538504</v>
      </c>
      <c r="M7" s="707" t="n">
        <v>0</v>
      </c>
      <c r="N7" s="707" t="n">
        <v>202.092562</v>
      </c>
      <c r="O7" s="707">
        <f>SUM(L7:N7)</f>
        <v/>
      </c>
      <c r="P7" s="707" t="n">
        <v>66.7758</v>
      </c>
      <c r="Q7" s="707" t="n">
        <v>0</v>
      </c>
      <c r="R7" s="707" t="n">
        <v>22.323011</v>
      </c>
      <c r="S7" s="707">
        <f>SUM(P7:R7)</f>
        <v/>
      </c>
      <c r="T7" s="707" t="n">
        <v>133.5516</v>
      </c>
      <c r="U7" s="707" t="n">
        <v>0</v>
      </c>
      <c r="V7" s="707" t="n">
        <v>22.107856</v>
      </c>
      <c r="W7" s="707">
        <f>SUM(T7:V7)</f>
        <v/>
      </c>
      <c r="X7" s="707" t="n">
        <v>500.150742</v>
      </c>
      <c r="Y7" s="707" t="n">
        <v>0</v>
      </c>
      <c r="Z7" s="707" t="n">
        <v>157.397938</v>
      </c>
      <c r="AA7" s="707">
        <f>SUM(X7:Z7)</f>
        <v/>
      </c>
      <c r="AB7" s="707" t="n">
        <v>267.1032</v>
      </c>
      <c r="AC7" s="707" t="n">
        <v>0</v>
      </c>
      <c r="AD7" s="707" t="n">
        <v>25.494675</v>
      </c>
      <c r="AE7" s="707">
        <f>SUM(AB7:AD7)</f>
        <v/>
      </c>
      <c r="AF7" s="707" t="n">
        <v>2351.885696</v>
      </c>
      <c r="AG7" s="271">
        <f>SUM(K7+O7+S7+W7+AA7+AE7+AF7)</f>
        <v/>
      </c>
      <c r="AH7" s="326">
        <f>IF(F7=0,"",K7/(F7/((YEAR(E7)*12+MONTH(E7))-(YEAR(D7)*12+MONTH(D7))+1)))</f>
        <v/>
      </c>
      <c r="AI7" s="326">
        <f>G7/F7</f>
        <v/>
      </c>
      <c r="AJ7" s="708">
        <f>F7-G7</f>
        <v/>
      </c>
      <c r="AK7" s="500" t="n"/>
      <c r="AL7" s="500" t="n"/>
      <c r="AM7" s="500" t="n"/>
      <c r="AN7" s="706" t="inlineStr"/>
      <c r="AO7" s="706" t="inlineStr"/>
      <c r="AP7" s="709" t="n">
        <v>46234</v>
      </c>
      <c r="AQ7" s="330">
        <f>AQ5-AP5+1</f>
        <v/>
      </c>
      <c r="AR7" s="331">
        <f>(AP7-AP5+1)/AQ7</f>
        <v/>
      </c>
      <c r="AS7" s="706" t="inlineStr"/>
      <c r="AT7" s="706" t="inlineStr"/>
      <c r="AU7" s="706" t="inlineStr"/>
      <c r="AV7" s="706" t="inlineStr"/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3706.008912</v>
      </c>
      <c r="H8" s="707" t="n">
        <v>257.985</v>
      </c>
      <c r="I8" s="707" t="n">
        <v>2848.1544</v>
      </c>
      <c r="J8" s="707" t="n">
        <v>0</v>
      </c>
      <c r="K8" s="707">
        <f>SUM(H8:J8)</f>
        <v/>
      </c>
      <c r="L8" s="707" t="n">
        <v>95.21789800000001</v>
      </c>
      <c r="M8" s="707" t="n">
        <v>264.17664</v>
      </c>
      <c r="N8" s="707" t="n">
        <v>67.830038</v>
      </c>
      <c r="O8" s="707">
        <f>SUM(L8:N8)</f>
        <v/>
      </c>
      <c r="P8" s="707" t="n">
        <v>130.02444</v>
      </c>
      <c r="Q8" s="707" t="n">
        <v>0</v>
      </c>
      <c r="R8" s="707" t="n">
        <v>16.066547</v>
      </c>
      <c r="S8" s="707">
        <f>SUM(P8:R8)</f>
        <v/>
      </c>
      <c r="T8" s="707" t="n">
        <v>0</v>
      </c>
      <c r="U8" s="707" t="n">
        <v>0</v>
      </c>
      <c r="V8" s="707" t="n">
        <v>12.779778</v>
      </c>
      <c r="W8" s="707">
        <f>SUM(T8:V8)</f>
        <v/>
      </c>
      <c r="X8" s="707" t="n">
        <v>0</v>
      </c>
      <c r="Y8" s="707" t="n">
        <v>25509.5568</v>
      </c>
      <c r="Z8" s="707" t="n">
        <v>13.774172</v>
      </c>
      <c r="AA8" s="707">
        <f>SUM(X8:Z8)</f>
        <v/>
      </c>
      <c r="AB8" s="707" t="n">
        <v>41.2776</v>
      </c>
      <c r="AC8" s="707" t="n">
        <v>0</v>
      </c>
      <c r="AD8" s="707" t="n">
        <v>18.646322</v>
      </c>
      <c r="AE8" s="707">
        <f>SUM(AB8:AD8)</f>
        <v/>
      </c>
      <c r="AF8" s="707" t="n">
        <v>683.02396</v>
      </c>
      <c r="AG8" s="271">
        <f>SUM(K8+O8+S8+W8+AA8+AE8+AF8)</f>
        <v/>
      </c>
      <c r="AH8" s="326">
        <f>IF(F8=0,"",K8/(F8/((YEAR(E8)*12+MONTH(E8))-(YEAR(D8)*12+MONTH(D8))+1)))</f>
        <v/>
      </c>
      <c r="AI8" s="326">
        <f>G8/F8</f>
        <v/>
      </c>
      <c r="AJ8" s="708">
        <f>F8-G8</f>
        <v/>
      </c>
      <c r="AK8" s="513" t="n"/>
      <c r="AL8" s="513" t="n"/>
      <c r="AM8" s="513" t="n"/>
      <c r="AN8" s="706" t="inlineStr"/>
      <c r="AO8" s="706" t="inlineStr"/>
      <c r="AP8" s="706" t="inlineStr"/>
      <c r="AQ8" s="706" t="inlineStr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1">
        <f>SUM(K9+O9+S9+W9+AA9+AE9+AF9)</f>
        <v/>
      </c>
      <c r="AH9" s="335">
        <f>IF(F9=0,"",K9/(F9/((YEAR(E4)*12+MONTH(E4))-(YEAR(D4)*12+MONTH(D4))+1)))</f>
        <v/>
      </c>
      <c r="AI9" s="336">
        <f>G9/F9</f>
        <v/>
      </c>
      <c r="AJ9" s="711">
        <f>F9-G9</f>
        <v/>
      </c>
      <c r="AK9" s="337">
        <f>AK4</f>
        <v/>
      </c>
      <c r="AL9" s="335">
        <f>AG9/AK4</f>
        <v/>
      </c>
      <c r="AM9" s="712">
        <f>AK4-AG9</f>
        <v/>
      </c>
      <c r="AN9" s="713" t="inlineStr"/>
      <c r="AO9" s="713" t="inlineStr"/>
      <c r="AP9" s="340" t="n">
        <v>46136</v>
      </c>
      <c r="AQ9" s="713" t="inlineStr"/>
      <c r="AR9" s="341">
        <f>(AD10-DATE(YEAR(AD10),1,1)+1)/AE9</f>
        <v/>
      </c>
      <c r="AS9" s="713" t="inlineStr"/>
      <c r="AT9" s="713" t="inlineStr"/>
      <c r="AU9" s="713" t="inlineStr"/>
      <c r="AV9" s="713" t="inlineStr"/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私人财富管理总监PWA3-2</t>
        </is>
      </c>
      <c r="D10" s="693" t="n">
        <v>46023</v>
      </c>
      <c r="E10" s="693" t="n">
        <v>46203</v>
      </c>
      <c r="F10" s="703" t="n">
        <v>9928.559999999999</v>
      </c>
      <c r="G10" s="703" t="n">
        <v>24941.640018</v>
      </c>
      <c r="H10" s="703" t="n">
        <v>2834.050594</v>
      </c>
      <c r="I10" s="703" t="n">
        <v>0</v>
      </c>
      <c r="J10" s="703" t="n">
        <v>0</v>
      </c>
      <c r="K10" s="703">
        <f>SUM(H10:J10)</f>
        <v/>
      </c>
      <c r="L10" s="703" t="n">
        <v>3599.205131</v>
      </c>
      <c r="M10" s="703" t="n">
        <v>0</v>
      </c>
      <c r="N10" s="703" t="n">
        <v>206.592585</v>
      </c>
      <c r="O10" s="703">
        <f>SUM(L10:N10)</f>
        <v/>
      </c>
      <c r="P10" s="703" t="n">
        <v>4233.38058</v>
      </c>
      <c r="Q10" s="703" t="n">
        <v>0</v>
      </c>
      <c r="R10" s="703" t="n">
        <v>103.388547</v>
      </c>
      <c r="S10" s="703">
        <f>SUM(P10:R10)</f>
        <v/>
      </c>
      <c r="T10" s="703" t="n">
        <v>2418.943367</v>
      </c>
      <c r="U10" s="703" t="n">
        <v>2443.706261</v>
      </c>
      <c r="V10" s="703" t="n">
        <v>88.105912</v>
      </c>
      <c r="W10" s="703">
        <f>SUM(T10:V10)</f>
        <v/>
      </c>
      <c r="X10" s="703" t="n">
        <v>2574.496213</v>
      </c>
      <c r="Y10" s="703" t="n">
        <v>2927.70165</v>
      </c>
      <c r="Z10" s="703" t="n">
        <v>154.748145</v>
      </c>
      <c r="AA10" s="703">
        <f>SUM(X10:Z10)</f>
        <v/>
      </c>
      <c r="AB10" s="703" t="n">
        <v>745.691219</v>
      </c>
      <c r="AC10" s="703" t="n">
        <v>2330.36622</v>
      </c>
      <c r="AD10" s="703" t="n">
        <v>72.478376</v>
      </c>
      <c r="AE10" s="703">
        <f>SUM(AB10:AD10)</f>
        <v/>
      </c>
      <c r="AF10" s="703" t="n">
        <v>3042.835811</v>
      </c>
      <c r="AG10" s="318">
        <f>SUM(K10+O10+S10+W10+AA10+AE10+AF10)</f>
        <v/>
      </c>
      <c r="AH10" s="319">
        <f>IF(F10=0,"",K10/(F10/((YEAR(E10)*12+MONTH(E10))-(YEAR(D10)*12+MONTH(D10))+1)))</f>
        <v/>
      </c>
      <c r="AI10" s="319">
        <f>G10/F10</f>
        <v/>
      </c>
      <c r="AJ10" s="704">
        <f>F10-G10</f>
        <v/>
      </c>
      <c r="AK10" s="321">
        <f>SUM(F10:F13)</f>
        <v/>
      </c>
      <c r="AL10" s="322">
        <f>AL14</f>
        <v/>
      </c>
      <c r="AM10" s="705">
        <f>AM14</f>
        <v/>
      </c>
      <c r="AN10" s="706" t="inlineStr"/>
      <c r="AO10" s="706" t="inlineStr"/>
      <c r="AP10" s="706" t="inlineStr"/>
      <c r="AQ10" s="706" t="inlineStr"/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340.263021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304.3131</v>
      </c>
      <c r="M11" s="707" t="n">
        <v>0</v>
      </c>
      <c r="N11" s="707" t="n">
        <v>35.949921</v>
      </c>
      <c r="O11" s="707">
        <f>SUM(L11:N11)</f>
        <v/>
      </c>
      <c r="P11" s="707" t="n">
        <v>139.11456</v>
      </c>
      <c r="Q11" s="707" t="n">
        <v>2956.1844</v>
      </c>
      <c r="R11" s="707" t="n">
        <v>14.716853</v>
      </c>
      <c r="S11" s="707">
        <f>SUM(P11:R11)</f>
        <v/>
      </c>
      <c r="T11" s="707" t="n">
        <v>280.185418</v>
      </c>
      <c r="U11" s="707" t="n">
        <v>773.505646</v>
      </c>
      <c r="V11" s="707" t="n">
        <v>3.573146</v>
      </c>
      <c r="W11" s="707">
        <f>SUM(T11:V11)</f>
        <v/>
      </c>
      <c r="X11" s="707" t="n">
        <v>43.4733</v>
      </c>
      <c r="Y11" s="707" t="n">
        <v>0</v>
      </c>
      <c r="Z11" s="707" t="n">
        <v>10.334614</v>
      </c>
      <c r="AA11" s="707">
        <f>SUM(X11:Z11)</f>
        <v/>
      </c>
      <c r="AB11" s="707" t="n">
        <v>0</v>
      </c>
      <c r="AC11" s="707" t="n">
        <v>0</v>
      </c>
      <c r="AD11" s="707" t="n">
        <v>0</v>
      </c>
      <c r="AE11" s="707">
        <f>SUM(AB11:AD11)</f>
        <v/>
      </c>
      <c r="AF11" s="707" t="n">
        <v>0</v>
      </c>
      <c r="AG11" s="271">
        <f>SUM(K11+O11+S11+W11+AA11+AE11+AF11)</f>
        <v/>
      </c>
      <c r="AH11" s="326">
        <f>IF(F11=0,"",K11/(F11/((YEAR(E11)*12+MONTH(E11))-(YEAR(D11)*12+MONTH(D11))+1)))</f>
        <v/>
      </c>
      <c r="AI11" s="326">
        <f>G11/F11</f>
        <v/>
      </c>
      <c r="AJ11" s="708">
        <f>F11-G11</f>
        <v/>
      </c>
      <c r="AK11" s="500" t="n"/>
      <c r="AL11" s="500" t="n"/>
      <c r="AM11" s="500" t="n"/>
      <c r="AN11" s="706" t="inlineStr"/>
      <c r="AO11" s="706" t="inlineStr"/>
      <c r="AP11" s="706" t="inlineStr"/>
      <c r="AQ11" s="706" t="inlineStr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私人财富管理总监PWA3-5</t>
        </is>
      </c>
      <c r="D12" s="676" t="n">
        <v>46023</v>
      </c>
      <c r="E12" s="676" t="n">
        <v>46203</v>
      </c>
      <c r="F12" s="707" t="n">
        <v>24619.48</v>
      </c>
      <c r="G12" s="707" t="n">
        <v>22552.233026</v>
      </c>
      <c r="H12" s="707" t="n">
        <v>5487.872514</v>
      </c>
      <c r="I12" s="707" t="n">
        <v>0</v>
      </c>
      <c r="J12" s="707" t="n">
        <v>0</v>
      </c>
      <c r="K12" s="707">
        <f>SUM(H12:J12)</f>
        <v/>
      </c>
      <c r="L12" s="707" t="n">
        <v>5138.663789</v>
      </c>
      <c r="M12" s="707" t="n">
        <v>0</v>
      </c>
      <c r="N12" s="707" t="n">
        <v>787.892575</v>
      </c>
      <c r="O12" s="707">
        <f>SUM(L12:N12)</f>
        <v/>
      </c>
      <c r="P12" s="707" t="n">
        <v>527.86032</v>
      </c>
      <c r="Q12" s="707" t="n">
        <v>0</v>
      </c>
      <c r="R12" s="707" t="n">
        <v>176.99322</v>
      </c>
      <c r="S12" s="707">
        <f>SUM(P12:R12)</f>
        <v/>
      </c>
      <c r="T12" s="707" t="n">
        <v>5719.894428</v>
      </c>
      <c r="U12" s="707" t="n">
        <v>0</v>
      </c>
      <c r="V12" s="707" t="n">
        <v>170.991639</v>
      </c>
      <c r="W12" s="707">
        <f>SUM(T12:V12)</f>
        <v/>
      </c>
      <c r="X12" s="707" t="n">
        <v>2659.960961</v>
      </c>
      <c r="Y12" s="707" t="n">
        <v>0</v>
      </c>
      <c r="Z12" s="707" t="n">
        <v>743.622962</v>
      </c>
      <c r="AA12" s="707">
        <f>SUM(X12:Z12)</f>
        <v/>
      </c>
      <c r="AB12" s="707" t="n">
        <v>0</v>
      </c>
      <c r="AC12" s="707" t="n">
        <v>0</v>
      </c>
      <c r="AD12" s="707" t="n">
        <v>144.157177</v>
      </c>
      <c r="AE12" s="707">
        <f>SUM(AB12:AD12)</f>
        <v/>
      </c>
      <c r="AF12" s="707" t="n">
        <v>6482.195956</v>
      </c>
      <c r="AG12" s="271">
        <f>SUM(K12+O12+S12+W12+AA12+AE12+AF12)</f>
        <v/>
      </c>
      <c r="AH12" s="326">
        <f>IF(F12=0,"",K12/(F12/((YEAR(E12)*12+MONTH(E12))-(YEAR(D12)*12+MONTH(D12))+1)))</f>
        <v/>
      </c>
      <c r="AI12" s="326">
        <f>G12/F12</f>
        <v/>
      </c>
      <c r="AJ12" s="708">
        <f>F12-G12</f>
        <v/>
      </c>
      <c r="AK12" s="500" t="n"/>
      <c r="AL12" s="500" t="n"/>
      <c r="AM12" s="500" t="n"/>
      <c r="AN12" s="706" t="inlineStr"/>
      <c r="AO12" s="706" t="inlineStr"/>
      <c r="AP12" s="706" t="inlineStr"/>
      <c r="AQ12" s="706" t="inlineStr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私人财富管理总监PWA3-4</t>
        </is>
      </c>
      <c r="D13" s="676" t="n">
        <v>46054</v>
      </c>
      <c r="E13" s="676" t="n">
        <v>46203</v>
      </c>
      <c r="F13" s="707" t="n">
        <v>17115.15</v>
      </c>
      <c r="G13" s="707" t="n">
        <v>13403.709586</v>
      </c>
      <c r="H13" s="707" t="n">
        <v>3763.612289</v>
      </c>
      <c r="I13" s="707" t="n">
        <v>0</v>
      </c>
      <c r="J13" s="707" t="n">
        <v>0</v>
      </c>
      <c r="K13" s="707">
        <f>SUM(H13:J13)</f>
        <v/>
      </c>
      <c r="L13" s="707" t="n">
        <v>2826.176184</v>
      </c>
      <c r="M13" s="707" t="n">
        <v>0</v>
      </c>
      <c r="N13" s="707" t="n">
        <v>536.034869</v>
      </c>
      <c r="O13" s="707">
        <f>SUM(L13:N13)</f>
        <v/>
      </c>
      <c r="P13" s="707" t="n">
        <v>1000.951193</v>
      </c>
      <c r="Q13" s="707" t="n">
        <v>0</v>
      </c>
      <c r="R13" s="707" t="n">
        <v>278.383375</v>
      </c>
      <c r="S13" s="707">
        <f>SUM(P13:R13)</f>
        <v/>
      </c>
      <c r="T13" s="707" t="n">
        <v>3291.566745</v>
      </c>
      <c r="U13" s="707" t="n">
        <v>0</v>
      </c>
      <c r="V13" s="707" t="n">
        <v>242.965979</v>
      </c>
      <c r="W13" s="707">
        <f>SUM(T13:V13)</f>
        <v/>
      </c>
      <c r="X13" s="707" t="n">
        <v>3556.620439</v>
      </c>
      <c r="Y13" s="707" t="n">
        <v>0</v>
      </c>
      <c r="Z13" s="707" t="n">
        <v>446.103228</v>
      </c>
      <c r="AA13" s="707">
        <f>SUM(X13:Z13)</f>
        <v/>
      </c>
      <c r="AB13" s="707" t="n">
        <v>1054.327266</v>
      </c>
      <c r="AC13" s="707" t="n">
        <v>0</v>
      </c>
      <c r="AD13" s="707" t="n">
        <v>170.580309</v>
      </c>
      <c r="AE13" s="707">
        <f>SUM(AB13:AD13)</f>
        <v/>
      </c>
      <c r="AF13" s="707" t="n">
        <v>692.512431</v>
      </c>
      <c r="AG13" s="271">
        <f>SUM(K13+O13+S13+W13+AA13+AE13+AF13)</f>
        <v/>
      </c>
      <c r="AH13" s="326">
        <f>IF(F13=0,"",K13/(F13/((YEAR(E13)*12+MONTH(E13))-(YEAR(D13)*12+MONTH(D13))+1)))</f>
        <v/>
      </c>
      <c r="AI13" s="326">
        <f>G13/F13</f>
        <v/>
      </c>
      <c r="AJ13" s="708">
        <f>F13-G13</f>
        <v/>
      </c>
      <c r="AK13" s="513" t="n"/>
      <c r="AL13" s="513" t="n"/>
      <c r="AM13" s="513" t="n"/>
      <c r="AN13" s="706" t="inlineStr"/>
      <c r="AO13" s="706" t="inlineStr"/>
      <c r="AP13" s="706" t="inlineStr"/>
      <c r="AQ13" s="706" t="inlineStr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333">
        <f>SUM(K14+O14+S14+W14+AA14+AE14+AF14)</f>
        <v/>
      </c>
      <c r="AH14" s="335">
        <f>IF(F14=0,"",K14/(F14/((YEAR(E10)*12+MONTH(E10))-(YEAR(D10)*12+MONTH(D10))+1)))</f>
        <v/>
      </c>
      <c r="AI14" s="336">
        <f>G14/F14</f>
        <v/>
      </c>
      <c r="AJ14" s="715">
        <f>F14-G14</f>
        <v/>
      </c>
      <c r="AK14" s="337">
        <f>AK10</f>
        <v/>
      </c>
      <c r="AL14" s="335">
        <f>AG14/AK10</f>
        <v/>
      </c>
      <c r="AM14" s="712">
        <f>AK10-AG14</f>
        <v/>
      </c>
      <c r="AN14" s="713" t="inlineStr"/>
      <c r="AO14" s="713" t="inlineStr"/>
      <c r="AP14" s="713" t="inlineStr"/>
      <c r="AQ14" s="713" t="inlineStr"/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私人财富管理资深顾问PWA2-4</t>
        </is>
      </c>
      <c r="D15" s="693" t="n">
        <v>46023</v>
      </c>
      <c r="E15" s="693" t="n">
        <v>46203</v>
      </c>
      <c r="F15" s="703" t="n">
        <v>15648.4</v>
      </c>
      <c r="G15" s="703" t="n">
        <v>25005.058923</v>
      </c>
      <c r="H15" s="703" t="n">
        <v>1190.323875</v>
      </c>
      <c r="I15" s="703" t="n">
        <v>0</v>
      </c>
      <c r="J15" s="703" t="n">
        <v>0</v>
      </c>
      <c r="K15" s="703">
        <f>SUM(H15:J15)</f>
        <v/>
      </c>
      <c r="L15" s="703" t="n">
        <v>1521.715752</v>
      </c>
      <c r="M15" s="703" t="n">
        <v>14101.410508</v>
      </c>
      <c r="N15" s="703" t="n">
        <v>201.494206</v>
      </c>
      <c r="O15" s="703">
        <f>SUM(L15:N15)</f>
        <v/>
      </c>
      <c r="P15" s="703" t="n">
        <v>1776.618655</v>
      </c>
      <c r="Q15" s="703" t="n">
        <v>0</v>
      </c>
      <c r="R15" s="703" t="n">
        <v>64.972886</v>
      </c>
      <c r="S15" s="703">
        <f>SUM(P15:R15)</f>
        <v/>
      </c>
      <c r="T15" s="703" t="n">
        <v>2171.402323</v>
      </c>
      <c r="U15" s="703" t="n">
        <v>0</v>
      </c>
      <c r="V15" s="703" t="n">
        <v>15.631431</v>
      </c>
      <c r="W15" s="703">
        <f>SUM(T15:V15)</f>
        <v/>
      </c>
      <c r="X15" s="703" t="n">
        <v>1305.1575</v>
      </c>
      <c r="Y15" s="703" t="n">
        <v>1178.4864</v>
      </c>
      <c r="Z15" s="703" t="n">
        <v>22.441342</v>
      </c>
      <c r="AA15" s="703">
        <f>SUM(X15:Z15)</f>
        <v/>
      </c>
      <c r="AB15" s="703" t="n">
        <v>0</v>
      </c>
      <c r="AC15" s="703" t="n">
        <v>0</v>
      </c>
      <c r="AD15" s="703" t="n">
        <v>15.177921</v>
      </c>
      <c r="AE15" s="703">
        <f>SUM(AB15:AD15)</f>
        <v/>
      </c>
      <c r="AF15" s="703" t="n">
        <v>2630.55</v>
      </c>
      <c r="AG15" s="724">
        <f>SUM(K15+O15+S15+W15+AA15+AE15+AF15)</f>
        <v/>
      </c>
      <c r="AH15" s="319">
        <f>IF(F15=0,"",K15/(F15/((YEAR(E15)*12+MONTH(E15))-(YEAR(D15)*12+MONTH(D15))+1)))</f>
        <v/>
      </c>
      <c r="AI15" s="319">
        <f>G15/F15</f>
        <v/>
      </c>
      <c r="AJ15" s="724">
        <f>F15-G15</f>
        <v/>
      </c>
      <c r="AK15" s="321">
        <f>SUM(F15:F18)</f>
        <v/>
      </c>
      <c r="AL15" s="322">
        <f>AL19</f>
        <v/>
      </c>
      <c r="AM15" s="717">
        <f>AM19</f>
        <v/>
      </c>
      <c r="AN15" s="706" t="inlineStr"/>
      <c r="AO15" s="706" t="inlineStr"/>
      <c r="AP15" s="706" t="inlineStr"/>
      <c r="AQ15" s="706" t="inlineStr"/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</row>
    <row r="16" outlineLevel="1" ht="14.25" customFormat="1" customHeight="1" s="483">
      <c r="A16" s="500" t="n"/>
      <c r="B16" s="707" t="inlineStr">
        <is>
          <t>理财师091</t>
        </is>
      </c>
      <c r="C16" s="707" t="inlineStr">
        <is>
          <t>C3</t>
        </is>
      </c>
      <c r="D16" s="676" t="n">
        <v>45866</v>
      </c>
      <c r="E16" s="676" t="n">
        <v>46049</v>
      </c>
      <c r="F16" s="707" t="n">
        <v>4042.08</v>
      </c>
      <c r="G16" s="707" t="n">
        <v>1691.696497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0</v>
      </c>
      <c r="M16" s="707" t="n">
        <v>0</v>
      </c>
      <c r="N16" s="707" t="n">
        <v>11.31433</v>
      </c>
      <c r="O16" s="707">
        <f>SUM(L16:N16)</f>
        <v/>
      </c>
      <c r="P16" s="707" t="n">
        <v>0</v>
      </c>
      <c r="Q16" s="707" t="n">
        <v>0</v>
      </c>
      <c r="R16" s="707" t="n">
        <v>2.157894</v>
      </c>
      <c r="S16" s="707">
        <f>SUM(P16:R16)</f>
        <v/>
      </c>
      <c r="T16" s="707" t="n">
        <v>0</v>
      </c>
      <c r="U16" s="707" t="n">
        <v>0</v>
      </c>
      <c r="V16" s="707" t="n">
        <v>2.058637</v>
      </c>
      <c r="W16" s="707">
        <f>SUM(T16:V16)</f>
        <v/>
      </c>
      <c r="X16" s="707" t="n">
        <v>0</v>
      </c>
      <c r="Y16" s="707" t="n">
        <v>0</v>
      </c>
      <c r="Z16" s="707" t="n">
        <v>3.23046</v>
      </c>
      <c r="AA16" s="707">
        <f>SUM(X16:Z16)</f>
        <v/>
      </c>
      <c r="AB16" s="707" t="n">
        <v>25.0224</v>
      </c>
      <c r="AC16" s="707" t="n">
        <v>1050.9408</v>
      </c>
      <c r="AD16" s="707" t="n">
        <v>3.667668</v>
      </c>
      <c r="AE16" s="707">
        <f>SUM(AB16:AD16)</f>
        <v/>
      </c>
      <c r="AF16" s="707" t="n">
        <v>125.112</v>
      </c>
      <c r="AG16" s="271">
        <f>SUM(K16+O16+S16+W16+AA16+AE16+AF16)</f>
        <v/>
      </c>
      <c r="AH16" s="326">
        <f>IF(F16=0,"",K16/(F16/((YEAR(E16)*12+MONTH(E16))-(YEAR(D16)*12+MONTH(D16))+1)))</f>
        <v/>
      </c>
      <c r="AI16" s="326">
        <f>G16/F16</f>
        <v/>
      </c>
      <c r="AJ16" s="708">
        <f>F16-G16</f>
        <v/>
      </c>
      <c r="AK16" s="500" t="n"/>
      <c r="AL16" s="500" t="n"/>
      <c r="AM16" s="500" t="n"/>
      <c r="AN16" s="706" t="inlineStr"/>
      <c r="AO16" s="706" t="inlineStr"/>
      <c r="AP16" s="706" t="inlineStr"/>
      <c r="AQ16" s="706" t="inlineStr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</row>
    <row r="17" outlineLevel="1" ht="14.25" customFormat="1" customHeight="1" s="483">
      <c r="A17" s="500" t="n"/>
      <c r="B17" s="707" t="inlineStr">
        <is>
          <t>理财师035</t>
        </is>
      </c>
      <c r="C17" s="707" t="inlineStr"/>
      <c r="D17" s="707" t="inlineStr"/>
      <c r="E17" s="707" t="inlineStr"/>
      <c r="F17" s="707" t="n">
        <v>0</v>
      </c>
      <c r="G17" s="707" t="n">
        <v>5598.599415</v>
      </c>
      <c r="H17" s="707" t="n">
        <v>683.565792</v>
      </c>
      <c r="I17" s="707" t="n">
        <v>0</v>
      </c>
      <c r="J17" s="707" t="n">
        <v>0</v>
      </c>
      <c r="K17" s="707">
        <f>SUM(H17:J17)</f>
        <v/>
      </c>
      <c r="L17" s="707" t="n">
        <v>412.205196</v>
      </c>
      <c r="M17" s="707" t="n">
        <v>0</v>
      </c>
      <c r="N17" s="707" t="n">
        <v>61.849591</v>
      </c>
      <c r="O17" s="707">
        <f>SUM(L17:N17)</f>
        <v/>
      </c>
      <c r="P17" s="707" t="n">
        <v>539.9043</v>
      </c>
      <c r="Q17" s="707" t="n">
        <v>1859.14872</v>
      </c>
      <c r="R17" s="707" t="n">
        <v>44.064709</v>
      </c>
      <c r="S17" s="707">
        <f>SUM(P17:R17)</f>
        <v/>
      </c>
      <c r="T17" s="707" t="n">
        <v>0</v>
      </c>
      <c r="U17" s="707" t="n">
        <v>0</v>
      </c>
      <c r="V17" s="707" t="n">
        <v>43.453355</v>
      </c>
      <c r="W17" s="707">
        <f>SUM(T17:V17)</f>
        <v/>
      </c>
      <c r="X17" s="707" t="n">
        <v>0</v>
      </c>
      <c r="Y17" s="707" t="n">
        <v>1943.65548</v>
      </c>
      <c r="Z17" s="707" t="n">
        <v>10.752272</v>
      </c>
      <c r="AA17" s="707">
        <f>SUM(X17:Z17)</f>
        <v/>
      </c>
      <c r="AB17" s="707" t="n">
        <v>0</v>
      </c>
      <c r="AC17" s="707" t="n">
        <v>0</v>
      </c>
      <c r="AD17" s="707" t="n">
        <v>0</v>
      </c>
      <c r="AE17" s="707">
        <f>SUM(AB17:AD17)</f>
        <v/>
      </c>
      <c r="AF17" s="707" t="n">
        <v>0</v>
      </c>
      <c r="AG17" s="271">
        <f>SUM(K17+O17+S17+W17+AA17+AE17+AF17)</f>
        <v/>
      </c>
      <c r="AH17" s="326">
        <f>IF(F17=0,"",K17/(F17/MAX(1,(YEAR(E17)*12+MONTH(E17))-(YEAR(D17)*12+MONTH(D17))+1)))</f>
        <v/>
      </c>
      <c r="AI17" s="326">
        <f>G17/F17</f>
        <v/>
      </c>
      <c r="AJ17" s="708">
        <f>F17-G17</f>
        <v/>
      </c>
      <c r="AK17" s="500" t="n"/>
      <c r="AL17" s="500" t="n"/>
      <c r="AM17" s="500" t="n"/>
      <c r="AN17" s="706" t="inlineStr"/>
      <c r="AO17" s="706" t="inlineStr"/>
      <c r="AP17" s="706" t="inlineStr"/>
      <c r="AQ17" s="706" t="inlineStr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</row>
    <row r="18" outlineLevel="1" ht="14.25" customFormat="1" customHeight="1" s="483">
      <c r="A18" s="513" t="n"/>
      <c r="B18" s="707" t="inlineStr">
        <is>
          <t>理财师007</t>
        </is>
      </c>
      <c r="C18" s="707" t="inlineStr">
        <is>
          <t>私人财富管理专家PWA4-4</t>
        </is>
      </c>
      <c r="D18" s="676" t="n">
        <v>46054</v>
      </c>
      <c r="E18" s="676" t="n">
        <v>46203</v>
      </c>
      <c r="F18" s="707" t="n">
        <v>25870.625</v>
      </c>
      <c r="G18" s="707" t="n">
        <v>35462.605985</v>
      </c>
      <c r="H18" s="707" t="n">
        <v>3696.581357</v>
      </c>
      <c r="I18" s="707" t="n">
        <v>0</v>
      </c>
      <c r="J18" s="707" t="n">
        <v>0</v>
      </c>
      <c r="K18" s="707">
        <f>SUM(H18:J18)</f>
        <v/>
      </c>
      <c r="L18" s="707" t="n">
        <v>4030.216259</v>
      </c>
      <c r="M18" s="707" t="n">
        <v>0</v>
      </c>
      <c r="N18" s="707" t="n">
        <v>591.382342</v>
      </c>
      <c r="O18" s="707">
        <f>SUM(L18:N18)</f>
        <v/>
      </c>
      <c r="P18" s="707" t="n">
        <v>1274.903482</v>
      </c>
      <c r="Q18" s="707" t="n">
        <v>3566.1951</v>
      </c>
      <c r="R18" s="707" t="n">
        <v>343.572179</v>
      </c>
      <c r="S18" s="707">
        <f>SUM(P18:R18)</f>
        <v/>
      </c>
      <c r="T18" s="707" t="n">
        <v>2660.12632</v>
      </c>
      <c r="U18" s="707" t="n">
        <v>0</v>
      </c>
      <c r="V18" s="707" t="n">
        <v>331.400492</v>
      </c>
      <c r="W18" s="707">
        <f>SUM(T18:V18)</f>
        <v/>
      </c>
      <c r="X18" s="707" t="n">
        <v>3406.959578</v>
      </c>
      <c r="Y18" s="707" t="n">
        <v>14793.1056</v>
      </c>
      <c r="Z18" s="707" t="n">
        <v>606.358521</v>
      </c>
      <c r="AA18" s="707">
        <f>SUM(X18:Z18)</f>
        <v/>
      </c>
      <c r="AB18" s="707" t="n">
        <v>3557.362586</v>
      </c>
      <c r="AC18" s="707" t="n">
        <v>0</v>
      </c>
      <c r="AD18" s="707" t="n">
        <v>301.023526</v>
      </c>
      <c r="AE18" s="707">
        <f>SUM(AB18:AD18)</f>
        <v/>
      </c>
      <c r="AF18" s="707" t="n">
        <v>8988.571889000001</v>
      </c>
      <c r="AG18" s="271">
        <f>SUM(K18+O18+S18+W18+AA18+AE18+AF18)</f>
        <v/>
      </c>
      <c r="AH18" s="326">
        <f>IF(F18=0,"",K18/(F18/((YEAR(E18)*12+MONTH(E18))-(YEAR(D18)*12+MONTH(D18))+1)))</f>
        <v/>
      </c>
      <c r="AI18" s="326">
        <f>G18/F18</f>
        <v/>
      </c>
      <c r="AJ18" s="708">
        <f>F18-G18</f>
        <v/>
      </c>
      <c r="AK18" s="513" t="n"/>
      <c r="AL18" s="513" t="n"/>
      <c r="AM18" s="513" t="n"/>
      <c r="AN18" s="706" t="inlineStr"/>
      <c r="AO18" s="706" t="inlineStr"/>
      <c r="AP18" s="706" t="inlineStr"/>
      <c r="AQ18" s="706" t="inlineStr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</row>
    <row r="19" outlineLevel="1" ht="14.25" customFormat="1" customHeight="1" s="483">
      <c r="A19" s="710" t="inlineStr">
        <is>
          <t>合计</t>
        </is>
      </c>
      <c r="B19" s="518" t="n"/>
      <c r="C19" s="518" t="n"/>
      <c r="D19" s="518" t="n"/>
      <c r="E19" s="578" t="n"/>
      <c r="F19" s="333">
        <f>SUM(F15:F18)</f>
        <v/>
      </c>
      <c r="G19" s="710">
        <f>SUM(G15:G18)</f>
        <v/>
      </c>
      <c r="H19" s="710">
        <f>SUM(H15:H18)</f>
        <v/>
      </c>
      <c r="I19" s="710">
        <f>SUM(I15:I18)</f>
        <v/>
      </c>
      <c r="J19" s="710">
        <f>SUM(J15:J18)</f>
        <v/>
      </c>
      <c r="K19" s="710">
        <f>SUM(K15:K18)</f>
        <v/>
      </c>
      <c r="L19" s="710">
        <f>SUM(L15:L18)</f>
        <v/>
      </c>
      <c r="M19" s="710">
        <f>SUM(M15:M18)</f>
        <v/>
      </c>
      <c r="N19" s="710">
        <f>SUM(N15:N18)</f>
        <v/>
      </c>
      <c r="O19" s="710">
        <f>SUM(O15:O18)</f>
        <v/>
      </c>
      <c r="P19" s="710">
        <f>SUM(P15:P18)</f>
        <v/>
      </c>
      <c r="Q19" s="710">
        <f>SUM(Q15:Q18)</f>
        <v/>
      </c>
      <c r="R19" s="710">
        <f>SUM(R15:R18)</f>
        <v/>
      </c>
      <c r="S19" s="710">
        <f>SUM(S15:S18)</f>
        <v/>
      </c>
      <c r="T19" s="710">
        <f>SUM(T15:T18)</f>
        <v/>
      </c>
      <c r="U19" s="710">
        <f>SUM(U15:U18)</f>
        <v/>
      </c>
      <c r="V19" s="710">
        <f>SUM(V15:V18)</f>
        <v/>
      </c>
      <c r="W19" s="710">
        <f>SUM(W15:W18)</f>
        <v/>
      </c>
      <c r="X19" s="710">
        <f>SUM(X15:X18)</f>
        <v/>
      </c>
      <c r="Y19" s="710">
        <f>SUM(Y15:Y18)</f>
        <v/>
      </c>
      <c r="Z19" s="710">
        <f>SUM(Z15:Z18)</f>
        <v/>
      </c>
      <c r="AA19" s="710">
        <f>SUM(AA15:AA18)</f>
        <v/>
      </c>
      <c r="AB19" s="710">
        <f>SUM(AB15:AB18)</f>
        <v/>
      </c>
      <c r="AC19" s="710">
        <f>SUM(AC15:AC18)</f>
        <v/>
      </c>
      <c r="AD19" s="710">
        <f>SUM(AD15:AD18)</f>
        <v/>
      </c>
      <c r="AE19" s="710">
        <f>SUM(AE15:AE18)</f>
        <v/>
      </c>
      <c r="AF19" s="710">
        <f>SUM(AF15:AF18)</f>
        <v/>
      </c>
      <c r="AG19" s="711">
        <f>SUM(K19+O19+S19+W19+AA19+AE19+AF19)</f>
        <v/>
      </c>
      <c r="AH19" s="335">
        <f>IF(F19=0,"",K19/(F19/((YEAR(E15)*12+MONTH(E15))-(YEAR(D15)*12+MONTH(D15))+1)))</f>
        <v/>
      </c>
      <c r="AI19" s="336">
        <f>G19/F19</f>
        <v/>
      </c>
      <c r="AJ19" s="711">
        <f>F19-G19</f>
        <v/>
      </c>
      <c r="AK19" s="337">
        <f>AK15</f>
        <v/>
      </c>
      <c r="AL19" s="335">
        <f>AG19/AK15</f>
        <v/>
      </c>
      <c r="AM19" s="712">
        <f>AK15-AG19</f>
        <v/>
      </c>
      <c r="AN19" s="713" t="inlineStr"/>
      <c r="AO19" s="713" t="inlineStr"/>
      <c r="AP19" s="713" t="inlineStr"/>
      <c r="AQ19" s="713" t="inlineStr"/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</row>
    <row r="20" outlineLevel="1" ht="14.25" customFormat="1" customHeight="1" s="483">
      <c r="A20" s="703" t="inlineStr">
        <is>
          <t>理财师016</t>
        </is>
      </c>
      <c r="B20" s="703" t="inlineStr">
        <is>
          <t>理财师028</t>
        </is>
      </c>
      <c r="C20" s="703" t="inlineStr">
        <is>
          <t>私人财富管理专家PWA4-5</t>
        </is>
      </c>
      <c r="D20" s="693" t="n">
        <v>46001</v>
      </c>
      <c r="E20" s="693" t="n">
        <v>46182</v>
      </c>
      <c r="F20" s="703" t="n">
        <v>23502</v>
      </c>
      <c r="G20" s="703" t="n">
        <v>337.57095</v>
      </c>
      <c r="H20" s="703" t="n">
        <v>76.3815</v>
      </c>
      <c r="I20" s="703" t="n">
        <v>0</v>
      </c>
      <c r="J20" s="703" t="n">
        <v>0</v>
      </c>
      <c r="K20" s="703">
        <f>SUM(H20:J20)</f>
        <v/>
      </c>
      <c r="L20" s="703" t="n">
        <v>488.8416</v>
      </c>
      <c r="M20" s="703" t="n">
        <v>0</v>
      </c>
      <c r="N20" s="703" t="n">
        <v>90.34230599999999</v>
      </c>
      <c r="O20" s="703">
        <f>SUM(L20:N20)</f>
        <v/>
      </c>
      <c r="P20" s="703" t="n">
        <v>305.526</v>
      </c>
      <c r="Q20" s="703" t="n">
        <v>0</v>
      </c>
      <c r="R20" s="703" t="n">
        <v>0</v>
      </c>
      <c r="S20" s="703">
        <f>SUM(P20:R20)</f>
        <v/>
      </c>
      <c r="T20" s="703" t="n">
        <v>0</v>
      </c>
      <c r="U20" s="703" t="n">
        <v>0</v>
      </c>
      <c r="V20" s="703" t="n">
        <v>0</v>
      </c>
      <c r="W20" s="703">
        <f>SUM(T20:V20)</f>
        <v/>
      </c>
      <c r="X20" s="703" t="n">
        <v>0</v>
      </c>
      <c r="Y20" s="703" t="n">
        <v>0</v>
      </c>
      <c r="Z20" s="703" t="n">
        <v>32.04495</v>
      </c>
      <c r="AA20" s="703">
        <f>SUM(X20:Z20)</f>
        <v/>
      </c>
      <c r="AB20" s="703" t="n">
        <v>0</v>
      </c>
      <c r="AC20" s="703" t="n">
        <v>0</v>
      </c>
      <c r="AD20" s="703" t="n">
        <v>0</v>
      </c>
      <c r="AE20" s="703">
        <f>SUM(AB20:AD20)</f>
        <v/>
      </c>
      <c r="AF20" s="703" t="n">
        <v>0</v>
      </c>
      <c r="AG20" s="318">
        <f>SUM(K20+O20+S20+W20+AA20+AE20+AF20)</f>
        <v/>
      </c>
      <c r="AH20" s="319">
        <f>IF(F20=0,"",K20/(F20/((YEAR(E20)*12+MONTH(E20))-(YEAR(D20)*12+MONTH(D20))+1)))</f>
        <v/>
      </c>
      <c r="AI20" s="319">
        <f>G20/F20</f>
        <v/>
      </c>
      <c r="AJ20" s="704">
        <f>F20-G20</f>
        <v/>
      </c>
      <c r="AK20" s="321">
        <f>SUM(F20:F22)</f>
        <v/>
      </c>
      <c r="AL20" s="322">
        <f>AL23</f>
        <v/>
      </c>
      <c r="AM20" s="705">
        <f>AM23</f>
        <v/>
      </c>
      <c r="AN20" s="706" t="inlineStr"/>
      <c r="AO20" s="706" t="inlineStr"/>
      <c r="AP20" s="706" t="inlineStr"/>
      <c r="AQ20" s="706" t="inlineStr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</row>
    <row r="21" outlineLevel="1" ht="14.25" customFormat="1" customHeight="1" s="483">
      <c r="A21" s="500" t="n"/>
      <c r="B21" s="707" t="inlineStr">
        <is>
          <t>理财师015</t>
        </is>
      </c>
      <c r="C21" s="707" t="inlineStr">
        <is>
          <t>私人财富管理资深顾问PWA2-4</t>
        </is>
      </c>
      <c r="D21" s="676" t="n">
        <v>45992</v>
      </c>
      <c r="E21" s="676" t="n">
        <v>46203</v>
      </c>
      <c r="F21" s="707" t="n">
        <v>11461.38</v>
      </c>
      <c r="G21" s="707" t="n">
        <v>5540.630636</v>
      </c>
      <c r="H21" s="707" t="n">
        <v>0</v>
      </c>
      <c r="I21" s="707" t="n">
        <v>2212.9497</v>
      </c>
      <c r="J21" s="707" t="n">
        <v>0</v>
      </c>
      <c r="K21" s="707">
        <f>SUM(H21:J21)</f>
        <v/>
      </c>
      <c r="L21" s="707" t="n">
        <v>42.846788</v>
      </c>
      <c r="M21" s="707" t="n">
        <v>0</v>
      </c>
      <c r="N21" s="707" t="n">
        <v>56.785916</v>
      </c>
      <c r="O21" s="707">
        <f>SUM(L21:N21)</f>
        <v/>
      </c>
      <c r="P21" s="707" t="n">
        <v>494.115336</v>
      </c>
      <c r="Q21" s="707" t="n">
        <v>0</v>
      </c>
      <c r="R21" s="707" t="n">
        <v>46.211266</v>
      </c>
      <c r="S21" s="707">
        <f>SUM(P21:R21)</f>
        <v/>
      </c>
      <c r="T21" s="707" t="n">
        <v>0</v>
      </c>
      <c r="U21" s="707" t="n">
        <v>0</v>
      </c>
      <c r="V21" s="707" t="n">
        <v>37.443523</v>
      </c>
      <c r="W21" s="707">
        <f>SUM(T21:V21)</f>
        <v/>
      </c>
      <c r="X21" s="707" t="n">
        <v>198.1746</v>
      </c>
      <c r="Y21" s="707" t="n">
        <v>0</v>
      </c>
      <c r="Z21" s="707" t="n">
        <v>29.640215</v>
      </c>
      <c r="AA21" s="707">
        <f>SUM(X21:Z21)</f>
        <v/>
      </c>
      <c r="AB21" s="707" t="n">
        <v>0.8469</v>
      </c>
      <c r="AC21" s="707" t="n">
        <v>4558.0158</v>
      </c>
      <c r="AD21" s="707" t="n">
        <v>19.389048</v>
      </c>
      <c r="AE21" s="707">
        <f>SUM(AB21:AD21)</f>
        <v/>
      </c>
      <c r="AF21" s="707" t="n">
        <v>21.644177</v>
      </c>
      <c r="AG21" s="271">
        <f>SUM(K21+O21+S21+W21+AA21+AE21+AF21)</f>
        <v/>
      </c>
      <c r="AH21" s="326">
        <f>IF(F21=0,"",K21/(F21/((YEAR(E21)*12+MONTH(E21))-(YEAR(D21)*12+MONTH(D21))+1)))</f>
        <v/>
      </c>
      <c r="AI21" s="326">
        <f>G21/F21</f>
        <v/>
      </c>
      <c r="AJ21" s="708">
        <f>F21-G21</f>
        <v/>
      </c>
      <c r="AK21" s="500" t="n"/>
      <c r="AL21" s="500" t="n"/>
      <c r="AM21" s="500" t="n"/>
      <c r="AN21" s="706" t="inlineStr"/>
      <c r="AO21" s="706" t="inlineStr"/>
      <c r="AP21" s="706" t="inlineStr"/>
      <c r="AQ21" s="706" t="inlineStr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</row>
    <row r="22" outlineLevel="1" ht="14.25" customFormat="1" customHeight="1" s="483">
      <c r="A22" s="513" t="n"/>
      <c r="B22" s="707" t="inlineStr">
        <is>
          <t>理财师016</t>
        </is>
      </c>
      <c r="C22" s="707" t="inlineStr">
        <is>
          <t>私人财富管理资深顾问PWA2-4</t>
        </is>
      </c>
      <c r="D22" s="676" t="n">
        <v>46023</v>
      </c>
      <c r="E22" s="676" t="n">
        <v>46203</v>
      </c>
      <c r="F22" s="707" t="n">
        <v>8731.32</v>
      </c>
      <c r="G22" s="707" t="n">
        <v>12759.025525</v>
      </c>
      <c r="H22" s="707" t="n">
        <v>1489.781475</v>
      </c>
      <c r="I22" s="707" t="n">
        <v>1188.904234</v>
      </c>
      <c r="J22" s="707" t="n">
        <v>0</v>
      </c>
      <c r="K22" s="707">
        <f>SUM(H22:J22)</f>
        <v/>
      </c>
      <c r="L22" s="707" t="n">
        <v>1356.21486</v>
      </c>
      <c r="M22" s="707" t="n">
        <v>0</v>
      </c>
      <c r="N22" s="707" t="n">
        <v>318.416359</v>
      </c>
      <c r="O22" s="707">
        <f>SUM(L22:N22)</f>
        <v/>
      </c>
      <c r="P22" s="707" t="n">
        <v>2200.72469</v>
      </c>
      <c r="Q22" s="707" t="n">
        <v>0</v>
      </c>
      <c r="R22" s="707" t="n">
        <v>130.270558</v>
      </c>
      <c r="S22" s="707">
        <f>SUM(P22:R22)</f>
        <v/>
      </c>
      <c r="T22" s="707" t="n">
        <v>1832.902273</v>
      </c>
      <c r="U22" s="707" t="n">
        <v>0</v>
      </c>
      <c r="V22" s="707" t="n">
        <v>114.994826</v>
      </c>
      <c r="W22" s="707">
        <f>SUM(T22:V22)</f>
        <v/>
      </c>
      <c r="X22" s="707" t="n">
        <v>220.16475</v>
      </c>
      <c r="Y22" s="707" t="n">
        <v>0</v>
      </c>
      <c r="Z22" s="707" t="n">
        <v>158.674065</v>
      </c>
      <c r="AA22" s="707">
        <f>SUM(X22:Z22)</f>
        <v/>
      </c>
      <c r="AB22" s="707" t="n">
        <v>3847.561596</v>
      </c>
      <c r="AC22" s="707" t="n">
        <v>0</v>
      </c>
      <c r="AD22" s="707" t="n">
        <v>39.036743</v>
      </c>
      <c r="AE22" s="707">
        <f>SUM(AB22:AD22)</f>
        <v/>
      </c>
      <c r="AF22" s="707" t="n">
        <v>2540.064804</v>
      </c>
      <c r="AG22" s="271">
        <f>SUM(K22+O22+S22+W22+AA22+AE22+AF22)</f>
        <v/>
      </c>
      <c r="AH22" s="326">
        <f>IF(F22=0,"",K22/(F22/((YEAR(E22)*12+MONTH(E22))-(YEAR(D22)*12+MONTH(D22))+1)))</f>
        <v/>
      </c>
      <c r="AI22" s="326">
        <f>G22/F22</f>
        <v/>
      </c>
      <c r="AJ22" s="708">
        <f>F22-G22</f>
        <v/>
      </c>
      <c r="AK22" s="513" t="n"/>
      <c r="AL22" s="513" t="n"/>
      <c r="AM22" s="513" t="n"/>
      <c r="AN22" s="706" t="inlineStr"/>
      <c r="AO22" s="706" t="inlineStr"/>
      <c r="AP22" s="706" t="inlineStr"/>
      <c r="AQ22" s="706" t="inlineStr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</row>
    <row r="23" outlineLevel="1" ht="14.25" customFormat="1" customHeight="1" s="483">
      <c r="A23" s="710" t="inlineStr">
        <is>
          <t>合计</t>
        </is>
      </c>
      <c r="B23" s="518" t="n"/>
      <c r="C23" s="518" t="n"/>
      <c r="D23" s="518" t="n"/>
      <c r="E23" s="578" t="n"/>
      <c r="F23" s="333">
        <f>SUM(F20:F22)</f>
        <v/>
      </c>
      <c r="G23" s="710">
        <f>SUM(G20:G22)</f>
        <v/>
      </c>
      <c r="H23" s="710">
        <f>SUM(H20:H22)</f>
        <v/>
      </c>
      <c r="I23" s="710">
        <f>SUM(I20:I22)</f>
        <v/>
      </c>
      <c r="J23" s="710">
        <f>SUM(J20:J22)</f>
        <v/>
      </c>
      <c r="K23" s="710">
        <f>SUM(K20:K22)</f>
        <v/>
      </c>
      <c r="L23" s="710">
        <f>SUM(L20:L22)</f>
        <v/>
      </c>
      <c r="M23" s="710">
        <f>SUM(M20:M22)</f>
        <v/>
      </c>
      <c r="N23" s="710">
        <f>SUM(N20:N22)</f>
        <v/>
      </c>
      <c r="O23" s="710">
        <f>SUM(O20:O22)</f>
        <v/>
      </c>
      <c r="P23" s="710">
        <f>SUM(P20:P22)</f>
        <v/>
      </c>
      <c r="Q23" s="710">
        <f>SUM(Q20:Q22)</f>
        <v/>
      </c>
      <c r="R23" s="710">
        <f>SUM(R20:R22)</f>
        <v/>
      </c>
      <c r="S23" s="710">
        <f>SUM(S20:S22)</f>
        <v/>
      </c>
      <c r="T23" s="710">
        <f>SUM(T20:T22)</f>
        <v/>
      </c>
      <c r="U23" s="710">
        <f>SUM(U20:U22)</f>
        <v/>
      </c>
      <c r="V23" s="710">
        <f>SUM(V20:V22)</f>
        <v/>
      </c>
      <c r="W23" s="710">
        <f>SUM(W20:W22)</f>
        <v/>
      </c>
      <c r="X23" s="710">
        <f>SUM(X20:X22)</f>
        <v/>
      </c>
      <c r="Y23" s="710">
        <f>SUM(Y20:Y22)</f>
        <v/>
      </c>
      <c r="Z23" s="710">
        <f>SUM(Z20:Z22)</f>
        <v/>
      </c>
      <c r="AA23" s="710">
        <f>SUM(AA20:AA22)</f>
        <v/>
      </c>
      <c r="AB23" s="710">
        <f>SUM(AB20:AB22)</f>
        <v/>
      </c>
      <c r="AC23" s="710">
        <f>SUM(AC20:AC22)</f>
        <v/>
      </c>
      <c r="AD23" s="710">
        <f>SUM(AD20:AD22)</f>
        <v/>
      </c>
      <c r="AE23" s="710">
        <f>SUM(AE20:AE22)</f>
        <v/>
      </c>
      <c r="AF23" s="710">
        <f>SUM(AF20:AF22)</f>
        <v/>
      </c>
      <c r="AG23" s="333">
        <f>SUM(K23+O23+S23+W23+AA23+AE23+AF23)</f>
        <v/>
      </c>
      <c r="AH23" s="335">
        <f>IF(F23=0,"",K23/(F23/((YEAR(E20)*12+MONTH(E20))-(YEAR(D20)*12+MONTH(D20))+1)))</f>
        <v/>
      </c>
      <c r="AI23" s="336">
        <f>G23/F23</f>
        <v/>
      </c>
      <c r="AJ23" s="715">
        <f>F23-G23</f>
        <v/>
      </c>
      <c r="AK23" s="337">
        <f>AK20</f>
        <v/>
      </c>
      <c r="AL23" s="335">
        <f>AG23/AK20</f>
        <v/>
      </c>
      <c r="AM23" s="712">
        <f>AK20-AG23</f>
        <v/>
      </c>
      <c r="AN23" s="713" t="inlineStr"/>
      <c r="AO23" s="713" t="inlineStr"/>
      <c r="AP23" s="713" t="inlineStr"/>
      <c r="AQ23" s="713" t="inlineStr"/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</row>
    <row r="24" outlineLevel="1" ht="14.25" customFormat="1" customHeight="1" s="483">
      <c r="A24" s="703" t="inlineStr">
        <is>
          <t>理财师002</t>
        </is>
      </c>
      <c r="B24" s="703" t="inlineStr">
        <is>
          <t>理财师001</t>
        </is>
      </c>
      <c r="C24" s="703" t="inlineStr">
        <is>
          <t>私人财富管理顾问PWA1-2</t>
        </is>
      </c>
      <c r="D24" s="693" t="n">
        <v>46023</v>
      </c>
      <c r="E24" s="693" t="n">
        <v>46203</v>
      </c>
      <c r="F24" s="703" t="n">
        <v>4993.22</v>
      </c>
      <c r="G24" s="703" t="n">
        <v>6799.556221</v>
      </c>
      <c r="H24" s="703" t="n">
        <v>134.3004</v>
      </c>
      <c r="I24" s="703" t="n">
        <v>0</v>
      </c>
      <c r="J24" s="703" t="n">
        <v>0</v>
      </c>
      <c r="K24" s="703">
        <f>SUM(H24:J24)</f>
        <v/>
      </c>
      <c r="L24" s="703" t="n">
        <v>1035.385146</v>
      </c>
      <c r="M24" s="703" t="n">
        <v>0</v>
      </c>
      <c r="N24" s="703" t="n">
        <v>713.811077</v>
      </c>
      <c r="O24" s="703">
        <f>SUM(L24:N24)</f>
        <v/>
      </c>
      <c r="P24" s="703" t="n">
        <v>121.826127</v>
      </c>
      <c r="Q24" s="703" t="n">
        <v>0</v>
      </c>
      <c r="R24" s="703" t="n">
        <v>638.531805</v>
      </c>
      <c r="S24" s="703">
        <f>SUM(P24:R24)</f>
        <v/>
      </c>
      <c r="T24" s="703" t="n">
        <v>88.54274700000001</v>
      </c>
      <c r="U24" s="703" t="n">
        <v>0</v>
      </c>
      <c r="V24" s="703" t="n">
        <v>616.124389</v>
      </c>
      <c r="W24" s="703">
        <f>SUM(T24:V24)</f>
        <v/>
      </c>
      <c r="X24" s="703" t="n">
        <v>50.830377</v>
      </c>
      <c r="Y24" s="703" t="n">
        <v>0</v>
      </c>
      <c r="Z24" s="703" t="n">
        <v>791.318135</v>
      </c>
      <c r="AA24" s="703">
        <f>SUM(X24:Z24)</f>
        <v/>
      </c>
      <c r="AB24" s="703" t="n">
        <v>153.11976</v>
      </c>
      <c r="AC24" s="703" t="n">
        <v>0</v>
      </c>
      <c r="AD24" s="703" t="n">
        <v>560.548117</v>
      </c>
      <c r="AE24" s="703">
        <f>SUM(AB24:AD24)</f>
        <v/>
      </c>
      <c r="AF24" s="703" t="n">
        <v>2029.518541</v>
      </c>
      <c r="AG24" s="724">
        <f>SUM(K24+O24+S24+W24+AA24+AE24+AF24)</f>
        <v/>
      </c>
      <c r="AH24" s="319">
        <f>IF(F24=0,"",K24/(F24/((YEAR(E24)*12+MONTH(E24))-(YEAR(D24)*12+MONTH(D24))+1)))</f>
        <v/>
      </c>
      <c r="AI24" s="319">
        <f>G24/F24</f>
        <v/>
      </c>
      <c r="AJ24" s="724">
        <f>F24-G24</f>
        <v/>
      </c>
      <c r="AK24" s="321">
        <f>SUM(F24:F26)</f>
        <v/>
      </c>
      <c r="AL24" s="322">
        <f>AL27</f>
        <v/>
      </c>
      <c r="AM24" s="725">
        <f>AM27</f>
        <v/>
      </c>
      <c r="AN24" s="706" t="inlineStr"/>
      <c r="AO24" s="706" t="inlineStr"/>
      <c r="AP24" s="706" t="inlineStr"/>
      <c r="AQ24" s="706" t="inlineStr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</row>
    <row r="25" outlineLevel="1" ht="14.25" customFormat="1" customHeight="1" s="483">
      <c r="A25" s="500" t="n"/>
      <c r="B25" s="707" t="inlineStr">
        <is>
          <t>理财师027</t>
        </is>
      </c>
      <c r="C25" s="707" t="inlineStr">
        <is>
          <t>私人财富管理顾问PWA1-3</t>
        </is>
      </c>
      <c r="D25" s="676" t="n">
        <v>46125</v>
      </c>
      <c r="E25" s="676" t="n">
        <v>46326</v>
      </c>
      <c r="F25" s="707" t="n">
        <v>4774.516274</v>
      </c>
      <c r="G25" s="707" t="n">
        <v>424.447646</v>
      </c>
      <c r="H25" s="707" t="n">
        <v>106.8132</v>
      </c>
      <c r="I25" s="707" t="n">
        <v>0</v>
      </c>
      <c r="J25" s="707" t="n">
        <v>0</v>
      </c>
      <c r="K25" s="707">
        <f>SUM(H25:J25)</f>
        <v/>
      </c>
      <c r="L25" s="707" t="n">
        <v>63.103793</v>
      </c>
      <c r="M25" s="707" t="n">
        <v>0</v>
      </c>
      <c r="N25" s="707" t="n">
        <v>22.083459</v>
      </c>
      <c r="O25" s="707">
        <f>SUM(L25:N25)</f>
        <v/>
      </c>
      <c r="P25" s="707" t="n">
        <v>63.1797</v>
      </c>
      <c r="Q25" s="707" t="n">
        <v>0</v>
      </c>
      <c r="R25" s="707" t="n">
        <v>19.121258</v>
      </c>
      <c r="S25" s="707">
        <f>SUM(P25:R25)</f>
        <v/>
      </c>
      <c r="T25" s="707" t="n">
        <v>135.387173</v>
      </c>
      <c r="U25" s="707" t="n">
        <v>3685.0554</v>
      </c>
      <c r="V25" s="707" t="n">
        <v>14.759064</v>
      </c>
      <c r="W25" s="707">
        <f>SUM(T25:V25)</f>
        <v/>
      </c>
      <c r="X25" s="707" t="n">
        <v>0</v>
      </c>
      <c r="Y25" s="707" t="n">
        <v>0</v>
      </c>
      <c r="Z25" s="707" t="n">
        <v>2.181886</v>
      </c>
      <c r="AA25" s="707">
        <f>SUM(X25:Z25)</f>
        <v/>
      </c>
      <c r="AB25" s="707" t="n">
        <v>0</v>
      </c>
      <c r="AC25" s="707" t="n">
        <v>0</v>
      </c>
      <c r="AD25" s="707" t="n">
        <v>1.481485</v>
      </c>
      <c r="AE25" s="707">
        <f>SUM(AB25:AD25)</f>
        <v/>
      </c>
      <c r="AF25" s="707" t="n">
        <v>66.75825</v>
      </c>
      <c r="AG25" s="271">
        <f>SUM(K25+O25+S25+W25+AA25+AE25+AF25)</f>
        <v/>
      </c>
      <c r="AH25" s="326">
        <f>IF(F25=0,"",K25/(F25/((YEAR(E25)*12+MONTH(E25))-(YEAR(D25)*12+MONTH(D25))+1)))</f>
        <v/>
      </c>
      <c r="AI25" s="326">
        <f>G25/F25</f>
        <v/>
      </c>
      <c r="AJ25" s="708">
        <f>F25-G25</f>
        <v/>
      </c>
      <c r="AK25" s="500" t="n"/>
      <c r="AL25" s="500" t="n"/>
      <c r="AM25" s="500" t="n"/>
      <c r="AN25" s="706" t="inlineStr"/>
      <c r="AO25" s="706" t="inlineStr"/>
      <c r="AP25" s="706" t="inlineStr"/>
      <c r="AQ25" s="706" t="inlineStr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</row>
    <row r="26" outlineLevel="1" ht="14.25" customFormat="1" customHeight="1" s="483">
      <c r="A26" s="513" t="n"/>
      <c r="B26" s="707" t="inlineStr">
        <is>
          <t>理财师002</t>
        </is>
      </c>
      <c r="C26" s="707" t="inlineStr">
        <is>
          <t>私人财富管理专家PWA4-5</t>
        </is>
      </c>
      <c r="D26" s="676" t="n">
        <v>46023</v>
      </c>
      <c r="E26" s="676" t="n">
        <v>46203</v>
      </c>
      <c r="F26" s="707" t="n">
        <v>24411</v>
      </c>
      <c r="G26" s="707" t="n">
        <v>27397.572858</v>
      </c>
      <c r="H26" s="707" t="n">
        <v>3163.841359</v>
      </c>
      <c r="I26" s="707" t="n">
        <v>0</v>
      </c>
      <c r="J26" s="707" t="n">
        <v>0</v>
      </c>
      <c r="K26" s="707">
        <f>SUM(H26:J26)</f>
        <v/>
      </c>
      <c r="L26" s="707" t="n">
        <v>662.537684</v>
      </c>
      <c r="M26" s="707" t="n">
        <v>0</v>
      </c>
      <c r="N26" s="707" t="n">
        <v>353.318319</v>
      </c>
      <c r="O26" s="707">
        <f>SUM(L26:N26)</f>
        <v/>
      </c>
      <c r="P26" s="707" t="n">
        <v>2227.154433</v>
      </c>
      <c r="Q26" s="707" t="n">
        <v>0</v>
      </c>
      <c r="R26" s="707" t="n">
        <v>234.231608</v>
      </c>
      <c r="S26" s="707">
        <f>SUM(P26:R26)</f>
        <v/>
      </c>
      <c r="T26" s="707" t="n">
        <v>-6272.609198</v>
      </c>
      <c r="U26" s="707" t="n">
        <v>0</v>
      </c>
      <c r="V26" s="707" t="n">
        <v>210.102519</v>
      </c>
      <c r="W26" s="707">
        <f>SUM(T26:V26)</f>
        <v/>
      </c>
      <c r="X26" s="707" t="n">
        <v>2164.476574</v>
      </c>
      <c r="Y26" s="707" t="n">
        <v>0</v>
      </c>
      <c r="Z26" s="707" t="n">
        <v>365.27682</v>
      </c>
      <c r="AA26" s="707">
        <f>SUM(X26:Z26)</f>
        <v/>
      </c>
      <c r="AB26" s="707" t="n">
        <v>2346.171162</v>
      </c>
      <c r="AC26" s="707" t="n">
        <v>0</v>
      </c>
      <c r="AD26" s="707" t="n">
        <v>187.41719</v>
      </c>
      <c r="AE26" s="707">
        <f>SUM(AB26:AD26)</f>
        <v/>
      </c>
      <c r="AF26" s="707" t="n">
        <v>24919.495747</v>
      </c>
      <c r="AG26" s="271">
        <f>SUM(K26+O26+S26+W26+AA26+AE26+AF26)</f>
        <v/>
      </c>
      <c r="AH26" s="326">
        <f>IF(F26=0,"",K26/(F26/((YEAR(E26)*12+MONTH(E26))-(YEAR(D26)*12+MONTH(D26))+1)))</f>
        <v/>
      </c>
      <c r="AI26" s="326">
        <f>G26/F26</f>
        <v/>
      </c>
      <c r="AJ26" s="708">
        <f>F26-G26</f>
        <v/>
      </c>
      <c r="AK26" s="513" t="n"/>
      <c r="AL26" s="513" t="n"/>
      <c r="AM26" s="513" t="n"/>
      <c r="AN26" s="706" t="inlineStr"/>
      <c r="AO26" s="706" t="inlineStr"/>
      <c r="AP26" s="706" t="inlineStr"/>
      <c r="AQ26" s="706" t="inlineStr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</row>
    <row r="27" outlineLevel="1" ht="14.25" customFormat="1" customHeight="1" s="483">
      <c r="A27" s="710" t="inlineStr">
        <is>
          <t>合计</t>
        </is>
      </c>
      <c r="B27" s="518" t="n"/>
      <c r="C27" s="518" t="n"/>
      <c r="D27" s="518" t="n"/>
      <c r="E27" s="578" t="n"/>
      <c r="F27" s="333">
        <f>SUM(F24:F26)</f>
        <v/>
      </c>
      <c r="G27" s="710">
        <f>SUM(G24:G26)</f>
        <v/>
      </c>
      <c r="H27" s="710">
        <f>SUM(H24:H26)</f>
        <v/>
      </c>
      <c r="I27" s="710">
        <f>SUM(I24:I26)</f>
        <v/>
      </c>
      <c r="J27" s="710">
        <f>SUM(J24:J26)</f>
        <v/>
      </c>
      <c r="K27" s="710">
        <f>SUM(K24:K26)</f>
        <v/>
      </c>
      <c r="L27" s="710">
        <f>SUM(L24:L26)</f>
        <v/>
      </c>
      <c r="M27" s="710">
        <f>SUM(M24:M26)</f>
        <v/>
      </c>
      <c r="N27" s="710">
        <f>SUM(N24:N26)</f>
        <v/>
      </c>
      <c r="O27" s="710">
        <f>SUM(O24:O26)</f>
        <v/>
      </c>
      <c r="P27" s="710">
        <f>SUM(P24:P26)</f>
        <v/>
      </c>
      <c r="Q27" s="710">
        <f>SUM(Q24:Q26)</f>
        <v/>
      </c>
      <c r="R27" s="710">
        <f>SUM(R24:R26)</f>
        <v/>
      </c>
      <c r="S27" s="710">
        <f>SUM(S24:S26)</f>
        <v/>
      </c>
      <c r="T27" s="710">
        <f>SUM(T24:T26)</f>
        <v/>
      </c>
      <c r="U27" s="710">
        <f>SUM(U24:U26)</f>
        <v/>
      </c>
      <c r="V27" s="710">
        <f>SUM(V24:V26)</f>
        <v/>
      </c>
      <c r="W27" s="710">
        <f>SUM(W24:W26)</f>
        <v/>
      </c>
      <c r="X27" s="710">
        <f>SUM(X24:X26)</f>
        <v/>
      </c>
      <c r="Y27" s="710">
        <f>SUM(Y24:Y26)</f>
        <v/>
      </c>
      <c r="Z27" s="710">
        <f>SUM(Z24:Z26)</f>
        <v/>
      </c>
      <c r="AA27" s="710">
        <f>SUM(AA24:AA26)</f>
        <v/>
      </c>
      <c r="AB27" s="710">
        <f>SUM(AB24:AB26)</f>
        <v/>
      </c>
      <c r="AC27" s="710">
        <f>SUM(AC24:AC26)</f>
        <v/>
      </c>
      <c r="AD27" s="710">
        <f>SUM(AD24:AD26)</f>
        <v/>
      </c>
      <c r="AE27" s="710">
        <f>SUM(AE24:AE26)</f>
        <v/>
      </c>
      <c r="AF27" s="710">
        <f>SUM(AF24:AF26)</f>
        <v/>
      </c>
      <c r="AG27" s="333">
        <f>SUM(K27+O27+S27+W27+AA27+AE27+AF27)</f>
        <v/>
      </c>
      <c r="AH27" s="335">
        <f>IF(F27=0,"",K27/(F27/((YEAR(E24)*12+MONTH(E24))-(YEAR(D24)*12+MONTH(D24))+1)))</f>
        <v/>
      </c>
      <c r="AI27" s="336">
        <f>G27/F27</f>
        <v/>
      </c>
      <c r="AJ27" s="715">
        <f>F27-G27</f>
        <v/>
      </c>
      <c r="AK27" s="337">
        <f>AK24</f>
        <v/>
      </c>
      <c r="AL27" s="335">
        <f>AG27/AK24</f>
        <v/>
      </c>
      <c r="AM27" s="712">
        <f>AK24-AG27</f>
        <v/>
      </c>
      <c r="AN27" s="713" t="inlineStr"/>
      <c r="AO27" s="713" t="inlineStr"/>
      <c r="AP27" s="713" t="inlineStr"/>
      <c r="AQ27" s="713" t="inlineStr"/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</row>
    <row r="28" outlineLevel="1" ht="14.25" customFormat="1" customHeight="1" s="483">
      <c r="A28" s="703" t="inlineStr">
        <is>
          <t>理财师009</t>
        </is>
      </c>
      <c r="B28" s="703" t="inlineStr">
        <is>
          <t>理财师009</t>
        </is>
      </c>
      <c r="C28" s="703" t="inlineStr">
        <is>
          <t>私人财富管理专家PWA4-1</t>
        </is>
      </c>
      <c r="D28" s="693" t="n">
        <v>46023</v>
      </c>
      <c r="E28" s="693" t="n">
        <v>46203</v>
      </c>
      <c r="F28" s="703" t="n">
        <v>28282.8</v>
      </c>
      <c r="G28" s="703" t="n">
        <v>39063.219121</v>
      </c>
      <c r="H28" s="703" t="n">
        <v>4913.9454</v>
      </c>
      <c r="I28" s="703" t="n">
        <v>0</v>
      </c>
      <c r="J28" s="703" t="n">
        <v>0</v>
      </c>
      <c r="K28" s="703">
        <f>SUM(H28:J28)</f>
        <v/>
      </c>
      <c r="L28" s="703" t="n">
        <v>2106.18954</v>
      </c>
      <c r="M28" s="703" t="n">
        <v>2057.0004</v>
      </c>
      <c r="N28" s="703" t="n">
        <v>955.9889920000001</v>
      </c>
      <c r="O28" s="703">
        <f>SUM(L28:N28)</f>
        <v/>
      </c>
      <c r="P28" s="703" t="n">
        <v>536.6088</v>
      </c>
      <c r="Q28" s="703" t="n">
        <v>0</v>
      </c>
      <c r="R28" s="703" t="n">
        <v>722.01536</v>
      </c>
      <c r="S28" s="703">
        <f>SUM(P28:R28)</f>
        <v/>
      </c>
      <c r="T28" s="703" t="n">
        <v>1351.820914</v>
      </c>
      <c r="U28" s="703" t="n">
        <v>20570.004</v>
      </c>
      <c r="V28" s="703" t="n">
        <v>668.034433</v>
      </c>
      <c r="W28" s="703">
        <f>SUM(T28:V28)</f>
        <v/>
      </c>
      <c r="X28" s="703" t="n">
        <v>3314.503374</v>
      </c>
      <c r="Y28" s="703" t="n">
        <v>0</v>
      </c>
      <c r="Z28" s="703" t="n">
        <v>713.569709</v>
      </c>
      <c r="AA28" s="703">
        <f>SUM(X28:Z28)</f>
        <v/>
      </c>
      <c r="AB28" s="703" t="n">
        <v>4769.379014</v>
      </c>
      <c r="AC28" s="703" t="n">
        <v>0</v>
      </c>
      <c r="AD28" s="703" t="n">
        <v>228.136442</v>
      </c>
      <c r="AE28" s="703">
        <f>SUM(AB28:AD28)</f>
        <v/>
      </c>
      <c r="AF28" s="703" t="n">
        <v>1069.968142</v>
      </c>
      <c r="AG28" s="724">
        <f>SUM(K28+O28+S28+W28+AA28+AE28+AF28)</f>
        <v/>
      </c>
      <c r="AH28" s="319">
        <f>IF(F28=0,"",K28/(F28/((YEAR(E28)*12+MONTH(E28))-(YEAR(D28)*12+MONTH(D28))+1)))</f>
        <v/>
      </c>
      <c r="AI28" s="319">
        <f>G28/F28</f>
        <v/>
      </c>
      <c r="AJ28" s="724">
        <f>F28-G28</f>
        <v/>
      </c>
      <c r="AK28" s="321">
        <f>SUM(F28:F29)</f>
        <v/>
      </c>
      <c r="AL28" s="322">
        <f>AL30</f>
        <v/>
      </c>
      <c r="AM28" s="725">
        <f>AM30</f>
        <v/>
      </c>
      <c r="AN28" s="706" t="inlineStr"/>
      <c r="AO28" s="706" t="inlineStr"/>
      <c r="AP28" s="706" t="inlineStr"/>
      <c r="AQ28" s="706" t="inlineStr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</row>
    <row r="29" outlineLevel="1" ht="14.25" customFormat="1" customHeight="1" s="483">
      <c r="A29" s="513" t="n"/>
      <c r="B29" s="707" t="inlineStr">
        <is>
          <t>理财师010</t>
        </is>
      </c>
      <c r="C29" s="707" t="inlineStr">
        <is>
          <t>观察期PWA0-2</t>
        </is>
      </c>
      <c r="D29" s="676" t="n">
        <v>46023</v>
      </c>
      <c r="E29" s="676" t="n">
        <v>46203</v>
      </c>
      <c r="F29" s="707" t="n">
        <v>4868.16</v>
      </c>
      <c r="G29" s="707" t="n">
        <v>16998.364317</v>
      </c>
      <c r="H29" s="707" t="n">
        <v>305.355336</v>
      </c>
      <c r="I29" s="707" t="n">
        <v>2729.2122</v>
      </c>
      <c r="J29" s="707" t="n">
        <v>0</v>
      </c>
      <c r="K29" s="707">
        <f>SUM(H29:J29)</f>
        <v/>
      </c>
      <c r="L29" s="707" t="n">
        <v>520.393558</v>
      </c>
      <c r="M29" s="707" t="n">
        <v>1637.52732</v>
      </c>
      <c r="N29" s="707" t="n">
        <v>284.729185</v>
      </c>
      <c r="O29" s="707">
        <f>SUM(L29:N29)</f>
        <v/>
      </c>
      <c r="P29" s="707" t="n">
        <v>994.77807</v>
      </c>
      <c r="Q29" s="707" t="n">
        <v>0</v>
      </c>
      <c r="R29" s="707" t="n">
        <v>185.511372</v>
      </c>
      <c r="S29" s="707">
        <f>SUM(P29:R29)</f>
        <v/>
      </c>
      <c r="T29" s="707" t="n">
        <v>949.2912</v>
      </c>
      <c r="U29" s="707" t="n">
        <v>0</v>
      </c>
      <c r="V29" s="707" t="n">
        <v>144.291309</v>
      </c>
      <c r="W29" s="707">
        <f>SUM(T29:V29)</f>
        <v/>
      </c>
      <c r="X29" s="707" t="n">
        <v>2158.292651</v>
      </c>
      <c r="Y29" s="707" t="n">
        <v>8187.6366</v>
      </c>
      <c r="Z29" s="707" t="n">
        <v>194.447373</v>
      </c>
      <c r="AA29" s="707">
        <f>SUM(X29:Z29)</f>
        <v/>
      </c>
      <c r="AB29" s="707" t="n">
        <v>474.6456</v>
      </c>
      <c r="AC29" s="707" t="n">
        <v>0</v>
      </c>
      <c r="AD29" s="707" t="n">
        <v>122.035472</v>
      </c>
      <c r="AE29" s="707">
        <f>SUM(AB29:AD29)</f>
        <v/>
      </c>
      <c r="AF29" s="707" t="n">
        <v>1144.784607</v>
      </c>
      <c r="AG29" s="271">
        <f>SUM(K29+O29+S29+W29+AA29+AE29+AF29)</f>
        <v/>
      </c>
      <c r="AH29" s="326">
        <f>IF(F29=0,"",K29/(F29/((YEAR(E29)*12+MONTH(E29))-(YEAR(D29)*12+MONTH(D29))+1)))</f>
        <v/>
      </c>
      <c r="AI29" s="326">
        <f>G29/F29</f>
        <v/>
      </c>
      <c r="AJ29" s="708">
        <f>F29-G29</f>
        <v/>
      </c>
      <c r="AK29" s="513" t="n"/>
      <c r="AL29" s="513" t="n"/>
      <c r="AM29" s="513" t="n"/>
      <c r="AN29" s="706" t="inlineStr"/>
      <c r="AO29" s="706" t="inlineStr"/>
      <c r="AP29" s="706" t="inlineStr"/>
      <c r="AQ29" s="706" t="inlineStr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</row>
    <row r="30" outlineLevel="1" ht="14.25" customFormat="1" customHeight="1" s="483">
      <c r="A30" s="710" t="inlineStr">
        <is>
          <t>合计</t>
        </is>
      </c>
      <c r="B30" s="518" t="n"/>
      <c r="C30" s="518" t="n"/>
      <c r="D30" s="518" t="n"/>
      <c r="E30" s="578" t="n"/>
      <c r="F30" s="333">
        <f>SUM(F28:F29)</f>
        <v/>
      </c>
      <c r="G30" s="710">
        <f>SUM(G28:G29)</f>
        <v/>
      </c>
      <c r="H30" s="710">
        <f>SUM(H28:H29)</f>
        <v/>
      </c>
      <c r="I30" s="710">
        <f>SUM(I28:I29)</f>
        <v/>
      </c>
      <c r="J30" s="710">
        <f>SUM(J28:J29)</f>
        <v/>
      </c>
      <c r="K30" s="710">
        <f>SUM(K28:K29)</f>
        <v/>
      </c>
      <c r="L30" s="710">
        <f>SUM(L28:L29)</f>
        <v/>
      </c>
      <c r="M30" s="710">
        <f>SUM(M28:M29)</f>
        <v/>
      </c>
      <c r="N30" s="710">
        <f>SUM(N28:N29)</f>
        <v/>
      </c>
      <c r="O30" s="710">
        <f>SUM(O28:O29)</f>
        <v/>
      </c>
      <c r="P30" s="710">
        <f>SUM(P28:P29)</f>
        <v/>
      </c>
      <c r="Q30" s="710">
        <f>SUM(Q28:Q29)</f>
        <v/>
      </c>
      <c r="R30" s="710">
        <f>SUM(R28:R29)</f>
        <v/>
      </c>
      <c r="S30" s="710">
        <f>SUM(S28:S29)</f>
        <v/>
      </c>
      <c r="T30" s="710">
        <f>SUM(T28:T29)</f>
        <v/>
      </c>
      <c r="U30" s="710">
        <f>SUM(U28:U29)</f>
        <v/>
      </c>
      <c r="V30" s="710">
        <f>SUM(V28:V29)</f>
        <v/>
      </c>
      <c r="W30" s="710">
        <f>SUM(W28:W29)</f>
        <v/>
      </c>
      <c r="X30" s="710">
        <f>SUM(X28:X29)</f>
        <v/>
      </c>
      <c r="Y30" s="710">
        <f>SUM(Y28:Y29)</f>
        <v/>
      </c>
      <c r="Z30" s="710">
        <f>SUM(Z28:Z29)</f>
        <v/>
      </c>
      <c r="AA30" s="710">
        <f>SUM(AA28:AA29)</f>
        <v/>
      </c>
      <c r="AB30" s="710">
        <f>SUM(AB28:AB29)</f>
        <v/>
      </c>
      <c r="AC30" s="710">
        <f>SUM(AC28:AC29)</f>
        <v/>
      </c>
      <c r="AD30" s="710">
        <f>SUM(AD28:AD29)</f>
        <v/>
      </c>
      <c r="AE30" s="710">
        <f>SUM(AE28:AE29)</f>
        <v/>
      </c>
      <c r="AF30" s="710">
        <f>SUM(AF28:AF29)</f>
        <v/>
      </c>
      <c r="AG30" s="333">
        <f>SUM(K30+O30+S30+W30+AA30+AE30+AF30)</f>
        <v/>
      </c>
      <c r="AH30" s="335">
        <f>IF(F30=0,"",K30/(F30/((YEAR(E28)*12+MONTH(E28))-(YEAR(D28)*12+MONTH(D28))+1)))</f>
        <v/>
      </c>
      <c r="AI30" s="336">
        <f>G30/F30</f>
        <v/>
      </c>
      <c r="AJ30" s="715">
        <f>F30-G30</f>
        <v/>
      </c>
      <c r="AK30" s="337">
        <f>AK28</f>
        <v/>
      </c>
      <c r="AL30" s="335">
        <f>AG30/AK28</f>
        <v/>
      </c>
      <c r="AM30" s="712">
        <f>AK28-AG30</f>
        <v/>
      </c>
      <c r="AN30" s="713" t="inlineStr"/>
      <c r="AO30" s="713" t="inlineStr"/>
      <c r="AP30" s="713" t="inlineStr"/>
      <c r="AQ30" s="713" t="inlineStr"/>
      <c r="AR30" s="713" t="inlineStr"/>
      <c r="AS30" s="713" t="inlineStr"/>
      <c r="AT30" s="713" t="inlineStr"/>
      <c r="AU30" s="713" t="inlineStr"/>
      <c r="AV30" s="713" t="inlineStr"/>
      <c r="AW30" s="713" t="inlineStr"/>
      <c r="AX30" s="713" t="inlineStr"/>
      <c r="AY30" s="713" t="inlineStr"/>
      <c r="AZ30" s="713" t="inlineStr"/>
      <c r="BA30" s="713" t="inlineStr"/>
      <c r="BB30" s="713" t="inlineStr"/>
      <c r="BC30" s="713" t="inlineStr"/>
      <c r="BD30" s="713" t="inlineStr"/>
      <c r="BE30" s="713" t="inlineStr"/>
      <c r="BF30" s="713" t="inlineStr"/>
      <c r="BG30" s="713" t="inlineStr"/>
      <c r="BH30" s="713" t="inlineStr"/>
      <c r="BI30" s="713" t="inlineStr"/>
      <c r="BJ30" s="713" t="inlineStr"/>
      <c r="BK30" s="713" t="inlineStr"/>
      <c r="BL30" s="713" t="inlineStr"/>
      <c r="BM30" s="713" t="inlineStr"/>
    </row>
    <row r="31" outlineLevel="1" ht="14.25" customFormat="1" customHeight="1" s="483">
      <c r="A31" s="703" t="inlineStr">
        <is>
          <t>理财师020</t>
        </is>
      </c>
      <c r="B31" s="703" t="inlineStr">
        <is>
          <t>理财师032</t>
        </is>
      </c>
      <c r="C31" s="703" t="inlineStr">
        <is>
          <t>C3</t>
        </is>
      </c>
      <c r="D31" s="693" t="n">
        <v>46049</v>
      </c>
      <c r="E31" s="693" t="n">
        <v>46229</v>
      </c>
      <c r="F31" s="703" t="n">
        <v>7912.17</v>
      </c>
      <c r="G31" s="703" t="n">
        <v>11043.246528</v>
      </c>
      <c r="H31" s="703" t="n">
        <v>1878.958678</v>
      </c>
      <c r="I31" s="703" t="n">
        <v>0</v>
      </c>
      <c r="J31" s="703" t="n">
        <v>0</v>
      </c>
      <c r="K31" s="703">
        <f>SUM(H31:J31)</f>
        <v/>
      </c>
      <c r="L31" s="703" t="n">
        <v>2009.44</v>
      </c>
      <c r="M31" s="703" t="n">
        <v>646.53732</v>
      </c>
      <c r="N31" s="703" t="n">
        <v>145.435162</v>
      </c>
      <c r="O31" s="703">
        <f>SUM(L31:N31)</f>
        <v/>
      </c>
      <c r="P31" s="703" t="n">
        <v>1610.465688</v>
      </c>
      <c r="Q31" s="703" t="n">
        <v>110.192882</v>
      </c>
      <c r="R31" s="703" t="n">
        <v>40.927608</v>
      </c>
      <c r="S31" s="703">
        <f>SUM(P31:R31)</f>
        <v/>
      </c>
      <c r="T31" s="703" t="n">
        <v>1602.628872</v>
      </c>
      <c r="U31" s="703" t="n">
        <v>0</v>
      </c>
      <c r="V31" s="703" t="n">
        <v>47.95381</v>
      </c>
      <c r="W31" s="703">
        <f>SUM(T31:V31)</f>
        <v/>
      </c>
      <c r="X31" s="703" t="n">
        <v>0</v>
      </c>
      <c r="Y31" s="703" t="n">
        <v>342.296351</v>
      </c>
      <c r="Z31" s="703" t="n">
        <v>116.811754</v>
      </c>
      <c r="AA31" s="703">
        <f>SUM(X31:Z31)</f>
        <v/>
      </c>
      <c r="AB31" s="703" t="n">
        <v>440.8209</v>
      </c>
      <c r="AC31" s="703" t="n">
        <v>0</v>
      </c>
      <c r="AD31" s="703" t="n">
        <v>32.909035</v>
      </c>
      <c r="AE31" s="703">
        <f>SUM(AB31:AD31)</f>
        <v/>
      </c>
      <c r="AF31" s="703" t="n">
        <v>1319.585129</v>
      </c>
      <c r="AG31" s="318">
        <f>SUM(K31+O31+S31+W31+AA31+AE31+AF31)</f>
        <v/>
      </c>
      <c r="AH31" s="319">
        <f>IF(F31=0,"",K31/(F31/((YEAR(E31)*12+MONTH(E31))-(YEAR(D31)*12+MONTH(D31))+1)))</f>
        <v/>
      </c>
      <c r="AI31" s="319">
        <f>G31/F31</f>
        <v/>
      </c>
      <c r="AJ31" s="704">
        <f>F31-G31</f>
        <v/>
      </c>
      <c r="AK31" s="321">
        <f>SUM(F31:F32)</f>
        <v/>
      </c>
      <c r="AL31" s="322">
        <f>AL33</f>
        <v/>
      </c>
      <c r="AM31" s="717">
        <f>AM33</f>
        <v/>
      </c>
      <c r="AN31" s="706" t="inlineStr"/>
      <c r="AO31" s="706" t="inlineStr"/>
      <c r="AP31" s="706" t="inlineStr"/>
      <c r="AQ31" s="706" t="inlineStr"/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</row>
    <row r="32" outlineLevel="1" ht="14.25" customFormat="1" customHeight="1" s="483">
      <c r="A32" s="513" t="n"/>
      <c r="B32" s="707" t="inlineStr">
        <is>
          <t>理财师020</t>
        </is>
      </c>
      <c r="C32" s="707" t="inlineStr">
        <is>
          <t>私人财富管理资深顾问PWA2-5</t>
        </is>
      </c>
      <c r="D32" s="676" t="n">
        <v>46023</v>
      </c>
      <c r="E32" s="676" t="n">
        <v>46203</v>
      </c>
      <c r="F32" s="707" t="n">
        <v>15907.32</v>
      </c>
      <c r="G32" s="707" t="n">
        <v>49058.190652</v>
      </c>
      <c r="H32" s="707" t="n">
        <v>1888.180808</v>
      </c>
      <c r="I32" s="707" t="n">
        <v>962.537472</v>
      </c>
      <c r="J32" s="707" t="n">
        <v>0</v>
      </c>
      <c r="K32" s="707">
        <f>SUM(H32:J32)</f>
        <v/>
      </c>
      <c r="L32" s="707" t="n">
        <v>7288.783433</v>
      </c>
      <c r="M32" s="707" t="n">
        <v>601.58592</v>
      </c>
      <c r="N32" s="707" t="n">
        <v>605.597413</v>
      </c>
      <c r="O32" s="707">
        <f>SUM(L32:N32)</f>
        <v/>
      </c>
      <c r="P32" s="707" t="n">
        <v>8333.122670999999</v>
      </c>
      <c r="Q32" s="707" t="n">
        <v>0</v>
      </c>
      <c r="R32" s="707" t="n">
        <v>367.634218</v>
      </c>
      <c r="S32" s="707">
        <f>SUM(P32:R32)</f>
        <v/>
      </c>
      <c r="T32" s="707" t="n">
        <v>1259.210798</v>
      </c>
      <c r="U32" s="707" t="n">
        <v>3101.9274</v>
      </c>
      <c r="V32" s="707" t="n">
        <v>318.667286</v>
      </c>
      <c r="W32" s="707">
        <f>SUM(T32:V32)</f>
        <v/>
      </c>
      <c r="X32" s="707" t="n">
        <v>10803.329409</v>
      </c>
      <c r="Y32" s="707" t="n">
        <v>0</v>
      </c>
      <c r="Z32" s="707" t="n">
        <v>396.373158</v>
      </c>
      <c r="AA32" s="707">
        <f>SUM(X32:Z32)</f>
        <v/>
      </c>
      <c r="AB32" s="707" t="n">
        <v>6594.535422</v>
      </c>
      <c r="AC32" s="707" t="n">
        <v>0</v>
      </c>
      <c r="AD32" s="707" t="n">
        <v>271.914403</v>
      </c>
      <c r="AE32" s="707">
        <f>SUM(AB32:AD32)</f>
        <v/>
      </c>
      <c r="AF32" s="707" t="n">
        <v>9115.509121999999</v>
      </c>
      <c r="AG32" s="714">
        <f>SUM(K32+O32+S32+W32+AA32+AE32+AF32)</f>
        <v/>
      </c>
      <c r="AH32" s="326">
        <f>IF(F32=0,"",K32/(F32/((YEAR(E32)*12+MONTH(E32))-(YEAR(D32)*12+MONTH(D32))+1)))</f>
        <v/>
      </c>
      <c r="AI32" s="326">
        <f>G32/F32</f>
        <v/>
      </c>
      <c r="AJ32" s="714">
        <f>F32-G32</f>
        <v/>
      </c>
      <c r="AK32" s="513" t="n"/>
      <c r="AL32" s="513" t="n"/>
      <c r="AM32" s="513" t="n"/>
      <c r="AN32" s="706" t="inlineStr"/>
      <c r="AO32" s="706" t="inlineStr"/>
      <c r="AP32" s="706" t="inlineStr"/>
      <c r="AQ32" s="706" t="inlineStr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</row>
    <row r="33" outlineLevel="1" ht="14.25" customFormat="1" customHeight="1" s="483">
      <c r="A33" s="710" t="inlineStr">
        <is>
          <t>合计</t>
        </is>
      </c>
      <c r="B33" s="518" t="n"/>
      <c r="C33" s="518" t="n"/>
      <c r="D33" s="518" t="n"/>
      <c r="E33" s="578" t="n"/>
      <c r="F33" s="333">
        <f>SUM(F31:F32)</f>
        <v/>
      </c>
      <c r="G33" s="710">
        <f>SUM(G31:G32)</f>
        <v/>
      </c>
      <c r="H33" s="710">
        <f>SUM(H31:H32)</f>
        <v/>
      </c>
      <c r="I33" s="710">
        <f>SUM(I31:I32)</f>
        <v/>
      </c>
      <c r="J33" s="710">
        <f>SUM(J31:J32)</f>
        <v/>
      </c>
      <c r="K33" s="710">
        <f>SUM(K31:K32)</f>
        <v/>
      </c>
      <c r="L33" s="710">
        <f>SUM(L31:L32)</f>
        <v/>
      </c>
      <c r="M33" s="710">
        <f>SUM(M31:M32)</f>
        <v/>
      </c>
      <c r="N33" s="710">
        <f>SUM(N31:N32)</f>
        <v/>
      </c>
      <c r="O33" s="710">
        <f>SUM(O31:O32)</f>
        <v/>
      </c>
      <c r="P33" s="710">
        <f>SUM(P31:P32)</f>
        <v/>
      </c>
      <c r="Q33" s="710">
        <f>SUM(Q31:Q32)</f>
        <v/>
      </c>
      <c r="R33" s="710">
        <f>SUM(R31:R32)</f>
        <v/>
      </c>
      <c r="S33" s="710">
        <f>SUM(S31:S32)</f>
        <v/>
      </c>
      <c r="T33" s="710">
        <f>SUM(T31:T32)</f>
        <v/>
      </c>
      <c r="U33" s="710">
        <f>SUM(U31:U32)</f>
        <v/>
      </c>
      <c r="V33" s="710">
        <f>SUM(V31:V32)</f>
        <v/>
      </c>
      <c r="W33" s="710">
        <f>SUM(W31:W32)</f>
        <v/>
      </c>
      <c r="X33" s="710">
        <f>SUM(X31:X32)</f>
        <v/>
      </c>
      <c r="Y33" s="710">
        <f>SUM(Y31:Y32)</f>
        <v/>
      </c>
      <c r="Z33" s="710">
        <f>SUM(Z31:Z32)</f>
        <v/>
      </c>
      <c r="AA33" s="710">
        <f>SUM(AA31:AA32)</f>
        <v/>
      </c>
      <c r="AB33" s="710">
        <f>SUM(AB31:AB32)</f>
        <v/>
      </c>
      <c r="AC33" s="710">
        <f>SUM(AC31:AC32)</f>
        <v/>
      </c>
      <c r="AD33" s="710">
        <f>SUM(AD31:AD32)</f>
        <v/>
      </c>
      <c r="AE33" s="710">
        <f>SUM(AE31:AE32)</f>
        <v/>
      </c>
      <c r="AF33" s="710">
        <f>SUM(AF31:AF32)</f>
        <v/>
      </c>
      <c r="AG33" s="333">
        <f>SUM(K33+O33+S33+W33+AA33+AE33+AF33)</f>
        <v/>
      </c>
      <c r="AH33" s="335">
        <f>IF(F33=0,"",K33/(F33/((YEAR(E31)*12+MONTH(E31))-(YEAR(D31)*12+MONTH(D31))+1)))</f>
        <v/>
      </c>
      <c r="AI33" s="336">
        <f>G33/F33</f>
        <v/>
      </c>
      <c r="AJ33" s="715">
        <f>F33-G33</f>
        <v/>
      </c>
      <c r="AK33" s="337">
        <f>AK31</f>
        <v/>
      </c>
      <c r="AL33" s="335">
        <f>AG33/AK31</f>
        <v/>
      </c>
      <c r="AM33" s="712">
        <f>AK31-AG33</f>
        <v/>
      </c>
      <c r="AN33" s="713" t="inlineStr"/>
      <c r="AO33" s="713" t="inlineStr"/>
      <c r="AP33" s="713" t="inlineStr"/>
      <c r="AQ33" s="713" t="inlineStr"/>
      <c r="AR33" s="713" t="inlineStr"/>
      <c r="AS33" s="713" t="inlineStr"/>
      <c r="AT33" s="713" t="inlineStr"/>
      <c r="AU33" s="713" t="inlineStr"/>
      <c r="AV33" s="713" t="inlineStr"/>
      <c r="AW33" s="713" t="inlineStr"/>
      <c r="AX33" s="713" t="inlineStr"/>
      <c r="AY33" s="713" t="inlineStr"/>
      <c r="AZ33" s="713" t="inlineStr"/>
      <c r="BA33" s="713" t="inlineStr"/>
      <c r="BB33" s="713" t="inlineStr"/>
      <c r="BC33" s="713" t="inlineStr"/>
      <c r="BD33" s="713" t="inlineStr"/>
      <c r="BE33" s="713" t="inlineStr"/>
      <c r="BF33" s="713" t="inlineStr"/>
      <c r="BG33" s="713" t="inlineStr"/>
      <c r="BH33" s="713" t="inlineStr"/>
      <c r="BI33" s="713" t="inlineStr"/>
      <c r="BJ33" s="713" t="inlineStr"/>
      <c r="BK33" s="713" t="inlineStr"/>
      <c r="BL33" s="713" t="inlineStr"/>
      <c r="BM33" s="713" t="inlineStr"/>
    </row>
    <row r="34" outlineLevel="1" ht="14.25" customFormat="1" customHeight="1" s="483">
      <c r="A34" s="703" t="inlineStr">
        <is>
          <t>理财师005</t>
        </is>
      </c>
      <c r="B34" s="703" t="inlineStr">
        <is>
          <t>理财师030</t>
        </is>
      </c>
      <c r="C34" s="703" t="inlineStr">
        <is>
          <t>私人财富管理顾问PWA1-1</t>
        </is>
      </c>
      <c r="D34" s="693" t="n">
        <v>46195</v>
      </c>
      <c r="E34" s="693" t="n">
        <v>46377</v>
      </c>
      <c r="F34" s="703" t="n">
        <v>7461.34</v>
      </c>
      <c r="G34" s="703" t="n">
        <v>248.422704</v>
      </c>
      <c r="H34" s="703" t="n">
        <v>0</v>
      </c>
      <c r="I34" s="703" t="n">
        <v>0</v>
      </c>
      <c r="J34" s="703" t="n">
        <v>0</v>
      </c>
      <c r="K34" s="703">
        <f>SUM(H34:J34)</f>
        <v/>
      </c>
      <c r="L34" s="703" t="n">
        <v>247.0689</v>
      </c>
      <c r="M34" s="703" t="n">
        <v>0</v>
      </c>
      <c r="N34" s="703" t="n">
        <v>1.353804</v>
      </c>
      <c r="O34" s="703">
        <f>SUM(L34:N34)</f>
        <v/>
      </c>
      <c r="P34" s="703" t="n">
        <v>0</v>
      </c>
      <c r="Q34" s="703" t="n">
        <v>0</v>
      </c>
      <c r="R34" s="703" t="n">
        <v>0</v>
      </c>
      <c r="S34" s="703">
        <f>SUM(P34:R34)</f>
        <v/>
      </c>
      <c r="T34" s="703" t="n">
        <v>0</v>
      </c>
      <c r="U34" s="703" t="n">
        <v>0</v>
      </c>
      <c r="V34" s="703" t="n">
        <v>0</v>
      </c>
      <c r="W34" s="703">
        <f>SUM(T34:V34)</f>
        <v/>
      </c>
      <c r="X34" s="703" t="n">
        <v>0</v>
      </c>
      <c r="Y34" s="703" t="n">
        <v>0</v>
      </c>
      <c r="Z34" s="703" t="n">
        <v>0</v>
      </c>
      <c r="AA34" s="703">
        <f>SUM(X34:Z34)</f>
        <v/>
      </c>
      <c r="AB34" s="703" t="n">
        <v>0</v>
      </c>
      <c r="AC34" s="703" t="n">
        <v>0</v>
      </c>
      <c r="AD34" s="703" t="n">
        <v>0</v>
      </c>
      <c r="AE34" s="703">
        <f>SUM(AB34:AD34)</f>
        <v/>
      </c>
      <c r="AF34" s="703" t="n">
        <v>0</v>
      </c>
      <c r="AG34" s="318">
        <f>SUM(K34+O34+S34+W34+AA34+AE34+AF34)</f>
        <v/>
      </c>
      <c r="AH34" s="319">
        <f>IF(F34=0,"",K34/(F34/((YEAR(E34)*12+MONTH(E34))-(YEAR(D34)*12+MONTH(D34))+1)))</f>
        <v/>
      </c>
      <c r="AI34" s="319">
        <f>G34/F34</f>
        <v/>
      </c>
      <c r="AJ34" s="704">
        <f>F34-G34</f>
        <v/>
      </c>
      <c r="AK34" s="321">
        <f>SUM(F34:F36)</f>
        <v/>
      </c>
      <c r="AL34" s="322">
        <f>AL37</f>
        <v/>
      </c>
      <c r="AM34" s="717">
        <f>AM37</f>
        <v/>
      </c>
      <c r="AN34" s="706" t="inlineStr"/>
      <c r="AO34" s="706" t="inlineStr"/>
      <c r="AP34" s="706" t="inlineStr"/>
      <c r="AQ34" s="706" t="inlineStr"/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</row>
    <row r="35" outlineLevel="1" ht="14.25" customFormat="1" customHeight="1" s="483">
      <c r="A35" s="500" t="n"/>
      <c r="B35" s="707" t="inlineStr">
        <is>
          <t>理财师026</t>
        </is>
      </c>
      <c r="C35" s="707" t="inlineStr">
        <is>
          <t>观察期PWA0-1</t>
        </is>
      </c>
      <c r="D35" s="676" t="n">
        <v>46113</v>
      </c>
      <c r="E35" s="676" t="n">
        <v>46203</v>
      </c>
      <c r="F35" s="707" t="n">
        <v>1943.13</v>
      </c>
      <c r="G35" s="707" t="n">
        <v>465.414758</v>
      </c>
      <c r="H35" s="707" t="n">
        <v>0</v>
      </c>
      <c r="I35" s="707" t="n">
        <v>0</v>
      </c>
      <c r="J35" s="707" t="n">
        <v>0</v>
      </c>
      <c r="K35" s="707">
        <f>SUM(H35:J35)</f>
        <v/>
      </c>
      <c r="L35" s="707" t="n">
        <v>288.6936</v>
      </c>
      <c r="M35" s="707" t="n">
        <v>0</v>
      </c>
      <c r="N35" s="707" t="n">
        <v>29.506523</v>
      </c>
      <c r="O35" s="707">
        <f>SUM(L35:N35)</f>
        <v/>
      </c>
      <c r="P35" s="707" t="n">
        <v>114.611359</v>
      </c>
      <c r="Q35" s="707" t="n">
        <v>0</v>
      </c>
      <c r="R35" s="707" t="n">
        <v>18.055825</v>
      </c>
      <c r="S35" s="707">
        <f>SUM(P35:R35)</f>
        <v/>
      </c>
      <c r="T35" s="707" t="n">
        <v>0</v>
      </c>
      <c r="U35" s="707" t="n">
        <v>0</v>
      </c>
      <c r="V35" s="707" t="n">
        <v>14.547451</v>
      </c>
      <c r="W35" s="707">
        <f>SUM(T35:V35)</f>
        <v/>
      </c>
      <c r="X35" s="707" t="n">
        <v>809.929895</v>
      </c>
      <c r="Y35" s="707" t="n">
        <v>0</v>
      </c>
      <c r="Z35" s="707" t="n">
        <v>47.501776</v>
      </c>
      <c r="AA35" s="707">
        <f>SUM(X35:Z35)</f>
        <v/>
      </c>
      <c r="AB35" s="707" t="n">
        <v>176.20858</v>
      </c>
      <c r="AC35" s="707" t="n">
        <v>0</v>
      </c>
      <c r="AD35" s="707" t="n">
        <v>11.404098</v>
      </c>
      <c r="AE35" s="707">
        <f>SUM(AB35:AD35)</f>
        <v/>
      </c>
      <c r="AF35" s="707" t="n">
        <v>12.282809</v>
      </c>
      <c r="AG35" s="714">
        <f>SUM(K35+O35+S35+W35+AA35+AE35+AF35)</f>
        <v/>
      </c>
      <c r="AH35" s="326">
        <f>IF(F35=0,"",K35/(F35/((YEAR(E35)*12+MONTH(E35))-(YEAR(D35)*12+MONTH(D35))+1)))</f>
        <v/>
      </c>
      <c r="AI35" s="326">
        <f>G35/F35</f>
        <v/>
      </c>
      <c r="AJ35" s="714">
        <f>F35-G35</f>
        <v/>
      </c>
      <c r="AK35" s="500" t="n"/>
      <c r="AL35" s="500" t="n"/>
      <c r="AM35" s="500" t="n"/>
      <c r="AN35" s="706" t="inlineStr"/>
      <c r="AO35" s="706" t="inlineStr"/>
      <c r="AP35" s="706" t="inlineStr"/>
      <c r="AQ35" s="706" t="inlineStr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</row>
    <row r="36" outlineLevel="1" ht="14.25" customFormat="1" customHeight="1" s="483">
      <c r="A36" s="513" t="n"/>
      <c r="B36" s="707" t="inlineStr">
        <is>
          <t>理财师005</t>
        </is>
      </c>
      <c r="C36" s="707" t="inlineStr">
        <is>
          <t>私人财富管理资深顾问PWA2-4</t>
        </is>
      </c>
      <c r="D36" s="676" t="n">
        <v>46054</v>
      </c>
      <c r="E36" s="676" t="n">
        <v>46203</v>
      </c>
      <c r="F36" s="707" t="n">
        <v>9610.6</v>
      </c>
      <c r="G36" s="707" t="n">
        <v>15165.397152</v>
      </c>
      <c r="H36" s="707" t="n">
        <v>1292.819304</v>
      </c>
      <c r="I36" s="707" t="n">
        <v>0</v>
      </c>
      <c r="J36" s="707" t="n">
        <v>0</v>
      </c>
      <c r="K36" s="707">
        <f>SUM(H36:J36)</f>
        <v/>
      </c>
      <c r="L36" s="707" t="n">
        <v>3750.483593</v>
      </c>
      <c r="M36" s="707" t="n">
        <v>0</v>
      </c>
      <c r="N36" s="707" t="n">
        <v>577.6405150000001</v>
      </c>
      <c r="O36" s="707">
        <f>SUM(L36:N36)</f>
        <v/>
      </c>
      <c r="P36" s="707" t="n">
        <v>907.591957</v>
      </c>
      <c r="Q36" s="707" t="n">
        <v>0</v>
      </c>
      <c r="R36" s="707" t="n">
        <v>364.243787</v>
      </c>
      <c r="S36" s="707">
        <f>SUM(P36:R36)</f>
        <v/>
      </c>
      <c r="T36" s="707" t="n">
        <v>1870.349984</v>
      </c>
      <c r="U36" s="707" t="n">
        <v>2312.474666</v>
      </c>
      <c r="V36" s="707" t="n">
        <v>319.48223</v>
      </c>
      <c r="W36" s="707">
        <f>SUM(T36:V36)</f>
        <v/>
      </c>
      <c r="X36" s="707" t="n">
        <v>731.292658</v>
      </c>
      <c r="Y36" s="707" t="n">
        <v>1925.150771</v>
      </c>
      <c r="Z36" s="707" t="n">
        <v>383.775324</v>
      </c>
      <c r="AA36" s="707">
        <f>SUM(X36:Z36)</f>
        <v/>
      </c>
      <c r="AB36" s="707" t="n">
        <v>1738.204897</v>
      </c>
      <c r="AC36" s="707" t="n">
        <v>0</v>
      </c>
      <c r="AD36" s="707" t="n">
        <v>284.706769</v>
      </c>
      <c r="AE36" s="707">
        <f>SUM(AB36:AD36)</f>
        <v/>
      </c>
      <c r="AF36" s="707" t="n">
        <v>1538.392041</v>
      </c>
      <c r="AG36" s="271">
        <f>SUM(K36+O36+S36+W36+AA36+AE36+AF36)</f>
        <v/>
      </c>
      <c r="AH36" s="326">
        <f>IF(F36=0,"",K36/(F36/((YEAR(E36)*12+MONTH(E36))-(YEAR(D36)*12+MONTH(D36))+1)))</f>
        <v/>
      </c>
      <c r="AI36" s="326">
        <f>G36/F36</f>
        <v/>
      </c>
      <c r="AJ36" s="708">
        <f>F36-G36</f>
        <v/>
      </c>
      <c r="AK36" s="513" t="n"/>
      <c r="AL36" s="513" t="n"/>
      <c r="AM36" s="513" t="n"/>
      <c r="AN36" s="706" t="inlineStr"/>
      <c r="AO36" s="706" t="inlineStr"/>
      <c r="AP36" s="706" t="inlineStr"/>
      <c r="AQ36" s="706" t="inlineStr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</row>
    <row r="37" outlineLevel="1" ht="14.25" customFormat="1" customHeight="1" s="483">
      <c r="A37" s="710" t="inlineStr">
        <is>
          <t>合计</t>
        </is>
      </c>
      <c r="B37" s="518" t="n"/>
      <c r="C37" s="518" t="n"/>
      <c r="D37" s="518" t="n"/>
      <c r="E37" s="578" t="n"/>
      <c r="F37" s="333">
        <f>SUM(F34:F36)</f>
        <v/>
      </c>
      <c r="G37" s="710">
        <f>SUM(G34:G36)</f>
        <v/>
      </c>
      <c r="H37" s="710">
        <f>SUM(H34:H36)</f>
        <v/>
      </c>
      <c r="I37" s="710">
        <f>SUM(I34:I36)</f>
        <v/>
      </c>
      <c r="J37" s="710">
        <f>SUM(J34:J36)</f>
        <v/>
      </c>
      <c r="K37" s="710">
        <f>SUM(K34:K36)</f>
        <v/>
      </c>
      <c r="L37" s="710">
        <f>SUM(L34:L36)</f>
        <v/>
      </c>
      <c r="M37" s="710">
        <f>SUM(M34:M36)</f>
        <v/>
      </c>
      <c r="N37" s="710">
        <f>SUM(N34:N36)</f>
        <v/>
      </c>
      <c r="O37" s="710">
        <f>SUM(O34:O36)</f>
        <v/>
      </c>
      <c r="P37" s="710">
        <f>SUM(P34:P36)</f>
        <v/>
      </c>
      <c r="Q37" s="710">
        <f>SUM(Q34:Q36)</f>
        <v/>
      </c>
      <c r="R37" s="710">
        <f>SUM(R34:R36)</f>
        <v/>
      </c>
      <c r="S37" s="710">
        <f>SUM(S34:S36)</f>
        <v/>
      </c>
      <c r="T37" s="710">
        <f>SUM(T34:T36)</f>
        <v/>
      </c>
      <c r="U37" s="710">
        <f>SUM(U34:U36)</f>
        <v/>
      </c>
      <c r="V37" s="710">
        <f>SUM(V34:V36)</f>
        <v/>
      </c>
      <c r="W37" s="710">
        <f>SUM(W34:W36)</f>
        <v/>
      </c>
      <c r="X37" s="710">
        <f>SUM(X34:X36)</f>
        <v/>
      </c>
      <c r="Y37" s="710">
        <f>SUM(Y34:Y36)</f>
        <v/>
      </c>
      <c r="Z37" s="710">
        <f>SUM(Z34:Z36)</f>
        <v/>
      </c>
      <c r="AA37" s="710">
        <f>SUM(AA34:AA36)</f>
        <v/>
      </c>
      <c r="AB37" s="710">
        <f>SUM(AB34:AB36)</f>
        <v/>
      </c>
      <c r="AC37" s="710">
        <f>SUM(AC34:AC36)</f>
        <v/>
      </c>
      <c r="AD37" s="710">
        <f>SUM(AD34:AD36)</f>
        <v/>
      </c>
      <c r="AE37" s="710">
        <f>SUM(AE34:AE36)</f>
        <v/>
      </c>
      <c r="AF37" s="710">
        <f>SUM(AF34:AF36)</f>
        <v/>
      </c>
      <c r="AG37" s="333">
        <f>SUM(K37+O37+S37+W37+AA37+AE37+AF37)</f>
        <v/>
      </c>
      <c r="AH37" s="335">
        <f>IF(F37=0,"",K37/(F37/((YEAR(E34)*12+MONTH(E34))-(YEAR(D34)*12+MONTH(D34))+1)))</f>
        <v/>
      </c>
      <c r="AI37" s="336">
        <f>G37/F37</f>
        <v/>
      </c>
      <c r="AJ37" s="715">
        <f>F37-G37</f>
        <v/>
      </c>
      <c r="AK37" s="337">
        <f>AK34</f>
        <v/>
      </c>
      <c r="AL37" s="335">
        <f>AG37/AK34</f>
        <v/>
      </c>
      <c r="AM37" s="712">
        <f>AK34-AG37</f>
        <v/>
      </c>
      <c r="AN37" s="713" t="inlineStr"/>
      <c r="AO37" s="713" t="inlineStr"/>
      <c r="AP37" s="713" t="inlineStr"/>
      <c r="AQ37" s="713" t="inlineStr"/>
      <c r="AR37" s="713" t="inlineStr"/>
      <c r="AS37" s="713" t="inlineStr"/>
      <c r="AT37" s="713" t="inlineStr"/>
      <c r="AU37" s="713" t="inlineStr"/>
      <c r="AV37" s="713" t="inlineStr"/>
      <c r="AW37" s="713" t="inlineStr"/>
      <c r="AX37" s="713" t="inlineStr"/>
      <c r="AY37" s="713" t="inlineStr"/>
      <c r="AZ37" s="713" t="inlineStr"/>
      <c r="BA37" s="713" t="inlineStr"/>
      <c r="BB37" s="713" t="inlineStr"/>
      <c r="BC37" s="713" t="inlineStr"/>
      <c r="BD37" s="713" t="inlineStr"/>
      <c r="BE37" s="713" t="inlineStr"/>
      <c r="BF37" s="713" t="inlineStr"/>
      <c r="BG37" s="713" t="inlineStr"/>
      <c r="BH37" s="713" t="inlineStr"/>
      <c r="BI37" s="713" t="inlineStr"/>
      <c r="BJ37" s="713" t="inlineStr"/>
      <c r="BK37" s="713" t="inlineStr"/>
      <c r="BL37" s="713" t="inlineStr"/>
      <c r="BM37" s="713" t="inlineStr"/>
    </row>
    <row r="38" outlineLevel="1" ht="14.25" customFormat="1" customHeight="1" s="483">
      <c r="A38" s="703" t="inlineStr">
        <is>
          <t>理财师008</t>
        </is>
      </c>
      <c r="B38" s="703" t="inlineStr">
        <is>
          <t>理财师011</t>
        </is>
      </c>
      <c r="C38" s="703" t="inlineStr">
        <is>
          <t>私人财富管理资深顾问PWA2-2</t>
        </is>
      </c>
      <c r="D38" s="693" t="n">
        <v>46023</v>
      </c>
      <c r="E38" s="693" t="n">
        <v>46203</v>
      </c>
      <c r="F38" s="703" t="n">
        <v>5045.88</v>
      </c>
      <c r="G38" s="703" t="n">
        <v>4607.766238</v>
      </c>
      <c r="H38" s="703" t="n">
        <v>84.068866</v>
      </c>
      <c r="I38" s="703" t="n">
        <v>323.29674</v>
      </c>
      <c r="J38" s="703" t="n">
        <v>0</v>
      </c>
      <c r="K38" s="703">
        <f>SUM(H38:J38)</f>
        <v/>
      </c>
      <c r="L38" s="703" t="n">
        <v>564.94934</v>
      </c>
      <c r="M38" s="703" t="n">
        <v>0</v>
      </c>
      <c r="N38" s="703" t="n">
        <v>82.099047</v>
      </c>
      <c r="O38" s="703">
        <f>SUM(L38:N38)</f>
        <v/>
      </c>
      <c r="P38" s="703" t="n">
        <v>0</v>
      </c>
      <c r="Q38" s="703" t="n">
        <v>3092.4036</v>
      </c>
      <c r="R38" s="703" t="n">
        <v>61.007408</v>
      </c>
      <c r="S38" s="703">
        <f>SUM(P38:R38)</f>
        <v/>
      </c>
      <c r="T38" s="703" t="n">
        <v>178.04748</v>
      </c>
      <c r="U38" s="703" t="n">
        <v>0</v>
      </c>
      <c r="V38" s="703" t="n">
        <v>32.11807</v>
      </c>
      <c r="W38" s="703">
        <f>SUM(T38:V38)</f>
        <v/>
      </c>
      <c r="X38" s="703" t="n">
        <v>47.229437</v>
      </c>
      <c r="Y38" s="703" t="n">
        <v>0</v>
      </c>
      <c r="Z38" s="703" t="n">
        <v>24.120644</v>
      </c>
      <c r="AA38" s="703">
        <f>SUM(X38:Z38)</f>
        <v/>
      </c>
      <c r="AB38" s="703" t="n">
        <v>524.574731</v>
      </c>
      <c r="AC38" s="703" t="n">
        <v>0</v>
      </c>
      <c r="AD38" s="703" t="n">
        <v>1.216481</v>
      </c>
      <c r="AE38" s="703">
        <f>SUM(AB38:AD38)</f>
        <v/>
      </c>
      <c r="AF38" s="703" t="n">
        <v>0</v>
      </c>
      <c r="AG38" s="724">
        <f>SUM(K38+O38+S38+W38+AA38+AE38+AF38)</f>
        <v/>
      </c>
      <c r="AH38" s="319">
        <f>IF(F38=0,"",K38/(F38/((YEAR(E38)*12+MONTH(E38))-(YEAR(D38)*12+MONTH(D38))+1)))</f>
        <v/>
      </c>
      <c r="AI38" s="319">
        <f>G38/F38</f>
        <v/>
      </c>
      <c r="AJ38" s="724">
        <f>F38-G38</f>
        <v/>
      </c>
      <c r="AK38" s="321">
        <f>SUM(F38:F39)</f>
        <v/>
      </c>
      <c r="AL38" s="322">
        <f>AL40</f>
        <v/>
      </c>
      <c r="AM38" s="725">
        <f>AM40</f>
        <v/>
      </c>
      <c r="AN38" s="706" t="inlineStr"/>
      <c r="AO38" s="706" t="inlineStr"/>
      <c r="AP38" s="706" t="inlineStr"/>
      <c r="AQ38" s="706" t="inlineStr"/>
      <c r="AR38" s="706" t="inlineStr"/>
      <c r="AS38" s="706" t="inlineStr"/>
      <c r="AT38" s="706" t="inlineStr"/>
      <c r="AU38" s="706" t="inlineStr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</row>
    <row r="39" outlineLevel="1" ht="14.25" customFormat="1" customHeight="1" s="483">
      <c r="A39" s="513" t="n"/>
      <c r="B39" s="707" t="inlineStr">
        <is>
          <t>理财师008</t>
        </is>
      </c>
      <c r="C39" s="707" t="inlineStr">
        <is>
          <t>私人财富管理专家PWA4-2</t>
        </is>
      </c>
      <c r="D39" s="676" t="n">
        <v>46023</v>
      </c>
      <c r="E39" s="676" t="n">
        <v>46203</v>
      </c>
      <c r="F39" s="707" t="n">
        <v>24202.22</v>
      </c>
      <c r="G39" s="707" t="n">
        <v>30908.450689</v>
      </c>
      <c r="H39" s="707" t="n">
        <v>1531.095078</v>
      </c>
      <c r="I39" s="707" t="n">
        <v>0</v>
      </c>
      <c r="J39" s="707" t="n">
        <v>0</v>
      </c>
      <c r="K39" s="707">
        <f>SUM(H39:J39)</f>
        <v/>
      </c>
      <c r="L39" s="707" t="n">
        <v>3874.376797</v>
      </c>
      <c r="M39" s="707" t="n">
        <v>253.81824</v>
      </c>
      <c r="N39" s="707" t="n">
        <v>414.138443</v>
      </c>
      <c r="O39" s="707">
        <f>SUM(L39:N39)</f>
        <v/>
      </c>
      <c r="P39" s="707" t="n">
        <v>5263.972173</v>
      </c>
      <c r="Q39" s="707" t="n">
        <v>1110.4548</v>
      </c>
      <c r="R39" s="707" t="n">
        <v>271.92657</v>
      </c>
      <c r="S39" s="707">
        <f>SUM(P39:R39)</f>
        <v/>
      </c>
      <c r="T39" s="707" t="n">
        <v>3533.62581</v>
      </c>
      <c r="U39" s="707" t="n">
        <v>2435.06874</v>
      </c>
      <c r="V39" s="707" t="n">
        <v>188.462147</v>
      </c>
      <c r="W39" s="707">
        <f>SUM(T39:V39)</f>
        <v/>
      </c>
      <c r="X39" s="707" t="n">
        <v>9546.464904</v>
      </c>
      <c r="Y39" s="707" t="n">
        <v>0</v>
      </c>
      <c r="Z39" s="707" t="n">
        <v>401.214551</v>
      </c>
      <c r="AA39" s="707">
        <f>SUM(X39:Z39)</f>
        <v/>
      </c>
      <c r="AB39" s="707" t="n">
        <v>1081.878995</v>
      </c>
      <c r="AC39" s="707" t="n">
        <v>523.50012</v>
      </c>
      <c r="AD39" s="707" t="n">
        <v>135.589522</v>
      </c>
      <c r="AE39" s="707">
        <f>SUM(AB39:AD39)</f>
        <v/>
      </c>
      <c r="AF39" s="707" t="n">
        <v>1873.958877</v>
      </c>
      <c r="AG39" s="271">
        <f>SUM(K39+O39+S39+W39+AA39+AE39+AF39)</f>
        <v/>
      </c>
      <c r="AH39" s="326">
        <f>IF(F39=0,"",K39/(F39/((YEAR(E39)*12+MONTH(E39))-(YEAR(D39)*12+MONTH(D39))+1)))</f>
        <v/>
      </c>
      <c r="AI39" s="326">
        <f>G39/F39</f>
        <v/>
      </c>
      <c r="AJ39" s="708">
        <f>F39-G39</f>
        <v/>
      </c>
      <c r="AK39" s="513" t="n"/>
      <c r="AL39" s="513" t="n"/>
      <c r="AM39" s="513" t="n"/>
      <c r="AN39" s="706" t="inlineStr"/>
      <c r="AO39" s="706" t="inlineStr"/>
      <c r="AP39" s="706" t="inlineStr"/>
      <c r="AQ39" s="706" t="inlineStr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</row>
    <row r="40" outlineLevel="1" ht="14.25" customFormat="1" customHeight="1" s="483">
      <c r="A40" s="710" t="inlineStr">
        <is>
          <t>合计</t>
        </is>
      </c>
      <c r="B40" s="518" t="n"/>
      <c r="C40" s="518" t="n"/>
      <c r="D40" s="518" t="n"/>
      <c r="E40" s="578" t="n"/>
      <c r="F40" s="333">
        <f>SUM(F38:F39)</f>
        <v/>
      </c>
      <c r="G40" s="710">
        <f>SUM(G38:G39)</f>
        <v/>
      </c>
      <c r="H40" s="710">
        <f>SUM(H38:H39)</f>
        <v/>
      </c>
      <c r="I40" s="710">
        <f>SUM(I38:I39)</f>
        <v/>
      </c>
      <c r="J40" s="710">
        <f>SUM(J38:J39)</f>
        <v/>
      </c>
      <c r="K40" s="710">
        <f>SUM(K38:K39)</f>
        <v/>
      </c>
      <c r="L40" s="710">
        <f>SUM(L38:L39)</f>
        <v/>
      </c>
      <c r="M40" s="710">
        <f>SUM(M38:M39)</f>
        <v/>
      </c>
      <c r="N40" s="710">
        <f>SUM(N38:N39)</f>
        <v/>
      </c>
      <c r="O40" s="710">
        <f>SUM(O38:O39)</f>
        <v/>
      </c>
      <c r="P40" s="710">
        <f>SUM(P38:P39)</f>
        <v/>
      </c>
      <c r="Q40" s="710">
        <f>SUM(Q38:Q39)</f>
        <v/>
      </c>
      <c r="R40" s="710">
        <f>SUM(R38:R39)</f>
        <v/>
      </c>
      <c r="S40" s="710">
        <f>SUM(S38:S39)</f>
        <v/>
      </c>
      <c r="T40" s="710">
        <f>SUM(T38:T39)</f>
        <v/>
      </c>
      <c r="U40" s="710">
        <f>SUM(U38:U39)</f>
        <v/>
      </c>
      <c r="V40" s="710">
        <f>SUM(V38:V39)</f>
        <v/>
      </c>
      <c r="W40" s="710">
        <f>SUM(W38:W39)</f>
        <v/>
      </c>
      <c r="X40" s="710">
        <f>SUM(X38:X39)</f>
        <v/>
      </c>
      <c r="Y40" s="710">
        <f>SUM(Y38:Y39)</f>
        <v/>
      </c>
      <c r="Z40" s="710">
        <f>SUM(Z38:Z39)</f>
        <v/>
      </c>
      <c r="AA40" s="710">
        <f>SUM(AA38:AA39)</f>
        <v/>
      </c>
      <c r="AB40" s="710">
        <f>SUM(AB38:AB39)</f>
        <v/>
      </c>
      <c r="AC40" s="710">
        <f>SUM(AC38:AC39)</f>
        <v/>
      </c>
      <c r="AD40" s="710">
        <f>SUM(AD38:AD39)</f>
        <v/>
      </c>
      <c r="AE40" s="710">
        <f>SUM(AE38:AE39)</f>
        <v/>
      </c>
      <c r="AF40" s="710">
        <f>SUM(AF38:AF39)</f>
        <v/>
      </c>
      <c r="AG40" s="333">
        <f>SUM(K40+O40+S40+W40+AA40+AE40+AF40)</f>
        <v/>
      </c>
      <c r="AH40" s="335">
        <f>IF(F40=0,"",K40/(F40/((YEAR(E38)*12+MONTH(E38))-(YEAR(D38)*12+MONTH(D38))+1)))</f>
        <v/>
      </c>
      <c r="AI40" s="336">
        <f>G40/F40</f>
        <v/>
      </c>
      <c r="AJ40" s="715">
        <f>F40-G40</f>
        <v/>
      </c>
      <c r="AK40" s="337">
        <f>AK38</f>
        <v/>
      </c>
      <c r="AL40" s="335">
        <f>AG40/AK38</f>
        <v/>
      </c>
      <c r="AM40" s="712">
        <f>AK38-AG40</f>
        <v/>
      </c>
      <c r="AN40" s="713" t="inlineStr"/>
      <c r="AO40" s="713" t="inlineStr"/>
      <c r="AP40" s="713" t="inlineStr"/>
      <c r="AQ40" s="713" t="inlineStr"/>
      <c r="AR40" s="713" t="inlineStr"/>
      <c r="AS40" s="713" t="inlineStr"/>
      <c r="AT40" s="713" t="inlineStr"/>
      <c r="AU40" s="713" t="inlineStr"/>
      <c r="AV40" s="713" t="inlineStr"/>
      <c r="AW40" s="713" t="inlineStr"/>
      <c r="AX40" s="713" t="inlineStr"/>
      <c r="AY40" s="713" t="inlineStr"/>
      <c r="AZ40" s="713" t="inlineStr"/>
      <c r="BA40" s="713" t="inlineStr"/>
      <c r="BB40" s="713" t="inlineStr"/>
      <c r="BC40" s="713" t="inlineStr"/>
      <c r="BD40" s="713" t="inlineStr"/>
      <c r="BE40" s="713" t="inlineStr"/>
      <c r="BF40" s="713" t="inlineStr"/>
      <c r="BG40" s="713" t="inlineStr"/>
      <c r="BH40" s="713" t="inlineStr"/>
      <c r="BI40" s="713" t="inlineStr"/>
      <c r="BJ40" s="713" t="inlineStr"/>
      <c r="BK40" s="713" t="inlineStr"/>
      <c r="BL40" s="713" t="inlineStr"/>
      <c r="BM40" s="713" t="inlineStr"/>
    </row>
    <row r="41" outlineLevel="1" ht="14.25" customFormat="1" customHeight="1" s="483">
      <c r="A41" s="703" t="inlineStr">
        <is>
          <t>理财师004</t>
        </is>
      </c>
      <c r="B41" s="703" t="inlineStr">
        <is>
          <t>理财师006</t>
        </is>
      </c>
      <c r="C41" s="703" t="inlineStr">
        <is>
          <t>私人财富管理专家PWA4-5</t>
        </is>
      </c>
      <c r="D41" s="693" t="n">
        <v>46023</v>
      </c>
      <c r="E41" s="693" t="n">
        <v>46203</v>
      </c>
      <c r="F41" s="703" t="n">
        <v>17235</v>
      </c>
      <c r="G41" s="703" t="n">
        <v>20206.994718</v>
      </c>
      <c r="H41" s="703" t="n">
        <v>2440.698331</v>
      </c>
      <c r="I41" s="703" t="n">
        <v>1523.574</v>
      </c>
      <c r="J41" s="703" t="n">
        <v>0</v>
      </c>
      <c r="K41" s="703">
        <f>SUM(H41:J41)</f>
        <v/>
      </c>
      <c r="L41" s="703" t="n">
        <v>2686.912949</v>
      </c>
      <c r="M41" s="703" t="n">
        <v>384.193382</v>
      </c>
      <c r="N41" s="703" t="n">
        <v>712.227223</v>
      </c>
      <c r="O41" s="703">
        <f>SUM(L41:N41)</f>
        <v/>
      </c>
      <c r="P41" s="703" t="n">
        <v>3250.598551</v>
      </c>
      <c r="Q41" s="703" t="n">
        <v>241.63794</v>
      </c>
      <c r="R41" s="703" t="n">
        <v>443.427462</v>
      </c>
      <c r="S41" s="703">
        <f>SUM(P41:R41)</f>
        <v/>
      </c>
      <c r="T41" s="703" t="n">
        <v>1492.14231</v>
      </c>
      <c r="U41" s="703" t="n">
        <v>0</v>
      </c>
      <c r="V41" s="703" t="n">
        <v>381.121236</v>
      </c>
      <c r="W41" s="703">
        <f>SUM(T41:V41)</f>
        <v/>
      </c>
      <c r="X41" s="703" t="n">
        <v>2747.788321</v>
      </c>
      <c r="Y41" s="703" t="n">
        <v>0</v>
      </c>
      <c r="Z41" s="703" t="n">
        <v>613.27548</v>
      </c>
      <c r="AA41" s="703">
        <f>SUM(X41:Z41)</f>
        <v/>
      </c>
      <c r="AB41" s="703" t="n">
        <v>1566.390968</v>
      </c>
      <c r="AC41" s="703" t="n">
        <v>1037.679365</v>
      </c>
      <c r="AD41" s="703" t="n">
        <v>313.732955</v>
      </c>
      <c r="AE41" s="703">
        <f>SUM(AB41:AD41)</f>
        <v/>
      </c>
      <c r="AF41" s="703" t="n">
        <v>4335.866577</v>
      </c>
      <c r="AG41" s="724">
        <f>SUM(K41+O41+S41+W41+AA41+AE41+AF41)</f>
        <v/>
      </c>
      <c r="AH41" s="319">
        <f>IF(F41=0,"",K41/(F41/((YEAR(E41)*12+MONTH(E41))-(YEAR(D41)*12+MONTH(D41))+1)))</f>
        <v/>
      </c>
      <c r="AI41" s="319">
        <f>G41/F41</f>
        <v/>
      </c>
      <c r="AJ41" s="724">
        <f>F41-G41</f>
        <v/>
      </c>
      <c r="AK41" s="321">
        <f>SUM(F41:F45)</f>
        <v/>
      </c>
      <c r="AL41" s="322">
        <f>AL46</f>
        <v/>
      </c>
      <c r="AM41" s="725">
        <f>AM46</f>
        <v/>
      </c>
      <c r="AN41" s="706" t="inlineStr"/>
      <c r="AO41" s="706" t="inlineStr"/>
      <c r="AP41" s="706" t="inlineStr"/>
      <c r="AQ41" s="706" t="inlineStr"/>
      <c r="AR41" s="706" t="inlineStr"/>
      <c r="AS41" s="706" t="inlineStr"/>
      <c r="AT41" s="706" t="inlineStr"/>
      <c r="AU41" s="706" t="inlineStr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</row>
    <row r="42" outlineLevel="1" ht="14.25" customFormat="1" customHeight="1" s="483">
      <c r="A42" s="500" t="n"/>
      <c r="B42" s="707" t="inlineStr">
        <is>
          <t>理财师003</t>
        </is>
      </c>
      <c r="C42" s="707" t="inlineStr">
        <is>
          <t>私人财富管理总监PWA3-3</t>
        </is>
      </c>
      <c r="D42" s="676" t="n">
        <v>46054</v>
      </c>
      <c r="E42" s="676" t="n">
        <v>46203</v>
      </c>
      <c r="F42" s="707" t="n">
        <v>18856.5</v>
      </c>
      <c r="G42" s="707" t="n">
        <v>20370.818528</v>
      </c>
      <c r="H42" s="707" t="n">
        <v>2152.648612</v>
      </c>
      <c r="I42" s="707" t="n">
        <v>0</v>
      </c>
      <c r="J42" s="707" t="n">
        <v>0</v>
      </c>
      <c r="K42" s="707">
        <f>SUM(H42:J42)</f>
        <v/>
      </c>
      <c r="L42" s="707" t="n">
        <v>3023.349137</v>
      </c>
      <c r="M42" s="707" t="n">
        <v>0</v>
      </c>
      <c r="N42" s="707" t="n">
        <v>2172.888255</v>
      </c>
      <c r="O42" s="707">
        <f>SUM(L42:N42)</f>
        <v/>
      </c>
      <c r="P42" s="707" t="n">
        <v>2530.119274</v>
      </c>
      <c r="Q42" s="707" t="n">
        <v>2029.71366</v>
      </c>
      <c r="R42" s="707" t="n">
        <v>1772.582909</v>
      </c>
      <c r="S42" s="707">
        <f>SUM(P42:R42)</f>
        <v/>
      </c>
      <c r="T42" s="707" t="n">
        <v>567.268131</v>
      </c>
      <c r="U42" s="707" t="n">
        <v>0</v>
      </c>
      <c r="V42" s="707" t="n">
        <v>1666.262563</v>
      </c>
      <c r="W42" s="707">
        <f>SUM(T42:V42)</f>
        <v/>
      </c>
      <c r="X42" s="707" t="n">
        <v>1550.383391</v>
      </c>
      <c r="Y42" s="707" t="n">
        <v>0</v>
      </c>
      <c r="Z42" s="707" t="n">
        <v>2273.498356</v>
      </c>
      <c r="AA42" s="707">
        <f>SUM(X42:Z42)</f>
        <v/>
      </c>
      <c r="AB42" s="707" t="n">
        <v>1396.194268</v>
      </c>
      <c r="AC42" s="707" t="n">
        <v>0</v>
      </c>
      <c r="AD42" s="707" t="n">
        <v>1388.558583</v>
      </c>
      <c r="AE42" s="707">
        <f>SUM(AB42:AD42)</f>
        <v/>
      </c>
      <c r="AF42" s="707" t="n">
        <v>7202.586607</v>
      </c>
      <c r="AG42" s="271">
        <f>SUM(K42+O42+S42+W42+AA42+AE42+AF42)</f>
        <v/>
      </c>
      <c r="AH42" s="326">
        <f>IF(F42=0,"",K42/(F42/((YEAR(E42)*12+MONTH(E42))-(YEAR(D42)*12+MONTH(D42))+1)))</f>
        <v/>
      </c>
      <c r="AI42" s="326">
        <f>G42/F42</f>
        <v/>
      </c>
      <c r="AJ42" s="708">
        <f>F42-G42</f>
        <v/>
      </c>
      <c r="AK42" s="500" t="n"/>
      <c r="AL42" s="500" t="n"/>
      <c r="AM42" s="500" t="n"/>
      <c r="AN42" s="706" t="inlineStr"/>
      <c r="AO42" s="706" t="inlineStr"/>
      <c r="AP42" s="706" t="inlineStr"/>
      <c r="AQ42" s="706" t="inlineStr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</row>
    <row r="43" outlineLevel="1" ht="14.25" customFormat="1" customHeight="1" s="483">
      <c r="A43" s="500" t="n"/>
      <c r="B43" s="707" t="inlineStr">
        <is>
          <t>理财师029</t>
        </is>
      </c>
      <c r="C43" s="707" t="inlineStr">
        <is>
          <t>私人财富管理专家PWA4-3</t>
        </is>
      </c>
      <c r="D43" s="676" t="n">
        <v>46150</v>
      </c>
      <c r="E43" s="676" t="n">
        <v>46333</v>
      </c>
      <c r="F43" s="707" t="n">
        <v>16404.52</v>
      </c>
      <c r="G43" s="707" t="n">
        <v>1271.751097</v>
      </c>
      <c r="H43" s="707" t="n">
        <v>82.18470000000001</v>
      </c>
      <c r="I43" s="707" t="n">
        <v>0</v>
      </c>
      <c r="J43" s="707" t="n">
        <v>0</v>
      </c>
      <c r="K43" s="707">
        <f>SUM(H43:J43)</f>
        <v/>
      </c>
      <c r="L43" s="707" t="n">
        <v>644.8338</v>
      </c>
      <c r="M43" s="707" t="n">
        <v>64.736256</v>
      </c>
      <c r="N43" s="707" t="n">
        <v>38.329254</v>
      </c>
      <c r="O43" s="707">
        <f>SUM(L43:N43)</f>
        <v/>
      </c>
      <c r="P43" s="707" t="n">
        <v>0</v>
      </c>
      <c r="Q43" s="707" t="n">
        <v>0</v>
      </c>
      <c r="R43" s="707" t="n">
        <v>20.217377</v>
      </c>
      <c r="S43" s="707">
        <f>SUM(P43:R43)</f>
        <v/>
      </c>
      <c r="T43" s="707" t="n">
        <v>410.9235</v>
      </c>
      <c r="U43" s="707" t="n">
        <v>0</v>
      </c>
      <c r="V43" s="707" t="n">
        <v>4.340061</v>
      </c>
      <c r="W43" s="707">
        <f>SUM(T43:V43)</f>
        <v/>
      </c>
      <c r="X43" s="707" t="n">
        <v>0</v>
      </c>
      <c r="Y43" s="707" t="n">
        <v>0</v>
      </c>
      <c r="Z43" s="707" t="n">
        <v>5.058234</v>
      </c>
      <c r="AA43" s="707">
        <f>SUM(X43:Z43)</f>
        <v/>
      </c>
      <c r="AB43" s="707" t="n">
        <v>0</v>
      </c>
      <c r="AC43" s="707" t="n">
        <v>0</v>
      </c>
      <c r="AD43" s="707" t="n">
        <v>1.127915</v>
      </c>
      <c r="AE43" s="707">
        <f>SUM(AB43:AD43)</f>
        <v/>
      </c>
      <c r="AF43" s="707" t="n">
        <v>0</v>
      </c>
      <c r="AG43" s="271">
        <f>SUM(K43+O43+S43+W43+AA43+AE43+AF43)</f>
        <v/>
      </c>
      <c r="AH43" s="326">
        <f>IF(F43=0,"",K43/(F43/((YEAR(E43)*12+MONTH(E43))-(YEAR(D43)*12+MONTH(D43))+1)))</f>
        <v/>
      </c>
      <c r="AI43" s="326">
        <f>G43/F43</f>
        <v/>
      </c>
      <c r="AJ43" s="708">
        <f>F43-G43</f>
        <v/>
      </c>
      <c r="AK43" s="500" t="n"/>
      <c r="AL43" s="500" t="n"/>
      <c r="AM43" s="500" t="n"/>
      <c r="AN43" s="706" t="inlineStr"/>
      <c r="AO43" s="706" t="inlineStr"/>
      <c r="AP43" s="706" t="inlineStr"/>
      <c r="AQ43" s="706" t="inlineStr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</row>
    <row r="44" outlineLevel="1" ht="14.25" customFormat="1" customHeight="1" s="483">
      <c r="A44" s="500" t="n"/>
      <c r="B44" s="707" t="inlineStr">
        <is>
          <t>理财师004</t>
        </is>
      </c>
      <c r="C44" s="707" t="inlineStr"/>
      <c r="D44" s="707" t="inlineStr"/>
      <c r="E44" s="707" t="inlineStr"/>
      <c r="F44" s="707" t="n">
        <v>0</v>
      </c>
      <c r="G44" s="707" t="n">
        <v>0</v>
      </c>
      <c r="H44" s="707" t="n">
        <v>2341.58054</v>
      </c>
      <c r="I44" s="707" t="n">
        <v>0</v>
      </c>
      <c r="J44" s="707" t="n">
        <v>0</v>
      </c>
      <c r="K44" s="707">
        <f>SUM(H44:J44)</f>
        <v/>
      </c>
      <c r="L44" s="707" t="n">
        <v>1086.743489</v>
      </c>
      <c r="M44" s="707" t="n">
        <v>0</v>
      </c>
      <c r="N44" s="707" t="n">
        <v>629.984864</v>
      </c>
      <c r="O44" s="707">
        <f>SUM(L44:N44)</f>
        <v/>
      </c>
      <c r="P44" s="707" t="n">
        <v>2310.349392</v>
      </c>
      <c r="Q44" s="707" t="n">
        <v>0</v>
      </c>
      <c r="R44" s="707" t="n">
        <v>578.575409</v>
      </c>
      <c r="S44" s="707">
        <f>SUM(P44:R44)</f>
        <v/>
      </c>
      <c r="T44" s="707" t="n">
        <v>753.431552</v>
      </c>
      <c r="U44" s="707" t="n">
        <v>0</v>
      </c>
      <c r="V44" s="707" t="n">
        <v>578.295302</v>
      </c>
      <c r="W44" s="707">
        <f>SUM(T44:V44)</f>
        <v/>
      </c>
      <c r="X44" s="707" t="n">
        <v>1958.298381</v>
      </c>
      <c r="Y44" s="707" t="n">
        <v>0</v>
      </c>
      <c r="Z44" s="707" t="n">
        <v>652.1048489999999</v>
      </c>
      <c r="AA44" s="707">
        <f>SUM(X44:Z44)</f>
        <v/>
      </c>
      <c r="AB44" s="707" t="n">
        <v>2837.047697</v>
      </c>
      <c r="AC44" s="707" t="n">
        <v>0</v>
      </c>
      <c r="AD44" s="707" t="n">
        <v>460.81999</v>
      </c>
      <c r="AE44" s="707">
        <f>SUM(AB44:AD44)</f>
        <v/>
      </c>
      <c r="AF44" s="707" t="n">
        <v>2541.530781</v>
      </c>
      <c r="AG44" s="271">
        <f>SUM(K44+O44+S44+W44+AA44+AE44+AF44)</f>
        <v/>
      </c>
      <c r="AH44" s="326">
        <f>IF(F44=0,"",K44/(F44/MAX(1,(YEAR(E44)*12+MONTH(E44))-(YEAR(D44)*12+MONTH(D44))+1)))</f>
        <v/>
      </c>
      <c r="AI44" s="326">
        <f>G44/F44</f>
        <v/>
      </c>
      <c r="AJ44" s="708">
        <f>F44-G44</f>
        <v/>
      </c>
      <c r="AK44" s="500" t="n"/>
      <c r="AL44" s="500" t="n"/>
      <c r="AM44" s="500" t="n"/>
      <c r="AN44" s="706" t="inlineStr"/>
      <c r="AO44" s="706" t="inlineStr"/>
      <c r="AP44" s="706" t="inlineStr"/>
      <c r="AQ44" s="706" t="inlineStr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</row>
    <row r="45" outlineLevel="1" ht="14.25" customFormat="1" customHeight="1" s="483">
      <c r="A45" s="513" t="n"/>
      <c r="B45" s="707" t="inlineStr">
        <is>
          <t>理财师012</t>
        </is>
      </c>
      <c r="C45" s="707" t="inlineStr">
        <is>
          <t>首席私人财富管理专家PWA5-3</t>
        </is>
      </c>
      <c r="D45" s="676" t="n">
        <v>46023</v>
      </c>
      <c r="E45" s="676" t="n">
        <v>46203</v>
      </c>
      <c r="F45" s="707" t="n">
        <v>51394.5</v>
      </c>
      <c r="G45" s="707" t="n">
        <v>36636.441638</v>
      </c>
      <c r="H45" s="707" t="n">
        <v>5424.312582</v>
      </c>
      <c r="I45" s="707" t="n">
        <v>0</v>
      </c>
      <c r="J45" s="707" t="n">
        <v>0</v>
      </c>
      <c r="K45" s="707">
        <f>SUM(H45:J45)</f>
        <v/>
      </c>
      <c r="L45" s="707" t="n">
        <v>5710.083829</v>
      </c>
      <c r="M45" s="707" t="n">
        <v>0</v>
      </c>
      <c r="N45" s="707" t="n">
        <v>4494.012415</v>
      </c>
      <c r="O45" s="707">
        <f>SUM(L45:N45)</f>
        <v/>
      </c>
      <c r="P45" s="707" t="n">
        <v>5099.256359</v>
      </c>
      <c r="Q45" s="707" t="n">
        <v>0</v>
      </c>
      <c r="R45" s="707" t="n">
        <v>2165.674642</v>
      </c>
      <c r="S45" s="707">
        <f>SUM(P45:R45)</f>
        <v/>
      </c>
      <c r="T45" s="707" t="n">
        <v>937.141286</v>
      </c>
      <c r="U45" s="707" t="n">
        <v>0</v>
      </c>
      <c r="V45" s="707" t="n">
        <v>1775.786688</v>
      </c>
      <c r="W45" s="707">
        <f>SUM(T45:V45)</f>
        <v/>
      </c>
      <c r="X45" s="707" t="n">
        <v>3160.387028</v>
      </c>
      <c r="Y45" s="707" t="n">
        <v>0</v>
      </c>
      <c r="Z45" s="707" t="n">
        <v>3880.484178</v>
      </c>
      <c r="AA45" s="707">
        <f>SUM(X45:Z45)</f>
        <v/>
      </c>
      <c r="AB45" s="707" t="n">
        <v>3065.24731</v>
      </c>
      <c r="AC45" s="707" t="n">
        <v>0</v>
      </c>
      <c r="AD45" s="707" t="n">
        <v>1466.609142</v>
      </c>
      <c r="AE45" s="707">
        <f>SUM(AB45:AD45)</f>
        <v/>
      </c>
      <c r="AF45" s="707" t="n">
        <v>4881.758761</v>
      </c>
      <c r="AG45" s="271">
        <f>SUM(K45+O45+S45+W45+AA45+AE45+AF45)</f>
        <v/>
      </c>
      <c r="AH45" s="326">
        <f>IF(F45=0,"",K45/(F45/((YEAR(E45)*12+MONTH(E45))-(YEAR(D45)*12+MONTH(D45))+1)))</f>
        <v/>
      </c>
      <c r="AI45" s="326">
        <f>G45/F45</f>
        <v/>
      </c>
      <c r="AJ45" s="708">
        <f>F45-G45</f>
        <v/>
      </c>
      <c r="AK45" s="513" t="n"/>
      <c r="AL45" s="513" t="n"/>
      <c r="AM45" s="513" t="n"/>
      <c r="AN45" s="706" t="inlineStr"/>
      <c r="AO45" s="706" t="inlineStr"/>
      <c r="AP45" s="706" t="inlineStr"/>
      <c r="AQ45" s="706" t="inlineStr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</row>
    <row r="46" outlineLevel="1" ht="14.25" customFormat="1" customHeight="1" s="483">
      <c r="A46" s="710" t="inlineStr">
        <is>
          <t>合计</t>
        </is>
      </c>
      <c r="B46" s="518" t="n"/>
      <c r="C46" s="518" t="n"/>
      <c r="D46" s="518" t="n"/>
      <c r="E46" s="578" t="n"/>
      <c r="F46" s="333">
        <f>SUM(F41:F45)</f>
        <v/>
      </c>
      <c r="G46" s="710">
        <f>SUM(G41:G45)</f>
        <v/>
      </c>
      <c r="H46" s="710">
        <f>SUM(H41:H45)</f>
        <v/>
      </c>
      <c r="I46" s="710">
        <f>SUM(I41:I45)</f>
        <v/>
      </c>
      <c r="J46" s="710">
        <f>SUM(J41:J45)</f>
        <v/>
      </c>
      <c r="K46" s="710">
        <f>SUM(K41:K45)</f>
        <v/>
      </c>
      <c r="L46" s="710">
        <f>SUM(L41:L45)</f>
        <v/>
      </c>
      <c r="M46" s="710">
        <f>SUM(M41:M45)</f>
        <v/>
      </c>
      <c r="N46" s="710">
        <f>SUM(N41:N45)</f>
        <v/>
      </c>
      <c r="O46" s="710">
        <f>SUM(O41:O45)</f>
        <v/>
      </c>
      <c r="P46" s="710">
        <f>SUM(P41:P45)</f>
        <v/>
      </c>
      <c r="Q46" s="710">
        <f>SUM(Q41:Q45)</f>
        <v/>
      </c>
      <c r="R46" s="710">
        <f>SUM(R41:R45)</f>
        <v/>
      </c>
      <c r="S46" s="710">
        <f>SUM(S41:S45)</f>
        <v/>
      </c>
      <c r="T46" s="710">
        <f>SUM(T41:T45)</f>
        <v/>
      </c>
      <c r="U46" s="710">
        <f>SUM(U41:U45)</f>
        <v/>
      </c>
      <c r="V46" s="710">
        <f>SUM(V41:V45)</f>
        <v/>
      </c>
      <c r="W46" s="710">
        <f>SUM(W41:W45)</f>
        <v/>
      </c>
      <c r="X46" s="710">
        <f>SUM(X41:X45)</f>
        <v/>
      </c>
      <c r="Y46" s="710">
        <f>SUM(Y41:Y45)</f>
        <v/>
      </c>
      <c r="Z46" s="710">
        <f>SUM(Z41:Z45)</f>
        <v/>
      </c>
      <c r="AA46" s="710">
        <f>SUM(AA41:AA45)</f>
        <v/>
      </c>
      <c r="AB46" s="710">
        <f>SUM(AB41:AB45)</f>
        <v/>
      </c>
      <c r="AC46" s="710">
        <f>SUM(AC41:AC45)</f>
        <v/>
      </c>
      <c r="AD46" s="710">
        <f>SUM(AD41:AD45)</f>
        <v/>
      </c>
      <c r="AE46" s="710">
        <f>SUM(AE41:AE45)</f>
        <v/>
      </c>
      <c r="AF46" s="710">
        <f>SUM(AF41:AF45)</f>
        <v/>
      </c>
      <c r="AG46" s="333">
        <f>SUM(K46+O46+S46+W46+AA46+AE46+AF46)</f>
        <v/>
      </c>
      <c r="AH46" s="335">
        <f>IF(F46=0,"",K46/(F46/((YEAR(E41)*12+MONTH(E41))-(YEAR(D41)*12+MONTH(D41))+1)))</f>
        <v/>
      </c>
      <c r="AI46" s="336">
        <f>G46/F46</f>
        <v/>
      </c>
      <c r="AJ46" s="715">
        <f>F46-G46</f>
        <v/>
      </c>
      <c r="AK46" s="337">
        <f>AK41</f>
        <v/>
      </c>
      <c r="AL46" s="335">
        <f>AG46/AK41</f>
        <v/>
      </c>
      <c r="AM46" s="712">
        <f>AK41-AG46</f>
        <v/>
      </c>
      <c r="AN46" s="713" t="inlineStr"/>
      <c r="AO46" s="713" t="inlineStr"/>
      <c r="AP46" s="713" t="inlineStr"/>
      <c r="AQ46" s="713" t="inlineStr"/>
      <c r="AR46" s="713" t="inlineStr"/>
      <c r="AS46" s="713" t="inlineStr"/>
      <c r="AT46" s="713" t="inlineStr"/>
      <c r="AU46" s="713" t="inlineStr"/>
      <c r="AV46" s="713" t="inlineStr"/>
      <c r="AW46" s="713" t="inlineStr"/>
      <c r="AX46" s="713" t="inlineStr"/>
      <c r="AY46" s="713" t="inlineStr"/>
      <c r="AZ46" s="713" t="inlineStr"/>
      <c r="BA46" s="713" t="inlineStr"/>
      <c r="BB46" s="713" t="inlineStr"/>
      <c r="BC46" s="713" t="inlineStr"/>
      <c r="BD46" s="713" t="inlineStr"/>
      <c r="BE46" s="713" t="inlineStr"/>
      <c r="BF46" s="713" t="inlineStr"/>
      <c r="BG46" s="713" t="inlineStr"/>
      <c r="BH46" s="713" t="inlineStr"/>
      <c r="BI46" s="713" t="inlineStr"/>
      <c r="BJ46" s="713" t="inlineStr"/>
      <c r="BK46" s="713" t="inlineStr"/>
      <c r="BL46" s="713" t="inlineStr"/>
      <c r="BM46" s="713" t="inlineStr"/>
    </row>
    <row r="47" outlineLevel="1" ht="14.25" customFormat="1" customHeight="1" s="483">
      <c r="A47" s="719" t="inlineStr">
        <is>
          <t>合计</t>
        </is>
      </c>
      <c r="B47" s="518" t="n"/>
      <c r="C47" s="518" t="n"/>
      <c r="D47" s="518" t="n"/>
      <c r="E47" s="578" t="n"/>
      <c r="F47" s="720">
        <f>F9+F14+F19+F23+F27+F30+F33+F37+F40+F46</f>
        <v/>
      </c>
      <c r="G47" s="720">
        <f>G9+G14+G19+G23+G27+G30+G33+G37+G40+G46</f>
        <v/>
      </c>
      <c r="H47" s="722">
        <f>H9+H14+H19+H23+H27+H30+H33+H37+H40+H46</f>
        <v/>
      </c>
      <c r="I47" s="722">
        <f>I9+I14+I19+I23+I27+I30+I33+I37+I40+I46</f>
        <v/>
      </c>
      <c r="J47" s="722">
        <f>J9+J14+J19+J23+J27+J30+J33+J37+J40+J46</f>
        <v/>
      </c>
      <c r="K47" s="722">
        <f>K9+K14+K19+K23+K27+K30+K33+K37+K40+K46</f>
        <v/>
      </c>
      <c r="L47" s="720">
        <f>L9+L14+L19+L23+L27+L30+L33+L37+L40+L46</f>
        <v/>
      </c>
      <c r="M47" s="720">
        <f>M9+M14+M19+M23+M27+M30+M33+M37+M40+M46</f>
        <v/>
      </c>
      <c r="N47" s="720">
        <f>N9+N14+N19+N23+N27+N30+N33+N37+N40+N46</f>
        <v/>
      </c>
      <c r="O47" s="720">
        <f>O9+O14+O19+O23+O27+O30+O33+O37+O40+O46</f>
        <v/>
      </c>
      <c r="P47" s="720">
        <f>P9+P14+P19+P23+P27+P30+P33+P37+P40+P46</f>
        <v/>
      </c>
      <c r="Q47" s="720">
        <f>Q9+Q14+Q19+Q23+Q27+Q30+Q33+Q37+Q40+Q46</f>
        <v/>
      </c>
      <c r="R47" s="720">
        <f>R9+R14+R19+R23+R27+R30+R33+R37+R40+R46</f>
        <v/>
      </c>
      <c r="S47" s="720">
        <f>S9+S14+S19+S23+S27+S30+S33+S37+S40+S46</f>
        <v/>
      </c>
      <c r="T47" s="720">
        <f>T9+T14+T19+T23+T27+T30+T33+T37+T40+T46</f>
        <v/>
      </c>
      <c r="U47" s="720">
        <f>U9+U14+U19+U23+U27+U30+U33+U37+U40+U46</f>
        <v/>
      </c>
      <c r="V47" s="720">
        <f>V9+V14+V19+V23+V27+V30+V33+V37+V40+V46</f>
        <v/>
      </c>
      <c r="W47" s="720">
        <f>W9+W14+W19+W23+W27+W30+W33+W37+W40+W46</f>
        <v/>
      </c>
      <c r="X47" s="720">
        <f>X9+X14+X19+X23+X27+X30+X33+X37+X40+X46</f>
        <v/>
      </c>
      <c r="Y47" s="722">
        <f>Y9+Y14+Y19+Y23+Y27+Y30+Y33+Y37+Y40+Y46</f>
        <v/>
      </c>
      <c r="Z47" s="722">
        <f>Z9+Z14+Z19+Z23+Z27+Z30+Z33+Z37+Z40+Z46</f>
        <v/>
      </c>
      <c r="AA47" s="722">
        <f>AA9+AA14+AA19+AA23+AA27+AA30+AA33+AA37+AA40+AA46</f>
        <v/>
      </c>
      <c r="AB47" s="722">
        <f>AB9+AB14+AB19+AB23+AB27+AB30+AB33+AB37+AB40+AB46</f>
        <v/>
      </c>
      <c r="AC47" s="722">
        <f>AC9+AC14+AC19+AC23+AC27+AC30+AC33+AC37+AC40+AC46</f>
        <v/>
      </c>
      <c r="AD47" s="722">
        <f>AD9+AD14+AD19+AD23+AD27+AD30+AD33+AD37+AD40+AD46</f>
        <v/>
      </c>
      <c r="AE47" s="722">
        <f>AE9+AE14+AE19+AE23+AE27+AE30+AE33+AE37+AE40+AE46</f>
        <v/>
      </c>
      <c r="AF47" s="722">
        <f>AF9+AF14+AF19+AF23+AF27+AF30+AF33+AF37+AF40+AF46</f>
        <v/>
      </c>
      <c r="AG47" s="728">
        <f>AG9+AG14+AG19+AG23+AG27+AG30+AG33+AG37+AG40+AG46</f>
        <v/>
      </c>
      <c r="AH47" s="350">
        <f>K47/(F47/((YEAR(E4)*12+MONTH(E4))-(YEAR(D4)*12+MONTH(D4))+1))</f>
        <v/>
      </c>
      <c r="AI47" s="350">
        <f>G47/F47</f>
        <v/>
      </c>
      <c r="AJ47" s="722">
        <f>F47-G47</f>
        <v/>
      </c>
      <c r="AK47" s="352">
        <f>AK9+AK14+AK19+AK23+AK27+AK30+AK33+AK37+AK40+AK46</f>
        <v/>
      </c>
      <c r="AL47" s="353">
        <f>AG47/AK47</f>
        <v/>
      </c>
      <c r="AM47" s="722">
        <f>AK47-AG47</f>
        <v/>
      </c>
      <c r="AN47" s="723" t="inlineStr"/>
      <c r="AO47" s="723" t="inlineStr"/>
      <c r="AP47" s="723" t="inlineStr"/>
      <c r="AQ47" s="723" t="inlineStr"/>
      <c r="AR47" s="723" t="inlineStr"/>
      <c r="AS47" s="723" t="inlineStr"/>
      <c r="AT47" s="723" t="inlineStr"/>
      <c r="AU47" s="723" t="inlineStr"/>
      <c r="AV47" s="723" t="inlineStr"/>
      <c r="AW47" s="723" t="inlineStr"/>
      <c r="AX47" s="723" t="inlineStr"/>
      <c r="AY47" s="723" t="inlineStr"/>
      <c r="AZ47" s="723" t="inlineStr"/>
      <c r="BA47" s="723" t="inlineStr"/>
      <c r="BB47" s="723" t="inlineStr"/>
      <c r="BC47" s="723" t="inlineStr"/>
      <c r="BD47" s="723" t="inlineStr"/>
      <c r="BE47" s="723" t="inlineStr"/>
      <c r="BF47" s="723" t="inlineStr"/>
      <c r="BG47" s="723" t="inlineStr"/>
      <c r="BH47" s="723" t="inlineStr"/>
      <c r="BI47" s="723" t="inlineStr"/>
      <c r="BJ47" s="723" t="inlineStr"/>
      <c r="BK47" s="723" t="inlineStr"/>
      <c r="BL47" s="723" t="inlineStr"/>
      <c r="BM47" s="727" t="inlineStr"/>
    </row>
    <row r="48" ht="14.25" customFormat="1" customHeight="1" s="483">
      <c r="AJ48" s="633" t="inlineStr">
        <is>
          <t>公司目标</t>
        </is>
      </c>
      <c r="AK48" s="633" t="n">
        <v>936834.359861</v>
      </c>
      <c r="AL48" s="252">
        <f>IF(AK48&lt;&gt;0,AG47/AK48,"")</f>
        <v/>
      </c>
      <c r="AM48" s="663">
        <f>AK48-AG47</f>
        <v/>
      </c>
    </row>
    <row r="49" ht="14.25" customFormat="1" customHeight="1" s="483"/>
    <row r="50" ht="35.1" customFormat="1" customHeight="1" s="483"/>
    <row r="51" ht="24" customFormat="1" customHeight="1" s="483"/>
  </sheetData>
  <mergeCells count="91">
    <mergeCell ref="A20:A22"/>
    <mergeCell ref="A4:A8"/>
    <mergeCell ref="U2:U3"/>
    <mergeCell ref="AK15:AK18"/>
    <mergeCell ref="AM4:AM8"/>
    <mergeCell ref="A37:E37"/>
    <mergeCell ref="A46:E46"/>
    <mergeCell ref="A2:A3"/>
    <mergeCell ref="A24:A26"/>
    <mergeCell ref="C2:C3"/>
    <mergeCell ref="AL28:AL29"/>
    <mergeCell ref="E2:E3"/>
    <mergeCell ref="W2:W3"/>
    <mergeCell ref="AK10:AK13"/>
    <mergeCell ref="AM10:AM13"/>
    <mergeCell ref="AM41:AM45"/>
    <mergeCell ref="A23:E23"/>
    <mergeCell ref="AA2:AA3"/>
    <mergeCell ref="AC2:AC3"/>
    <mergeCell ref="A10:A13"/>
    <mergeCell ref="AM2:AM3"/>
    <mergeCell ref="AL38:AL39"/>
    <mergeCell ref="AM34:AM36"/>
    <mergeCell ref="V2:V3"/>
    <mergeCell ref="AK20:AK22"/>
    <mergeCell ref="X2:X3"/>
    <mergeCell ref="AL15:AL18"/>
    <mergeCell ref="AM20:AM22"/>
    <mergeCell ref="AL24:AL26"/>
    <mergeCell ref="N2:N3"/>
    <mergeCell ref="F2:F3"/>
    <mergeCell ref="P2:P3"/>
    <mergeCell ref="AM28:AM29"/>
    <mergeCell ref="H2:H3"/>
    <mergeCell ref="AK38:AK39"/>
    <mergeCell ref="AL34:AL36"/>
    <mergeCell ref="AF2:AF3"/>
    <mergeCell ref="K2:K3"/>
    <mergeCell ref="AH2:AH3"/>
    <mergeCell ref="AK1:AL1"/>
    <mergeCell ref="O2:O3"/>
    <mergeCell ref="Q2:Q3"/>
    <mergeCell ref="A14:E14"/>
    <mergeCell ref="AI2:AI3"/>
    <mergeCell ref="AK2:AK3"/>
    <mergeCell ref="AK24:AK26"/>
    <mergeCell ref="AK4:AK8"/>
    <mergeCell ref="AM24:AM26"/>
    <mergeCell ref="A41:A45"/>
    <mergeCell ref="A40:E40"/>
    <mergeCell ref="S2:S3"/>
    <mergeCell ref="AL31:AL32"/>
    <mergeCell ref="AK34:AK36"/>
    <mergeCell ref="B2:B3"/>
    <mergeCell ref="D2:D3"/>
    <mergeCell ref="AK28:AK29"/>
    <mergeCell ref="AL4:AL8"/>
    <mergeCell ref="A34:A36"/>
    <mergeCell ref="Z2:Z3"/>
    <mergeCell ref="AB2:AB3"/>
    <mergeCell ref="AD2:AD3"/>
    <mergeCell ref="T2:T3"/>
    <mergeCell ref="A47:E47"/>
    <mergeCell ref="AM15:AM18"/>
    <mergeCell ref="AL10:AL13"/>
    <mergeCell ref="A38:A39"/>
    <mergeCell ref="A15:A18"/>
    <mergeCell ref="A31:A32"/>
    <mergeCell ref="G2:G3"/>
    <mergeCell ref="I2:I3"/>
    <mergeCell ref="A30:E30"/>
    <mergeCell ref="AM38:AM39"/>
    <mergeCell ref="M2:M3"/>
    <mergeCell ref="AE2:AE3"/>
    <mergeCell ref="AG2:AG3"/>
    <mergeCell ref="AK41:AK45"/>
    <mergeCell ref="AL20:AL22"/>
    <mergeCell ref="Y2:Y3"/>
    <mergeCell ref="AJ2:AJ3"/>
    <mergeCell ref="A27:E27"/>
    <mergeCell ref="AM31:AM32"/>
    <mergeCell ref="A33:E33"/>
    <mergeCell ref="R2:R3"/>
    <mergeCell ref="J2:J3"/>
    <mergeCell ref="L2:L3"/>
    <mergeCell ref="AK31:AK32"/>
    <mergeCell ref="A28:A29"/>
    <mergeCell ref="A19:E19"/>
    <mergeCell ref="AL41:AL45"/>
    <mergeCell ref="A9:E9"/>
    <mergeCell ref="AL2:AL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47"/>
  <sheetViews>
    <sheetView showGridLines="1" tabSelected="1" topLeftCell="G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6"/>
    <col width="13.9286" customWidth="1" style="533" min="27" max="27"/>
    <col hidden="1" width="12.7857" customWidth="1" style="483" min="28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6"/>
    <col width="13.2143" customWidth="1" style="533" min="37" max="37"/>
    <col width="6.57143" customWidth="1" style="533" min="38" max="38"/>
    <col width="18.5714" customWidth="1" style="533" min="39" max="39"/>
    <col width="10.6429" customWidth="1" style="533" min="40" max="40"/>
    <col width="17.3571" customWidth="1" style="533" min="41" max="41"/>
    <col width="11.4286" customWidth="1" style="533" min="42" max="42"/>
    <col width="13.9286" customWidth="1" style="533" min="43" max="43"/>
    <col width="9" customWidth="1" style="533" min="44" max="45"/>
    <col width="12.3571" customWidth="1" style="533" min="46" max="46"/>
    <col width="9" customWidth="1" style="533" min="47" max="69"/>
  </cols>
  <sheetData>
    <row r="1" ht="20.25" customFormat="1" customHeight="1" s="483">
      <c r="A1" s="754" t="inlineStr">
        <is>
          <t>私人财富管理部折标销售进度表-截止20260807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486" t="n"/>
      <c r="Q1" s="486" t="n"/>
      <c r="R1" s="486" t="n"/>
      <c r="S1" s="486" t="n"/>
      <c r="T1" s="486" t="n"/>
      <c r="U1" s="486" t="n"/>
      <c r="V1" s="486" t="n"/>
      <c r="W1" s="486" t="n"/>
      <c r="X1" s="486" t="n"/>
      <c r="Y1" s="486" t="n"/>
      <c r="Z1" s="486" t="n"/>
      <c r="AA1" s="486" t="n"/>
      <c r="AB1" s="486" t="n"/>
      <c r="AC1" s="486" t="n"/>
      <c r="AD1" s="486" t="n"/>
      <c r="AE1" s="486" t="n"/>
      <c r="AF1" s="486" t="n"/>
      <c r="AG1" s="486" t="n"/>
      <c r="AH1" s="486" t="n"/>
      <c r="AI1" s="486" t="n"/>
      <c r="AJ1" s="486" t="n"/>
      <c r="AK1" s="486" t="n"/>
      <c r="AL1" s="486" t="n"/>
      <c r="AM1" s="486" t="n"/>
      <c r="AN1" s="486" t="n"/>
      <c r="AO1" s="552" t="inlineStr">
        <is>
          <t>上半年时间进度</t>
        </is>
      </c>
      <c r="AQ1" s="70">
        <f>AR7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传统202608</t>
        </is>
      </c>
      <c r="I2" s="541" t="inlineStr">
        <is>
          <t>保险202608</t>
        </is>
      </c>
      <c r="J2" s="541" t="inlineStr">
        <is>
          <t>管理费202608</t>
        </is>
      </c>
      <c r="K2" s="669" t="inlineStr">
        <is>
          <t>2026年
8月折标</t>
        </is>
      </c>
      <c r="L2" s="541" t="inlineStr">
        <is>
          <t>传统202607</t>
        </is>
      </c>
      <c r="M2" s="541" t="inlineStr">
        <is>
          <t>保险202607</t>
        </is>
      </c>
      <c r="N2" s="541" t="inlineStr">
        <is>
          <t>管理费202607</t>
        </is>
      </c>
      <c r="O2" s="669" t="inlineStr">
        <is>
          <t>2026年
7月折标</t>
        </is>
      </c>
      <c r="P2" s="541" t="inlineStr">
        <is>
          <t>传统202606</t>
        </is>
      </c>
      <c r="Q2" s="541" t="inlineStr">
        <is>
          <t>保险202606</t>
        </is>
      </c>
      <c r="R2" s="541" t="inlineStr">
        <is>
          <t>管理费202606</t>
        </is>
      </c>
      <c r="S2" s="669" t="inlineStr">
        <is>
          <t>2026年
6月折标</t>
        </is>
      </c>
      <c r="T2" s="541" t="inlineStr">
        <is>
          <t>传统202605</t>
        </is>
      </c>
      <c r="U2" s="541" t="inlineStr">
        <is>
          <t>保险202605</t>
        </is>
      </c>
      <c r="V2" s="541" t="inlineStr">
        <is>
          <t>管理费202605</t>
        </is>
      </c>
      <c r="W2" s="669" t="inlineStr">
        <is>
          <t>2026年
5月折标</t>
        </is>
      </c>
      <c r="X2" s="541" t="inlineStr">
        <is>
          <t>传统202604</t>
        </is>
      </c>
      <c r="Y2" s="541" t="inlineStr">
        <is>
          <t>保险202604</t>
        </is>
      </c>
      <c r="Z2" s="541" t="inlineStr">
        <is>
          <t>管理费202604</t>
        </is>
      </c>
      <c r="AA2" s="669" t="inlineStr">
        <is>
          <t>2026年
4月折标</t>
        </is>
      </c>
      <c r="AB2" s="541" t="inlineStr">
        <is>
          <t>传统202603</t>
        </is>
      </c>
      <c r="AC2" s="541" t="inlineStr">
        <is>
          <t>保险202603</t>
        </is>
      </c>
      <c r="AD2" s="541" t="inlineStr">
        <is>
          <t>管理费202603</t>
        </is>
      </c>
      <c r="AE2" s="669" t="inlineStr">
        <is>
          <t>2026年
3月折标</t>
        </is>
      </c>
      <c r="AF2" s="541" t="inlineStr">
        <is>
          <t>传统202602</t>
        </is>
      </c>
      <c r="AG2" s="541" t="inlineStr">
        <is>
          <t>保险202602</t>
        </is>
      </c>
      <c r="AH2" s="541" t="inlineStr">
        <is>
          <t>管理费202602</t>
        </is>
      </c>
      <c r="AI2" s="669" t="inlineStr">
        <is>
          <t>2026年
2月折标</t>
        </is>
      </c>
      <c r="AJ2" s="669" t="inlineStr">
        <is>
          <t>2026年
1月折标</t>
        </is>
      </c>
      <c r="AK2" s="670" t="inlineStr">
        <is>
          <t>2026年YTD折标</t>
        </is>
      </c>
      <c r="AL2" s="671" t="inlineStr">
        <is>
          <t>月度
完成率</t>
        </is>
      </c>
      <c r="AM2" s="666" t="inlineStr">
        <is>
          <t>考核期完成率（累计）</t>
        </is>
      </c>
      <c r="AN2" s="560" t="inlineStr">
        <is>
          <t>考核期差距</t>
        </is>
      </c>
      <c r="AO2" s="561" t="inlineStr">
        <is>
          <t>财富中心
上半年年任务</t>
        </is>
      </c>
      <c r="AP2" s="79" t="inlineStr">
        <is>
          <t>财富中心
上半年任务完成率</t>
        </is>
      </c>
      <c r="AQ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</row>
    <row r="4" outlineLevel="1" ht="14.25" customFormat="1" customHeight="1" s="483">
      <c r="A4" s="703" t="inlineStr">
        <is>
          <t>理财师018</t>
        </is>
      </c>
      <c r="B4" s="703" t="inlineStr">
        <is>
          <t>理财师021</t>
        </is>
      </c>
      <c r="C4" s="703" t="inlineStr">
        <is>
          <t>私人财富管理总监PWA3-4</t>
        </is>
      </c>
      <c r="D4" s="693" t="n">
        <v>46204</v>
      </c>
      <c r="E4" s="693" t="n">
        <v>46387</v>
      </c>
      <c r="F4" s="703" t="n">
        <v>14498.13</v>
      </c>
      <c r="G4" s="703" t="n">
        <v>2566.791543</v>
      </c>
      <c r="H4" s="703" t="n">
        <v>0</v>
      </c>
      <c r="I4" s="703" t="n">
        <v>0</v>
      </c>
      <c r="J4" s="703" t="n">
        <v>0</v>
      </c>
      <c r="K4" s="703">
        <f>SUM(H4:J4)</f>
        <v/>
      </c>
      <c r="L4" s="703" t="n">
        <v>1825.260469</v>
      </c>
      <c r="M4" s="703" t="n">
        <v>0</v>
      </c>
      <c r="N4" s="703" t="n">
        <v>741.531073</v>
      </c>
      <c r="O4" s="703">
        <f>SUM(L4:N4)</f>
        <v/>
      </c>
      <c r="P4" s="703" t="n">
        <v>927.52544</v>
      </c>
      <c r="Q4" s="703" t="n">
        <v>0</v>
      </c>
      <c r="R4" s="703" t="n">
        <v>1433.561147</v>
      </c>
      <c r="S4" s="703">
        <f>SUM(P4:R4)</f>
        <v/>
      </c>
      <c r="T4" s="703" t="n">
        <v>1183.338361</v>
      </c>
      <c r="U4" s="703" t="n">
        <v>0</v>
      </c>
      <c r="V4" s="703" t="n">
        <v>634.456086</v>
      </c>
      <c r="W4" s="703">
        <f>SUM(T4:V4)</f>
        <v/>
      </c>
      <c r="X4" s="703" t="n">
        <v>3203.368286</v>
      </c>
      <c r="Y4" s="703" t="n">
        <v>0</v>
      </c>
      <c r="Z4" s="703" t="n">
        <v>538.668767</v>
      </c>
      <c r="AA4" s="703">
        <f>SUM(X4:Z4)</f>
        <v/>
      </c>
      <c r="AB4" s="703" t="n">
        <v>8704.796721000001</v>
      </c>
      <c r="AC4" s="703" t="n">
        <v>0</v>
      </c>
      <c r="AD4" s="703" t="n">
        <v>1253.999839</v>
      </c>
      <c r="AE4" s="703">
        <f>SUM(AB4:AD4)</f>
        <v/>
      </c>
      <c r="AF4" s="703" t="n">
        <v>1402.304143</v>
      </c>
      <c r="AG4" s="703" t="n">
        <v>742.65048</v>
      </c>
      <c r="AH4" s="703" t="n">
        <v>433.535601</v>
      </c>
      <c r="AI4" s="703">
        <f>SUM(AF4:AH4)</f>
        <v/>
      </c>
      <c r="AJ4" s="703" t="n">
        <v>3464.9959</v>
      </c>
      <c r="AK4" s="318">
        <f>SUM(K4+O4+S4+W4+AA4+AE4+AI4+AJ4)</f>
        <v/>
      </c>
      <c r="AL4" s="319">
        <f>IF(F4=0,"",K4/(F4/((YEAR(E4)*12+MONTH(E4))-(YEAR(D4)*12+MONTH(D4))+1)))</f>
        <v/>
      </c>
      <c r="AM4" s="319">
        <f>G4/F4</f>
        <v/>
      </c>
      <c r="AN4" s="704">
        <f>F4-G4</f>
        <v/>
      </c>
      <c r="AO4" s="321">
        <f>SUM(F4:F8)</f>
        <v/>
      </c>
      <c r="AP4" s="322">
        <f>AP9</f>
        <v/>
      </c>
      <c r="AQ4" s="705">
        <f>AQ9</f>
        <v/>
      </c>
      <c r="AR4" s="706" t="inlineStr"/>
      <c r="AS4" s="706" t="inlineStr"/>
      <c r="AT4" s="706" t="inlineStr">
        <is>
          <t>开始日期</t>
        </is>
      </c>
      <c r="AU4" s="706" t="inlineStr">
        <is>
          <t>结束日期</t>
        </is>
      </c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  <c r="BN4" s="706" t="inlineStr"/>
      <c r="BO4" s="706" t="inlineStr"/>
      <c r="BP4" s="706" t="inlineStr"/>
      <c r="BQ4" s="706" t="inlineStr"/>
    </row>
    <row r="5" outlineLevel="1" ht="14.25" customFormat="1" customHeight="1" s="483">
      <c r="A5" s="500" t="n"/>
      <c r="B5" s="707" t="inlineStr">
        <is>
          <t>理财师017</t>
        </is>
      </c>
      <c r="C5" s="707" t="inlineStr">
        <is>
          <t>私人财富管理资深顾问PWA2-5</t>
        </is>
      </c>
      <c r="D5" s="676" t="n">
        <v>46204</v>
      </c>
      <c r="E5" s="676" t="n">
        <v>46387</v>
      </c>
      <c r="F5" s="707" t="n">
        <v>16727.04</v>
      </c>
      <c r="G5" s="707" t="n">
        <v>816.3607009999999</v>
      </c>
      <c r="H5" s="707" t="n">
        <v>0</v>
      </c>
      <c r="I5" s="707" t="n">
        <v>0</v>
      </c>
      <c r="J5" s="707" t="n">
        <v>0</v>
      </c>
      <c r="K5" s="707">
        <f>SUM(H5:J5)</f>
        <v/>
      </c>
      <c r="L5" s="707" t="n">
        <v>547.582464</v>
      </c>
      <c r="M5" s="707" t="n">
        <v>0</v>
      </c>
      <c r="N5" s="707" t="n">
        <v>268.778237</v>
      </c>
      <c r="O5" s="707">
        <f>SUM(L5:N5)</f>
        <v/>
      </c>
      <c r="P5" s="707" t="n">
        <v>832.638851</v>
      </c>
      <c r="Q5" s="707" t="n">
        <v>3261.7728</v>
      </c>
      <c r="R5" s="707" t="n">
        <v>555.368737</v>
      </c>
      <c r="S5" s="707">
        <f>SUM(P5:R5)</f>
        <v/>
      </c>
      <c r="T5" s="707" t="n">
        <v>593.9975920000001</v>
      </c>
      <c r="U5" s="707" t="n">
        <v>0</v>
      </c>
      <c r="V5" s="707" t="n">
        <v>382.045052</v>
      </c>
      <c r="W5" s="707">
        <f>SUM(T5:V5)</f>
        <v/>
      </c>
      <c r="X5" s="707" t="n">
        <v>249.800095</v>
      </c>
      <c r="Y5" s="707" t="n">
        <v>5040.9216</v>
      </c>
      <c r="Z5" s="707" t="n">
        <v>342.801462</v>
      </c>
      <c r="AA5" s="707">
        <f>SUM(X5:Z5)</f>
        <v/>
      </c>
      <c r="AB5" s="707" t="n">
        <v>1613.445926</v>
      </c>
      <c r="AC5" s="707" t="n">
        <v>0</v>
      </c>
      <c r="AD5" s="707" t="n">
        <v>488.407071</v>
      </c>
      <c r="AE5" s="707">
        <f>SUM(AB5:AD5)</f>
        <v/>
      </c>
      <c r="AF5" s="707" t="n">
        <v>454.800547</v>
      </c>
      <c r="AG5" s="707" t="n">
        <v>0</v>
      </c>
      <c r="AH5" s="707" t="n">
        <v>289.117436</v>
      </c>
      <c r="AI5" s="707">
        <f>SUM(AF5:AH5)</f>
        <v/>
      </c>
      <c r="AJ5" s="707" t="n">
        <v>3311.566531</v>
      </c>
      <c r="AK5" s="271">
        <f>SUM(K5+O5+S5+W5+AA5+AE5+AI5+AJ5)</f>
        <v/>
      </c>
      <c r="AL5" s="326">
        <f>IF(F5=0,"",K5/(F5/((YEAR(E5)*12+MONTH(E5))-(YEAR(D5)*12+MONTH(D5))+1)))</f>
        <v/>
      </c>
      <c r="AM5" s="326">
        <f>G5/F5</f>
        <v/>
      </c>
      <c r="AN5" s="708">
        <f>F5-G5</f>
        <v/>
      </c>
      <c r="AO5" s="500" t="n"/>
      <c r="AP5" s="500" t="n"/>
      <c r="AQ5" s="500" t="n"/>
      <c r="AR5" s="706" t="inlineStr"/>
      <c r="AS5" s="706" t="inlineStr"/>
      <c r="AT5" s="328" t="n">
        <v>46023</v>
      </c>
      <c r="AU5" s="328" t="n">
        <v>46203</v>
      </c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  <c r="BN5" s="706" t="inlineStr"/>
      <c r="BO5" s="706" t="inlineStr"/>
      <c r="BP5" s="706" t="inlineStr"/>
      <c r="BQ5" s="706" t="inlineStr"/>
    </row>
    <row r="6" outlineLevel="1" ht="14.25" customFormat="1" customHeight="1" s="483">
      <c r="A6" s="500" t="n"/>
      <c r="B6" s="707" t="inlineStr">
        <is>
          <t>理财师018</t>
        </is>
      </c>
      <c r="C6" s="707" t="inlineStr">
        <is>
          <t>首席私人财富管理专家PWA5-1</t>
        </is>
      </c>
      <c r="D6" s="676" t="n">
        <v>46174</v>
      </c>
      <c r="E6" s="676" t="n">
        <v>46387</v>
      </c>
      <c r="F6" s="707" t="n">
        <v>54670.7161</v>
      </c>
      <c r="G6" s="707" t="n">
        <v>47671.338216</v>
      </c>
      <c r="H6" s="707" t="n">
        <v>0</v>
      </c>
      <c r="I6" s="707" t="n">
        <v>0</v>
      </c>
      <c r="J6" s="707" t="n">
        <v>0</v>
      </c>
      <c r="K6" s="707">
        <f>SUM(H6:J6)</f>
        <v/>
      </c>
      <c r="L6" s="707" t="n">
        <v>11371.418899</v>
      </c>
      <c r="M6" s="707" t="n">
        <v>28777.196448</v>
      </c>
      <c r="N6" s="707" t="n">
        <v>2367.643353</v>
      </c>
      <c r="O6" s="707">
        <f>SUM(L6:N6)</f>
        <v/>
      </c>
      <c r="P6" s="707" t="n">
        <v>1893.590051</v>
      </c>
      <c r="Q6" s="707" t="n">
        <v>0</v>
      </c>
      <c r="R6" s="707" t="n">
        <v>3261.489465</v>
      </c>
      <c r="S6" s="707">
        <f>SUM(P6:R6)</f>
        <v/>
      </c>
      <c r="T6" s="707" t="n">
        <v>15009.556327</v>
      </c>
      <c r="U6" s="707" t="n">
        <v>0</v>
      </c>
      <c r="V6" s="707" t="n">
        <v>1609.578423</v>
      </c>
      <c r="W6" s="707">
        <f>SUM(T6:V6)</f>
        <v/>
      </c>
      <c r="X6" s="707" t="n">
        <v>3788.477067</v>
      </c>
      <c r="Y6" s="707" t="n">
        <v>0</v>
      </c>
      <c r="Z6" s="707" t="n">
        <v>1122.243766</v>
      </c>
      <c r="AA6" s="707">
        <f>SUM(X6:Z6)</f>
        <v/>
      </c>
      <c r="AB6" s="707" t="n">
        <v>1444.66245</v>
      </c>
      <c r="AC6" s="707" t="n">
        <v>0</v>
      </c>
      <c r="AD6" s="707" t="n">
        <v>1063.763858</v>
      </c>
      <c r="AE6" s="707">
        <f>SUM(AB6:AD6)</f>
        <v/>
      </c>
      <c r="AF6" s="707" t="n">
        <v>9688.821542</v>
      </c>
      <c r="AG6" s="707" t="n">
        <v>0</v>
      </c>
      <c r="AH6" s="707" t="n">
        <v>606.6776630000001</v>
      </c>
      <c r="AI6" s="707">
        <f>SUM(AF6:AH6)</f>
        <v/>
      </c>
      <c r="AJ6" s="707" t="n">
        <v>13116.995922</v>
      </c>
      <c r="AK6" s="271">
        <f>SUM(K6+O6+S6+W6+AA6+AE6+AI6+AJ6)</f>
        <v/>
      </c>
      <c r="AL6" s="326">
        <f>IF(F6=0,"",K6/(F6/((YEAR(E6)*12+MONTH(E6))-(YEAR(D6)*12+MONTH(D6))+1)))</f>
        <v/>
      </c>
      <c r="AM6" s="326">
        <f>G6/F6</f>
        <v/>
      </c>
      <c r="AN6" s="708">
        <f>F6-G6</f>
        <v/>
      </c>
      <c r="AO6" s="500" t="n"/>
      <c r="AP6" s="500" t="n"/>
      <c r="AQ6" s="500" t="n"/>
      <c r="AR6" s="706" t="inlineStr"/>
      <c r="AS6" s="706" t="inlineStr"/>
      <c r="AT6" s="706" t="inlineStr">
        <is>
          <t>计算日期</t>
        </is>
      </c>
      <c r="AU6" s="706">
        <f>W5-V5</f>
        <v/>
      </c>
      <c r="AV6" s="706" t="inlineStr">
        <is>
          <t>时间进度</t>
        </is>
      </c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  <c r="BN6" s="706" t="inlineStr"/>
      <c r="BO6" s="706" t="inlineStr"/>
      <c r="BP6" s="706" t="inlineStr"/>
      <c r="BQ6" s="706" t="inlineStr"/>
    </row>
    <row r="7" outlineLevel="1" ht="14.25" customFormat="1" customHeight="1" s="483">
      <c r="A7" s="500" t="n"/>
      <c r="B7" s="707" t="inlineStr">
        <is>
          <t>理财师019</t>
        </is>
      </c>
      <c r="C7" s="707" t="inlineStr">
        <is>
          <t>观察期PWA0-1</t>
        </is>
      </c>
      <c r="D7" s="676" t="n">
        <v>46204</v>
      </c>
      <c r="E7" s="676" t="n">
        <v>46387</v>
      </c>
      <c r="F7" s="707" t="n">
        <v>3595.62</v>
      </c>
      <c r="G7" s="707" t="n">
        <v>218.120444</v>
      </c>
      <c r="H7" s="707" t="n">
        <v>0</v>
      </c>
      <c r="I7" s="707" t="n">
        <v>0</v>
      </c>
      <c r="J7" s="707" t="n">
        <v>0</v>
      </c>
      <c r="K7" s="707">
        <f>SUM(H7:J7)</f>
        <v/>
      </c>
      <c r="L7" s="707" t="n">
        <v>191.980425</v>
      </c>
      <c r="M7" s="707" t="n">
        <v>0</v>
      </c>
      <c r="N7" s="707" t="n">
        <v>26.140019</v>
      </c>
      <c r="O7" s="707">
        <f>SUM(L7:N7)</f>
        <v/>
      </c>
      <c r="P7" s="707" t="n">
        <v>125.538504</v>
      </c>
      <c r="Q7" s="707" t="n">
        <v>0</v>
      </c>
      <c r="R7" s="707" t="n">
        <v>202.092562</v>
      </c>
      <c r="S7" s="707">
        <f>SUM(P7:R7)</f>
        <v/>
      </c>
      <c r="T7" s="707" t="n">
        <v>66.7758</v>
      </c>
      <c r="U7" s="707" t="n">
        <v>0</v>
      </c>
      <c r="V7" s="707" t="n">
        <v>22.323011</v>
      </c>
      <c r="W7" s="707">
        <f>SUM(T7:V7)</f>
        <v/>
      </c>
      <c r="X7" s="707" t="n">
        <v>133.5516</v>
      </c>
      <c r="Y7" s="707" t="n">
        <v>0</v>
      </c>
      <c r="Z7" s="707" t="n">
        <v>22.107856</v>
      </c>
      <c r="AA7" s="707">
        <f>SUM(X7:Z7)</f>
        <v/>
      </c>
      <c r="AB7" s="707" t="n">
        <v>500.150742</v>
      </c>
      <c r="AC7" s="707" t="n">
        <v>0</v>
      </c>
      <c r="AD7" s="707" t="n">
        <v>157.397938</v>
      </c>
      <c r="AE7" s="707">
        <f>SUM(AB7:AD7)</f>
        <v/>
      </c>
      <c r="AF7" s="707" t="n">
        <v>267.1032</v>
      </c>
      <c r="AG7" s="707" t="n">
        <v>0</v>
      </c>
      <c r="AH7" s="707" t="n">
        <v>25.494675</v>
      </c>
      <c r="AI7" s="707">
        <f>SUM(AF7:AH7)</f>
        <v/>
      </c>
      <c r="AJ7" s="707" t="n">
        <v>2351.885696</v>
      </c>
      <c r="AK7" s="271">
        <f>SUM(K7+O7+S7+W7+AA7+AE7+AI7+AJ7)</f>
        <v/>
      </c>
      <c r="AL7" s="326">
        <f>IF(F7=0,"",K7/(F7/((YEAR(E7)*12+MONTH(E7))-(YEAR(D7)*12+MONTH(D7))+1)))</f>
        <v/>
      </c>
      <c r="AM7" s="326">
        <f>G7/F7</f>
        <v/>
      </c>
      <c r="AN7" s="708">
        <f>F7-G7</f>
        <v/>
      </c>
      <c r="AO7" s="500" t="n"/>
      <c r="AP7" s="500" t="n"/>
      <c r="AQ7" s="500" t="n"/>
      <c r="AR7" s="706" t="inlineStr"/>
      <c r="AS7" s="706" t="inlineStr"/>
      <c r="AT7" s="709" t="n">
        <v>46241</v>
      </c>
      <c r="AU7" s="330">
        <f>AU5-AT5+1</f>
        <v/>
      </c>
      <c r="AV7" s="331">
        <f>(AT7-AT5+1)/AU7</f>
        <v/>
      </c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  <c r="BN7" s="706" t="inlineStr"/>
      <c r="BO7" s="706" t="inlineStr"/>
      <c r="BP7" s="706" t="inlineStr"/>
      <c r="BQ7" s="706" t="inlineStr"/>
    </row>
    <row r="8" outlineLevel="1" ht="14.25" customFormat="1" customHeight="1" s="483">
      <c r="A8" s="513" t="n"/>
      <c r="B8" s="707" t="inlineStr">
        <is>
          <t>理财师025</t>
        </is>
      </c>
      <c r="C8" s="707" t="inlineStr">
        <is>
          <t>私人财富管理专家PWA4-5</t>
        </is>
      </c>
      <c r="D8" s="676" t="n">
        <v>46097</v>
      </c>
      <c r="E8" s="676" t="n">
        <v>46295</v>
      </c>
      <c r="F8" s="707" t="n">
        <v>34622.728767</v>
      </c>
      <c r="G8" s="707" t="n">
        <v>8011.777807</v>
      </c>
      <c r="H8" s="707" t="n">
        <v>0</v>
      </c>
      <c r="I8" s="707" t="n">
        <v>0</v>
      </c>
      <c r="J8" s="707" t="n">
        <v>0</v>
      </c>
      <c r="K8" s="707">
        <f>SUM(H8:J8)</f>
        <v/>
      </c>
      <c r="L8" s="707" t="n">
        <v>257.985</v>
      </c>
      <c r="M8" s="707" t="n">
        <v>7079.164538</v>
      </c>
      <c r="N8" s="707" t="n">
        <v>74.758757</v>
      </c>
      <c r="O8" s="707">
        <f>SUM(L8:N8)</f>
        <v/>
      </c>
      <c r="P8" s="707" t="n">
        <v>95.21789800000001</v>
      </c>
      <c r="Q8" s="707" t="n">
        <v>264.17664</v>
      </c>
      <c r="R8" s="707" t="n">
        <v>67.830038</v>
      </c>
      <c r="S8" s="707">
        <f>SUM(P8:R8)</f>
        <v/>
      </c>
      <c r="T8" s="707" t="n">
        <v>130.02444</v>
      </c>
      <c r="U8" s="707" t="n">
        <v>0</v>
      </c>
      <c r="V8" s="707" t="n">
        <v>16.066547</v>
      </c>
      <c r="W8" s="707">
        <f>SUM(T8:V8)</f>
        <v/>
      </c>
      <c r="X8" s="707" t="n">
        <v>0</v>
      </c>
      <c r="Y8" s="707" t="n">
        <v>0</v>
      </c>
      <c r="Z8" s="707" t="n">
        <v>12.779778</v>
      </c>
      <c r="AA8" s="707">
        <f>SUM(X8:Z8)</f>
        <v/>
      </c>
      <c r="AB8" s="707" t="n">
        <v>0</v>
      </c>
      <c r="AC8" s="707" t="n">
        <v>25509.5568</v>
      </c>
      <c r="AD8" s="707" t="n">
        <v>13.774172</v>
      </c>
      <c r="AE8" s="707">
        <f>SUM(AB8:AD8)</f>
        <v/>
      </c>
      <c r="AF8" s="707" t="n">
        <v>41.2776</v>
      </c>
      <c r="AG8" s="707" t="n">
        <v>0</v>
      </c>
      <c r="AH8" s="707" t="n">
        <v>18.646322</v>
      </c>
      <c r="AI8" s="707">
        <f>SUM(AF8:AH8)</f>
        <v/>
      </c>
      <c r="AJ8" s="707" t="n">
        <v>683.02396</v>
      </c>
      <c r="AK8" s="271">
        <f>SUM(K8+O8+S8+W8+AA8+AE8+AI8+AJ8)</f>
        <v/>
      </c>
      <c r="AL8" s="326">
        <f>IF(F8=0,"",K8/(F8/((YEAR(E8)*12+MONTH(E8))-(YEAR(D8)*12+MONTH(D8))+1)))</f>
        <v/>
      </c>
      <c r="AM8" s="326">
        <f>G8/F8</f>
        <v/>
      </c>
      <c r="AN8" s="708">
        <f>F8-G8</f>
        <v/>
      </c>
      <c r="AO8" s="513" t="n"/>
      <c r="AP8" s="513" t="n"/>
      <c r="AQ8" s="513" t="n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  <c r="BN8" s="706" t="inlineStr"/>
      <c r="BO8" s="706" t="inlineStr"/>
      <c r="BP8" s="706" t="inlineStr"/>
      <c r="BQ8" s="706" t="inlineStr"/>
    </row>
    <row r="9" outlineLevel="1" ht="14.25" customFormat="1" customHeight="1" s="483">
      <c r="A9" s="710" t="inlineStr">
        <is>
          <t>合计</t>
        </is>
      </c>
      <c r="B9" s="518" t="n"/>
      <c r="C9" s="518" t="n"/>
      <c r="D9" s="518" t="n"/>
      <c r="E9" s="578" t="n"/>
      <c r="F9" s="333">
        <f>SUM(F4:F8)</f>
        <v/>
      </c>
      <c r="G9" s="710">
        <f>SUM(G4:G8)</f>
        <v/>
      </c>
      <c r="H9" s="710">
        <f>SUM(H4:H8)</f>
        <v/>
      </c>
      <c r="I9" s="710">
        <f>SUM(I4:I8)</f>
        <v/>
      </c>
      <c r="J9" s="710">
        <f>SUM(J4:J8)</f>
        <v/>
      </c>
      <c r="K9" s="710">
        <f>SUM(K4:K8)</f>
        <v/>
      </c>
      <c r="L9" s="710">
        <f>SUM(L4:L8)</f>
        <v/>
      </c>
      <c r="M9" s="710">
        <f>SUM(M4:M8)</f>
        <v/>
      </c>
      <c r="N9" s="710">
        <f>SUM(N4:N8)</f>
        <v/>
      </c>
      <c r="O9" s="710">
        <f>SUM(O4:O8)</f>
        <v/>
      </c>
      <c r="P9" s="710">
        <f>SUM(P4:P8)</f>
        <v/>
      </c>
      <c r="Q9" s="710">
        <f>SUM(Q4:Q8)</f>
        <v/>
      </c>
      <c r="R9" s="710">
        <f>SUM(R4:R8)</f>
        <v/>
      </c>
      <c r="S9" s="710">
        <f>SUM(S4:S8)</f>
        <v/>
      </c>
      <c r="T9" s="710">
        <f>SUM(T4:T8)</f>
        <v/>
      </c>
      <c r="U9" s="710">
        <f>SUM(U4:U8)</f>
        <v/>
      </c>
      <c r="V9" s="710">
        <f>SUM(V4:V8)</f>
        <v/>
      </c>
      <c r="W9" s="710">
        <f>SUM(W4:W8)</f>
        <v/>
      </c>
      <c r="X9" s="710">
        <f>SUM(X4:X8)</f>
        <v/>
      </c>
      <c r="Y9" s="710">
        <f>SUM(Y4:Y8)</f>
        <v/>
      </c>
      <c r="Z9" s="710">
        <f>SUM(Z4:Z8)</f>
        <v/>
      </c>
      <c r="AA9" s="710">
        <f>SUM(AA4:AA8)</f>
        <v/>
      </c>
      <c r="AB9" s="710">
        <f>SUM(AB4:AB8)</f>
        <v/>
      </c>
      <c r="AC9" s="710">
        <f>SUM(AC4:AC8)</f>
        <v/>
      </c>
      <c r="AD9" s="710">
        <f>SUM(AD4:AD8)</f>
        <v/>
      </c>
      <c r="AE9" s="710">
        <f>SUM(AE4:AE8)</f>
        <v/>
      </c>
      <c r="AF9" s="710">
        <f>SUM(AF4:AF8)</f>
        <v/>
      </c>
      <c r="AG9" s="710">
        <f>SUM(AG4:AG8)</f>
        <v/>
      </c>
      <c r="AH9" s="710">
        <f>SUM(AH4:AH8)</f>
        <v/>
      </c>
      <c r="AI9" s="710">
        <f>SUM(AI4:AI8)</f>
        <v/>
      </c>
      <c r="AJ9" s="710">
        <f>SUM(AJ4:AJ8)</f>
        <v/>
      </c>
      <c r="AK9" s="711">
        <f>SUM(K9+O9+S9+W9+AA9+AE9+AI9+AJ9)</f>
        <v/>
      </c>
      <c r="AL9" s="335">
        <f>IF(F9=0,"",K9/(F9/((YEAR(E4)*12+MONTH(E4))-(YEAR(D4)*12+MONTH(D4))+1)))</f>
        <v/>
      </c>
      <c r="AM9" s="336">
        <f>G9/F9</f>
        <v/>
      </c>
      <c r="AN9" s="711">
        <f>F9-G9</f>
        <v/>
      </c>
      <c r="AO9" s="337">
        <f>AO4</f>
        <v/>
      </c>
      <c r="AP9" s="335">
        <f>AK9/AO4</f>
        <v/>
      </c>
      <c r="AQ9" s="712">
        <f>AO4-AK9</f>
        <v/>
      </c>
      <c r="AR9" s="713" t="inlineStr"/>
      <c r="AS9" s="713" t="inlineStr"/>
      <c r="AT9" s="340" t="n">
        <v>46136</v>
      </c>
      <c r="AU9" s="713" t="inlineStr"/>
      <c r="AV9" s="341">
        <f>(AD10-DATE(YEAR(AD10),1,1)+1)/AE9</f>
        <v/>
      </c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  <c r="BN9" s="713" t="inlineStr"/>
      <c r="BO9" s="713" t="inlineStr"/>
      <c r="BP9" s="713" t="inlineStr"/>
      <c r="BQ9" s="713" t="inlineStr"/>
    </row>
    <row r="10" outlineLevel="1" ht="14.25" customFormat="1" customHeight="1" s="483">
      <c r="A10" s="703" t="inlineStr">
        <is>
          <t>理财师014</t>
        </is>
      </c>
      <c r="B10" s="703" t="inlineStr">
        <is>
          <t>理财师014</t>
        </is>
      </c>
      <c r="C10" s="703" t="inlineStr">
        <is>
          <t>私人财富管理专家PWA4-5</t>
        </is>
      </c>
      <c r="D10" s="693" t="n">
        <v>46204</v>
      </c>
      <c r="E10" s="693" t="n">
        <v>46387</v>
      </c>
      <c r="F10" s="703" t="n">
        <v>18162</v>
      </c>
      <c r="G10" s="703" t="n">
        <v>3276.951815</v>
      </c>
      <c r="H10" s="703" t="n">
        <v>243.667059</v>
      </c>
      <c r="I10" s="703" t="n">
        <v>0</v>
      </c>
      <c r="J10" s="703" t="n">
        <v>0</v>
      </c>
      <c r="K10" s="703">
        <f>SUM(H10:J10)</f>
        <v/>
      </c>
      <c r="L10" s="703" t="n">
        <v>2834.050594</v>
      </c>
      <c r="M10" s="703" t="n">
        <v>0</v>
      </c>
      <c r="N10" s="703" t="n">
        <v>199.234162</v>
      </c>
      <c r="O10" s="703">
        <f>SUM(L10:N10)</f>
        <v/>
      </c>
      <c r="P10" s="703" t="n">
        <v>3599.205131</v>
      </c>
      <c r="Q10" s="703" t="n">
        <v>0</v>
      </c>
      <c r="R10" s="703" t="n">
        <v>206.636572</v>
      </c>
      <c r="S10" s="703">
        <f>SUM(P10:R10)</f>
        <v/>
      </c>
      <c r="T10" s="703" t="n">
        <v>4233.38058</v>
      </c>
      <c r="U10" s="703" t="n">
        <v>0</v>
      </c>
      <c r="V10" s="703" t="n">
        <v>103.388547</v>
      </c>
      <c r="W10" s="703">
        <f>SUM(T10:V10)</f>
        <v/>
      </c>
      <c r="X10" s="703" t="n">
        <v>2418.943367</v>
      </c>
      <c r="Y10" s="703" t="n">
        <v>2443.706261</v>
      </c>
      <c r="Z10" s="703" t="n">
        <v>88.105912</v>
      </c>
      <c r="AA10" s="703">
        <f>SUM(X10:Z10)</f>
        <v/>
      </c>
      <c r="AB10" s="703" t="n">
        <v>2574.496213</v>
      </c>
      <c r="AC10" s="703" t="n">
        <v>2927.70165</v>
      </c>
      <c r="AD10" s="703" t="n">
        <v>154.748145</v>
      </c>
      <c r="AE10" s="703">
        <f>SUM(AB10:AD10)</f>
        <v/>
      </c>
      <c r="AF10" s="703" t="n">
        <v>745.691219</v>
      </c>
      <c r="AG10" s="703" t="n">
        <v>2330.36622</v>
      </c>
      <c r="AH10" s="703" t="n">
        <v>72.478376</v>
      </c>
      <c r="AI10" s="703">
        <f>SUM(AF10:AH10)</f>
        <v/>
      </c>
      <c r="AJ10" s="703" t="n">
        <v>3042.835811</v>
      </c>
      <c r="AK10" s="318">
        <f>SUM(K10+O10+S10+W10+AA10+AE10+AI10+AJ10)</f>
        <v/>
      </c>
      <c r="AL10" s="319">
        <f>IF(F10=0,"",K10/(F10/((YEAR(E10)*12+MONTH(E10))-(YEAR(D10)*12+MONTH(D10))+1)))</f>
        <v/>
      </c>
      <c r="AM10" s="319">
        <f>G10/F10</f>
        <v/>
      </c>
      <c r="AN10" s="704">
        <f>F10-G10</f>
        <v/>
      </c>
      <c r="AO10" s="321">
        <f>SUM(F10:F13)</f>
        <v/>
      </c>
      <c r="AP10" s="322">
        <f>AP14</f>
        <v/>
      </c>
      <c r="AQ10" s="705">
        <f>AQ14</f>
        <v/>
      </c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  <c r="BN10" s="706" t="inlineStr"/>
      <c r="BO10" s="706" t="inlineStr"/>
      <c r="BP10" s="706" t="inlineStr"/>
      <c r="BQ10" s="706" t="inlineStr"/>
    </row>
    <row r="11" outlineLevel="1" ht="14.25" customFormat="1" customHeight="1" s="483">
      <c r="A11" s="500" t="n"/>
      <c r="B11" s="707" t="inlineStr">
        <is>
          <t>理财师022</t>
        </is>
      </c>
      <c r="C11" s="707" t="inlineStr">
        <is>
          <t>观察期PWA0-1</t>
        </is>
      </c>
      <c r="D11" s="676" t="n">
        <v>46174</v>
      </c>
      <c r="E11" s="676" t="n">
        <v>46356</v>
      </c>
      <c r="F11" s="707" t="n">
        <v>5907.91</v>
      </c>
      <c r="G11" s="707" t="n">
        <v>5242.838518</v>
      </c>
      <c r="H11" s="707" t="n">
        <v>0</v>
      </c>
      <c r="I11" s="707" t="n">
        <v>0</v>
      </c>
      <c r="J11" s="707" t="n">
        <v>0</v>
      </c>
      <c r="K11" s="707">
        <f>SUM(H11:J11)</f>
        <v/>
      </c>
      <c r="L11" s="707" t="n">
        <v>0</v>
      </c>
      <c r="M11" s="707" t="n">
        <v>4869.403051</v>
      </c>
      <c r="N11" s="707" t="n">
        <v>33.172446</v>
      </c>
      <c r="O11" s="707">
        <f>SUM(L11:N11)</f>
        <v/>
      </c>
      <c r="P11" s="707" t="n">
        <v>304.3131</v>
      </c>
      <c r="Q11" s="707" t="n">
        <v>0</v>
      </c>
      <c r="R11" s="707" t="n">
        <v>35.949921</v>
      </c>
      <c r="S11" s="707">
        <f>SUM(P11:R11)</f>
        <v/>
      </c>
      <c r="T11" s="707" t="n">
        <v>139.11456</v>
      </c>
      <c r="U11" s="707" t="n">
        <v>2956.1844</v>
      </c>
      <c r="V11" s="707" t="n">
        <v>14.716853</v>
      </c>
      <c r="W11" s="707">
        <f>SUM(T11:V11)</f>
        <v/>
      </c>
      <c r="X11" s="707" t="n">
        <v>280.185418</v>
      </c>
      <c r="Y11" s="707" t="n">
        <v>773.505646</v>
      </c>
      <c r="Z11" s="707" t="n">
        <v>3.573146</v>
      </c>
      <c r="AA11" s="707">
        <f>SUM(X11:Z11)</f>
        <v/>
      </c>
      <c r="AB11" s="707" t="n">
        <v>43.4733</v>
      </c>
      <c r="AC11" s="707" t="n">
        <v>0</v>
      </c>
      <c r="AD11" s="707" t="n">
        <v>10.334614</v>
      </c>
      <c r="AE11" s="707">
        <f>SUM(AB11:AD11)</f>
        <v/>
      </c>
      <c r="AF11" s="707" t="n">
        <v>0</v>
      </c>
      <c r="AG11" s="707" t="n">
        <v>0</v>
      </c>
      <c r="AH11" s="707" t="n">
        <v>0</v>
      </c>
      <c r="AI11" s="707">
        <f>SUM(AF11:AH11)</f>
        <v/>
      </c>
      <c r="AJ11" s="707" t="n">
        <v>0</v>
      </c>
      <c r="AK11" s="271">
        <f>SUM(K11+O11+S11+W11+AA11+AE11+AI11+AJ11)</f>
        <v/>
      </c>
      <c r="AL11" s="326">
        <f>IF(F11=0,"",K11/(F11/((YEAR(E11)*12+MONTH(E11))-(YEAR(D11)*12+MONTH(D11))+1)))</f>
        <v/>
      </c>
      <c r="AM11" s="326">
        <f>G11/F11</f>
        <v/>
      </c>
      <c r="AN11" s="708">
        <f>F11-G11</f>
        <v/>
      </c>
      <c r="AO11" s="500" t="n"/>
      <c r="AP11" s="500" t="n"/>
      <c r="AQ11" s="500" t="n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  <c r="BN11" s="706" t="inlineStr"/>
      <c r="BO11" s="706" t="inlineStr"/>
      <c r="BP11" s="706" t="inlineStr"/>
      <c r="BQ11" s="706" t="inlineStr"/>
    </row>
    <row r="12" outlineLevel="1" ht="14.25" customFormat="1" customHeight="1" s="483">
      <c r="A12" s="500" t="n"/>
      <c r="B12" s="707" t="inlineStr">
        <is>
          <t>理财师013</t>
        </is>
      </c>
      <c r="C12" s="707" t="inlineStr">
        <is>
          <t>私人财富管理总监PWA3-3</t>
        </is>
      </c>
      <c r="D12" s="676" t="n">
        <v>46204</v>
      </c>
      <c r="E12" s="676" t="n">
        <v>46387</v>
      </c>
      <c r="F12" s="707" t="n">
        <v>21002.4</v>
      </c>
      <c r="G12" s="707" t="n">
        <v>5673.553324</v>
      </c>
      <c r="H12" s="707" t="n">
        <v>0</v>
      </c>
      <c r="I12" s="707" t="n">
        <v>0</v>
      </c>
      <c r="J12" s="707" t="n">
        <v>0</v>
      </c>
      <c r="K12" s="707">
        <f>SUM(H12:J12)</f>
        <v/>
      </c>
      <c r="L12" s="707" t="n">
        <v>5487.872514</v>
      </c>
      <c r="M12" s="707" t="n">
        <v>0</v>
      </c>
      <c r="N12" s="707" t="n">
        <v>185.68081</v>
      </c>
      <c r="O12" s="707">
        <f>SUM(L12:N12)</f>
        <v/>
      </c>
      <c r="P12" s="707" t="n">
        <v>5138.663789</v>
      </c>
      <c r="Q12" s="707" t="n">
        <v>0</v>
      </c>
      <c r="R12" s="707" t="n">
        <v>787.892575</v>
      </c>
      <c r="S12" s="707">
        <f>SUM(P12:R12)</f>
        <v/>
      </c>
      <c r="T12" s="707" t="n">
        <v>527.86032</v>
      </c>
      <c r="U12" s="707" t="n">
        <v>0</v>
      </c>
      <c r="V12" s="707" t="n">
        <v>176.99322</v>
      </c>
      <c r="W12" s="707">
        <f>SUM(T12:V12)</f>
        <v/>
      </c>
      <c r="X12" s="707" t="n">
        <v>5719.894428</v>
      </c>
      <c r="Y12" s="707" t="n">
        <v>0</v>
      </c>
      <c r="Z12" s="707" t="n">
        <v>170.991639</v>
      </c>
      <c r="AA12" s="707">
        <f>SUM(X12:Z12)</f>
        <v/>
      </c>
      <c r="AB12" s="707" t="n">
        <v>2659.960961</v>
      </c>
      <c r="AC12" s="707" t="n">
        <v>0</v>
      </c>
      <c r="AD12" s="707" t="n">
        <v>743.622962</v>
      </c>
      <c r="AE12" s="707">
        <f>SUM(AB12:AD12)</f>
        <v/>
      </c>
      <c r="AF12" s="707" t="n">
        <v>0</v>
      </c>
      <c r="AG12" s="707" t="n">
        <v>0</v>
      </c>
      <c r="AH12" s="707" t="n">
        <v>144.157177</v>
      </c>
      <c r="AI12" s="707">
        <f>SUM(AF12:AH12)</f>
        <v/>
      </c>
      <c r="AJ12" s="707" t="n">
        <v>6482.195956</v>
      </c>
      <c r="AK12" s="271">
        <f>SUM(K12+O12+S12+W12+AA12+AE12+AI12+AJ12)</f>
        <v/>
      </c>
      <c r="AL12" s="326">
        <f>IF(F12=0,"",K12/(F12/((YEAR(E12)*12+MONTH(E12))-(YEAR(D12)*12+MONTH(D12))+1)))</f>
        <v/>
      </c>
      <c r="AM12" s="326">
        <f>G12/F12</f>
        <v/>
      </c>
      <c r="AN12" s="708">
        <f>F12-G12</f>
        <v/>
      </c>
      <c r="AO12" s="500" t="n"/>
      <c r="AP12" s="500" t="n"/>
      <c r="AQ12" s="500" t="n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  <c r="BN12" s="706" t="inlineStr"/>
      <c r="BO12" s="706" t="inlineStr"/>
      <c r="BP12" s="706" t="inlineStr"/>
      <c r="BQ12" s="706" t="inlineStr"/>
    </row>
    <row r="13" outlineLevel="1" ht="14.25" customFormat="1" customHeight="1" s="483">
      <c r="A13" s="513" t="n"/>
      <c r="B13" s="707" t="inlineStr">
        <is>
          <t>理财师024</t>
        </is>
      </c>
      <c r="C13" s="707" t="inlineStr">
        <is>
          <t>私人财富管理总监PWA3-1</t>
        </is>
      </c>
      <c r="D13" s="676" t="n">
        <v>46204</v>
      </c>
      <c r="E13" s="676" t="n">
        <v>46387</v>
      </c>
      <c r="F13" s="707" t="n">
        <v>15122.64</v>
      </c>
      <c r="G13" s="707" t="n">
        <v>4053.777353</v>
      </c>
      <c r="H13" s="707" t="n">
        <v>0</v>
      </c>
      <c r="I13" s="707" t="n">
        <v>0</v>
      </c>
      <c r="J13" s="707" t="n">
        <v>0</v>
      </c>
      <c r="K13" s="707">
        <f>SUM(H13:J13)</f>
        <v/>
      </c>
      <c r="L13" s="707" t="n">
        <v>3763.612289</v>
      </c>
      <c r="M13" s="707" t="n">
        <v>0</v>
      </c>
      <c r="N13" s="707" t="n">
        <v>290.165065</v>
      </c>
      <c r="O13" s="707">
        <f>SUM(L13:N13)</f>
        <v/>
      </c>
      <c r="P13" s="707" t="n">
        <v>2826.176184</v>
      </c>
      <c r="Q13" s="707" t="n">
        <v>0</v>
      </c>
      <c r="R13" s="707" t="n">
        <v>536.034869</v>
      </c>
      <c r="S13" s="707">
        <f>SUM(P13:R13)</f>
        <v/>
      </c>
      <c r="T13" s="707" t="n">
        <v>1000.951193</v>
      </c>
      <c r="U13" s="707" t="n">
        <v>0</v>
      </c>
      <c r="V13" s="707" t="n">
        <v>278.383375</v>
      </c>
      <c r="W13" s="707">
        <f>SUM(T13:V13)</f>
        <v/>
      </c>
      <c r="X13" s="707" t="n">
        <v>3291.566745</v>
      </c>
      <c r="Y13" s="707" t="n">
        <v>0</v>
      </c>
      <c r="Z13" s="707" t="n">
        <v>242.965979</v>
      </c>
      <c r="AA13" s="707">
        <f>SUM(X13:Z13)</f>
        <v/>
      </c>
      <c r="AB13" s="707" t="n">
        <v>3556.620439</v>
      </c>
      <c r="AC13" s="707" t="n">
        <v>0</v>
      </c>
      <c r="AD13" s="707" t="n">
        <v>446.103228</v>
      </c>
      <c r="AE13" s="707">
        <f>SUM(AB13:AD13)</f>
        <v/>
      </c>
      <c r="AF13" s="707" t="n">
        <v>1054.327266</v>
      </c>
      <c r="AG13" s="707" t="n">
        <v>0</v>
      </c>
      <c r="AH13" s="707" t="n">
        <v>170.580309</v>
      </c>
      <c r="AI13" s="707">
        <f>SUM(AF13:AH13)</f>
        <v/>
      </c>
      <c r="AJ13" s="707" t="n">
        <v>692.512431</v>
      </c>
      <c r="AK13" s="271">
        <f>SUM(K13+O13+S13+W13+AA13+AE13+AI13+AJ13)</f>
        <v/>
      </c>
      <c r="AL13" s="326">
        <f>IF(F13=0,"",K13/(F13/((YEAR(E13)*12+MONTH(E13))-(YEAR(D13)*12+MONTH(D13))+1)))</f>
        <v/>
      </c>
      <c r="AM13" s="326">
        <f>G13/F13</f>
        <v/>
      </c>
      <c r="AN13" s="708">
        <f>F13-G13</f>
        <v/>
      </c>
      <c r="AO13" s="513" t="n"/>
      <c r="AP13" s="513" t="n"/>
      <c r="AQ13" s="513" t="n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  <c r="BN13" s="706" t="inlineStr"/>
      <c r="BO13" s="706" t="inlineStr"/>
      <c r="BP13" s="706" t="inlineStr"/>
      <c r="BQ13" s="706" t="inlineStr"/>
    </row>
    <row r="14" outlineLevel="1" ht="14.25" customFormat="1" customHeight="1" s="483">
      <c r="A14" s="710" t="inlineStr">
        <is>
          <t>合计</t>
        </is>
      </c>
      <c r="B14" s="518" t="n"/>
      <c r="C14" s="518" t="n"/>
      <c r="D14" s="518" t="n"/>
      <c r="E14" s="578" t="n"/>
      <c r="F14" s="333">
        <f>SUM(F10:F13)</f>
        <v/>
      </c>
      <c r="G14" s="710">
        <f>SUM(G10:G13)</f>
        <v/>
      </c>
      <c r="H14" s="710">
        <f>SUM(H10:H13)</f>
        <v/>
      </c>
      <c r="I14" s="710">
        <f>SUM(I10:I13)</f>
        <v/>
      </c>
      <c r="J14" s="710">
        <f>SUM(J10:J13)</f>
        <v/>
      </c>
      <c r="K14" s="710">
        <f>SUM(K10:K13)</f>
        <v/>
      </c>
      <c r="L14" s="710">
        <f>SUM(L10:L13)</f>
        <v/>
      </c>
      <c r="M14" s="710">
        <f>SUM(M10:M13)</f>
        <v/>
      </c>
      <c r="N14" s="710">
        <f>SUM(N10:N13)</f>
        <v/>
      </c>
      <c r="O14" s="710">
        <f>SUM(O10:O13)</f>
        <v/>
      </c>
      <c r="P14" s="710">
        <f>SUM(P10:P13)</f>
        <v/>
      </c>
      <c r="Q14" s="710">
        <f>SUM(Q10:Q13)</f>
        <v/>
      </c>
      <c r="R14" s="710">
        <f>SUM(R10:R13)</f>
        <v/>
      </c>
      <c r="S14" s="710">
        <f>SUM(S10:S13)</f>
        <v/>
      </c>
      <c r="T14" s="710">
        <f>SUM(T10:T13)</f>
        <v/>
      </c>
      <c r="U14" s="710">
        <f>SUM(U10:U13)</f>
        <v/>
      </c>
      <c r="V14" s="710">
        <f>SUM(V10:V13)</f>
        <v/>
      </c>
      <c r="W14" s="710">
        <f>SUM(W10:W13)</f>
        <v/>
      </c>
      <c r="X14" s="710">
        <f>SUM(X10:X13)</f>
        <v/>
      </c>
      <c r="Y14" s="710">
        <f>SUM(Y10:Y13)</f>
        <v/>
      </c>
      <c r="Z14" s="710">
        <f>SUM(Z10:Z13)</f>
        <v/>
      </c>
      <c r="AA14" s="710">
        <f>SUM(AA10:AA13)</f>
        <v/>
      </c>
      <c r="AB14" s="710">
        <f>SUM(AB10:AB13)</f>
        <v/>
      </c>
      <c r="AC14" s="710">
        <f>SUM(AC10:AC13)</f>
        <v/>
      </c>
      <c r="AD14" s="710">
        <f>SUM(AD10:AD13)</f>
        <v/>
      </c>
      <c r="AE14" s="710">
        <f>SUM(AE10:AE13)</f>
        <v/>
      </c>
      <c r="AF14" s="710">
        <f>SUM(AF10:AF13)</f>
        <v/>
      </c>
      <c r="AG14" s="710">
        <f>SUM(AG10:AG13)</f>
        <v/>
      </c>
      <c r="AH14" s="710">
        <f>SUM(AH10:AH13)</f>
        <v/>
      </c>
      <c r="AI14" s="710">
        <f>SUM(AI10:AI13)</f>
        <v/>
      </c>
      <c r="AJ14" s="710">
        <f>SUM(AJ10:AJ13)</f>
        <v/>
      </c>
      <c r="AK14" s="333">
        <f>SUM(K14+O14+S14+W14+AA14+AE14+AI14+AJ14)</f>
        <v/>
      </c>
      <c r="AL14" s="335">
        <f>IF(F14=0,"",K14/(F14/((YEAR(E10)*12+MONTH(E10))-(YEAR(D10)*12+MONTH(D10))+1)))</f>
        <v/>
      </c>
      <c r="AM14" s="336">
        <f>G14/F14</f>
        <v/>
      </c>
      <c r="AN14" s="715">
        <f>F14-G14</f>
        <v/>
      </c>
      <c r="AO14" s="337">
        <f>AO10</f>
        <v/>
      </c>
      <c r="AP14" s="335">
        <f>AK14/AO10</f>
        <v/>
      </c>
      <c r="AQ14" s="712">
        <f>AO10-AK14</f>
        <v/>
      </c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  <c r="BN14" s="713" t="inlineStr"/>
      <c r="BO14" s="713" t="inlineStr"/>
      <c r="BP14" s="713" t="inlineStr"/>
      <c r="BQ14" s="713" t="inlineStr"/>
    </row>
    <row r="15" outlineLevel="1" ht="14.25" customFormat="1" customHeight="1" s="483">
      <c r="A15" s="703" t="inlineStr">
        <is>
          <t>理财师007</t>
        </is>
      </c>
      <c r="B15" s="703" t="inlineStr">
        <is>
          <t>理财师023</t>
        </is>
      </c>
      <c r="C15" s="703" t="inlineStr">
        <is>
          <t>私人财富管理资深顾问PWA2-5</t>
        </is>
      </c>
      <c r="D15" s="693" t="n">
        <v>46204</v>
      </c>
      <c r="E15" s="693" t="n">
        <v>46387</v>
      </c>
      <c r="F15" s="703" t="n">
        <v>17806.8</v>
      </c>
      <c r="G15" s="703" t="n">
        <v>1385.149481</v>
      </c>
      <c r="H15" s="703" t="n">
        <v>0</v>
      </c>
      <c r="I15" s="703" t="n">
        <v>0</v>
      </c>
      <c r="J15" s="703" t="n">
        <v>0</v>
      </c>
      <c r="K15" s="703">
        <f>SUM(H15:J15)</f>
        <v/>
      </c>
      <c r="L15" s="703" t="n">
        <v>1190.323875</v>
      </c>
      <c r="M15" s="703" t="n">
        <v>0</v>
      </c>
      <c r="N15" s="703" t="n">
        <v>194.825606</v>
      </c>
      <c r="O15" s="703">
        <f>SUM(L15:N15)</f>
        <v/>
      </c>
      <c r="P15" s="703" t="n">
        <v>1521.715752</v>
      </c>
      <c r="Q15" s="703" t="n">
        <v>14101.410508</v>
      </c>
      <c r="R15" s="703" t="n">
        <v>201.494206</v>
      </c>
      <c r="S15" s="703">
        <f>SUM(P15:R15)</f>
        <v/>
      </c>
      <c r="T15" s="703" t="n">
        <v>1776.618655</v>
      </c>
      <c r="U15" s="703" t="n">
        <v>0</v>
      </c>
      <c r="V15" s="703" t="n">
        <v>64.972886</v>
      </c>
      <c r="W15" s="703">
        <f>SUM(T15:V15)</f>
        <v/>
      </c>
      <c r="X15" s="703" t="n">
        <v>2171.402323</v>
      </c>
      <c r="Y15" s="703" t="n">
        <v>0</v>
      </c>
      <c r="Z15" s="703" t="n">
        <v>15.631431</v>
      </c>
      <c r="AA15" s="703">
        <f>SUM(X15:Z15)</f>
        <v/>
      </c>
      <c r="AB15" s="703" t="n">
        <v>1305.1575</v>
      </c>
      <c r="AC15" s="703" t="n">
        <v>1178.4864</v>
      </c>
      <c r="AD15" s="703" t="n">
        <v>22.441342</v>
      </c>
      <c r="AE15" s="703">
        <f>SUM(AB15:AD15)</f>
        <v/>
      </c>
      <c r="AF15" s="703" t="n">
        <v>0</v>
      </c>
      <c r="AG15" s="703" t="n">
        <v>0</v>
      </c>
      <c r="AH15" s="703" t="n">
        <v>15.177921</v>
      </c>
      <c r="AI15" s="703">
        <f>SUM(AF15:AH15)</f>
        <v/>
      </c>
      <c r="AJ15" s="703" t="n">
        <v>2630.55</v>
      </c>
      <c r="AK15" s="724">
        <f>SUM(K15+O15+S15+W15+AA15+AE15+AI15+AJ15)</f>
        <v/>
      </c>
      <c r="AL15" s="319">
        <f>IF(F15=0,"",K15/(F15/((YEAR(E15)*12+MONTH(E15))-(YEAR(D15)*12+MONTH(D15))+1)))</f>
        <v/>
      </c>
      <c r="AM15" s="319">
        <f>G15/F15</f>
        <v/>
      </c>
      <c r="AN15" s="724">
        <f>F15-G15</f>
        <v/>
      </c>
      <c r="AO15" s="321">
        <f>SUM(F15:F17)</f>
        <v/>
      </c>
      <c r="AP15" s="322">
        <f>AP18</f>
        <v/>
      </c>
      <c r="AQ15" s="717">
        <f>AQ18</f>
        <v/>
      </c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  <c r="BN15" s="706" t="inlineStr"/>
      <c r="BO15" s="706" t="inlineStr"/>
      <c r="BP15" s="706" t="inlineStr"/>
      <c r="BQ15" s="706" t="inlineStr"/>
    </row>
    <row r="16" outlineLevel="1" ht="14.25" customFormat="1" customHeight="1" s="483">
      <c r="A16" s="500" t="n"/>
      <c r="B16" s="707" t="inlineStr">
        <is>
          <t>理财师035</t>
        </is>
      </c>
      <c r="C16" s="707" t="inlineStr"/>
      <c r="D16" s="707" t="inlineStr"/>
      <c r="E16" s="707" t="inlineStr"/>
      <c r="F16" s="707" t="n">
        <v>0</v>
      </c>
      <c r="G16" s="707" t="n">
        <v>5623.483418</v>
      </c>
      <c r="H16" s="707" t="n">
        <v>0</v>
      </c>
      <c r="I16" s="707" t="n">
        <v>0</v>
      </c>
      <c r="J16" s="707" t="n">
        <v>0</v>
      </c>
      <c r="K16" s="707">
        <f>SUM(H16:J16)</f>
        <v/>
      </c>
      <c r="L16" s="707" t="n">
        <v>683.565792</v>
      </c>
      <c r="M16" s="707" t="n">
        <v>0</v>
      </c>
      <c r="N16" s="707" t="n">
        <v>24.884003</v>
      </c>
      <c r="O16" s="707">
        <f>SUM(L16:N16)</f>
        <v/>
      </c>
      <c r="P16" s="707" t="n">
        <v>412.205196</v>
      </c>
      <c r="Q16" s="707" t="n">
        <v>0</v>
      </c>
      <c r="R16" s="707" t="n">
        <v>61.849591</v>
      </c>
      <c r="S16" s="707">
        <f>SUM(P16:R16)</f>
        <v/>
      </c>
      <c r="T16" s="707" t="n">
        <v>539.9043</v>
      </c>
      <c r="U16" s="707" t="n">
        <v>1859.14872</v>
      </c>
      <c r="V16" s="707" t="n">
        <v>44.064709</v>
      </c>
      <c r="W16" s="707">
        <f>SUM(T16:V16)</f>
        <v/>
      </c>
      <c r="X16" s="707" t="n">
        <v>0</v>
      </c>
      <c r="Y16" s="707" t="n">
        <v>0</v>
      </c>
      <c r="Z16" s="707" t="n">
        <v>43.453355</v>
      </c>
      <c r="AA16" s="707">
        <f>SUM(X16:Z16)</f>
        <v/>
      </c>
      <c r="AB16" s="707" t="n">
        <v>0</v>
      </c>
      <c r="AC16" s="707" t="n">
        <v>1943.65548</v>
      </c>
      <c r="AD16" s="707" t="n">
        <v>10.752272</v>
      </c>
      <c r="AE16" s="707">
        <f>SUM(AB16:AD16)</f>
        <v/>
      </c>
      <c r="AF16" s="707" t="n">
        <v>0</v>
      </c>
      <c r="AG16" s="707" t="n">
        <v>0</v>
      </c>
      <c r="AH16" s="707" t="n">
        <v>0</v>
      </c>
      <c r="AI16" s="707">
        <f>SUM(AF16:AH16)</f>
        <v/>
      </c>
      <c r="AJ16" s="707" t="n">
        <v>0</v>
      </c>
      <c r="AK16" s="271">
        <f>SUM(K16+O16+S16+W16+AA16+AE16+AI16+AJ16)</f>
        <v/>
      </c>
      <c r="AL16" s="326">
        <f>IF(F16=0,"",K16/(F16/MAX(1,(YEAR(E16)*12+MONTH(E16))-(YEAR(D16)*12+MONTH(D16))+1)))</f>
        <v/>
      </c>
      <c r="AM16" s="326">
        <f>G16/F16</f>
        <v/>
      </c>
      <c r="AN16" s="708">
        <f>F16-G16</f>
        <v/>
      </c>
      <c r="AO16" s="500" t="n"/>
      <c r="AP16" s="500" t="n"/>
      <c r="AQ16" s="500" t="n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  <c r="BN16" s="706" t="inlineStr"/>
      <c r="BO16" s="706" t="inlineStr"/>
      <c r="BP16" s="706" t="inlineStr"/>
      <c r="BQ16" s="706" t="inlineStr"/>
    </row>
    <row r="17" outlineLevel="1" ht="14.25" customFormat="1" customHeight="1" s="483">
      <c r="A17" s="513" t="n"/>
      <c r="B17" s="707" t="inlineStr">
        <is>
          <t>理财师007</t>
        </is>
      </c>
      <c r="C17" s="707" t="inlineStr">
        <is>
          <t>私人财富管理专家PWA4-3</t>
        </is>
      </c>
      <c r="D17" s="676" t="n">
        <v>46204</v>
      </c>
      <c r="E17" s="676" t="n">
        <v>46387</v>
      </c>
      <c r="F17" s="707" t="n">
        <v>28561.17</v>
      </c>
      <c r="G17" s="707" t="n">
        <v>4023.303729</v>
      </c>
      <c r="H17" s="707" t="n">
        <v>0</v>
      </c>
      <c r="I17" s="707" t="n">
        <v>0</v>
      </c>
      <c r="J17" s="707" t="n">
        <v>0</v>
      </c>
      <c r="K17" s="707">
        <f>SUM(H17:J17)</f>
        <v/>
      </c>
      <c r="L17" s="707" t="n">
        <v>3696.581357</v>
      </c>
      <c r="M17" s="707" t="n">
        <v>0</v>
      </c>
      <c r="N17" s="707" t="n">
        <v>326.722372</v>
      </c>
      <c r="O17" s="707">
        <f>SUM(L17:N17)</f>
        <v/>
      </c>
      <c r="P17" s="707" t="n">
        <v>4030.216259</v>
      </c>
      <c r="Q17" s="707" t="n">
        <v>0</v>
      </c>
      <c r="R17" s="707" t="n">
        <v>591.792457</v>
      </c>
      <c r="S17" s="707">
        <f>SUM(P17:R17)</f>
        <v/>
      </c>
      <c r="T17" s="707" t="n">
        <v>1274.903482</v>
      </c>
      <c r="U17" s="707" t="n">
        <v>3566.1951</v>
      </c>
      <c r="V17" s="707" t="n">
        <v>343.572179</v>
      </c>
      <c r="W17" s="707">
        <f>SUM(T17:V17)</f>
        <v/>
      </c>
      <c r="X17" s="707" t="n">
        <v>2660.12632</v>
      </c>
      <c r="Y17" s="707" t="n">
        <v>0</v>
      </c>
      <c r="Z17" s="707" t="n">
        <v>331.400492</v>
      </c>
      <c r="AA17" s="707">
        <f>SUM(X17:Z17)</f>
        <v/>
      </c>
      <c r="AB17" s="707" t="n">
        <v>3406.959578</v>
      </c>
      <c r="AC17" s="707" t="n">
        <v>14793.1056</v>
      </c>
      <c r="AD17" s="707" t="n">
        <v>606.358521</v>
      </c>
      <c r="AE17" s="707">
        <f>SUM(AB17:AD17)</f>
        <v/>
      </c>
      <c r="AF17" s="707" t="n">
        <v>3557.362586</v>
      </c>
      <c r="AG17" s="707" t="n">
        <v>0</v>
      </c>
      <c r="AH17" s="707" t="n">
        <v>301.023526</v>
      </c>
      <c r="AI17" s="707">
        <f>SUM(AF17:AH17)</f>
        <v/>
      </c>
      <c r="AJ17" s="707" t="n">
        <v>8988.571889000001</v>
      </c>
      <c r="AK17" s="271">
        <f>SUM(K17+O17+S17+W17+AA17+AE17+AI17+AJ17)</f>
        <v/>
      </c>
      <c r="AL17" s="326">
        <f>IF(F17=0,"",K17/(F17/((YEAR(E17)*12+MONTH(E17))-(YEAR(D17)*12+MONTH(D17))+1)))</f>
        <v/>
      </c>
      <c r="AM17" s="326">
        <f>G17/F17</f>
        <v/>
      </c>
      <c r="AN17" s="708">
        <f>F17-G17</f>
        <v/>
      </c>
      <c r="AO17" s="513" t="n"/>
      <c r="AP17" s="513" t="n"/>
      <c r="AQ17" s="513" t="n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  <c r="BN17" s="706" t="inlineStr"/>
      <c r="BO17" s="706" t="inlineStr"/>
      <c r="BP17" s="706" t="inlineStr"/>
      <c r="BQ17" s="706" t="inlineStr"/>
    </row>
    <row r="18" outlineLevel="1" ht="14.25" customFormat="1" customHeight="1" s="483">
      <c r="A18" s="710" t="inlineStr">
        <is>
          <t>合计</t>
        </is>
      </c>
      <c r="B18" s="518" t="n"/>
      <c r="C18" s="518" t="n"/>
      <c r="D18" s="518" t="n"/>
      <c r="E18" s="578" t="n"/>
      <c r="F18" s="333">
        <f>SUM(F15:F17)</f>
        <v/>
      </c>
      <c r="G18" s="710">
        <f>SUM(G15:G17)</f>
        <v/>
      </c>
      <c r="H18" s="710">
        <f>SUM(H15:H17)</f>
        <v/>
      </c>
      <c r="I18" s="710">
        <f>SUM(I15:I17)</f>
        <v/>
      </c>
      <c r="J18" s="710">
        <f>SUM(J15:J17)</f>
        <v/>
      </c>
      <c r="K18" s="710">
        <f>SUM(K15:K17)</f>
        <v/>
      </c>
      <c r="L18" s="710">
        <f>SUM(L15:L17)</f>
        <v/>
      </c>
      <c r="M18" s="710">
        <f>SUM(M15:M17)</f>
        <v/>
      </c>
      <c r="N18" s="710">
        <f>SUM(N15:N17)</f>
        <v/>
      </c>
      <c r="O18" s="710">
        <f>SUM(O15:O17)</f>
        <v/>
      </c>
      <c r="P18" s="710">
        <f>SUM(P15:P17)</f>
        <v/>
      </c>
      <c r="Q18" s="710">
        <f>SUM(Q15:Q17)</f>
        <v/>
      </c>
      <c r="R18" s="710">
        <f>SUM(R15:R17)</f>
        <v/>
      </c>
      <c r="S18" s="710">
        <f>SUM(S15:S17)</f>
        <v/>
      </c>
      <c r="T18" s="710">
        <f>SUM(T15:T17)</f>
        <v/>
      </c>
      <c r="U18" s="710">
        <f>SUM(U15:U17)</f>
        <v/>
      </c>
      <c r="V18" s="710">
        <f>SUM(V15:V17)</f>
        <v/>
      </c>
      <c r="W18" s="710">
        <f>SUM(W15:W17)</f>
        <v/>
      </c>
      <c r="X18" s="710">
        <f>SUM(X15:X17)</f>
        <v/>
      </c>
      <c r="Y18" s="710">
        <f>SUM(Y15:Y17)</f>
        <v/>
      </c>
      <c r="Z18" s="710">
        <f>SUM(Z15:Z17)</f>
        <v/>
      </c>
      <c r="AA18" s="710">
        <f>SUM(AA15:AA17)</f>
        <v/>
      </c>
      <c r="AB18" s="710">
        <f>SUM(AB15:AB17)</f>
        <v/>
      </c>
      <c r="AC18" s="710">
        <f>SUM(AC15:AC17)</f>
        <v/>
      </c>
      <c r="AD18" s="710">
        <f>SUM(AD15:AD17)</f>
        <v/>
      </c>
      <c r="AE18" s="710">
        <f>SUM(AE15:AE17)</f>
        <v/>
      </c>
      <c r="AF18" s="710">
        <f>SUM(AF15:AF17)</f>
        <v/>
      </c>
      <c r="AG18" s="710">
        <f>SUM(AG15:AG17)</f>
        <v/>
      </c>
      <c r="AH18" s="710">
        <f>SUM(AH15:AH17)</f>
        <v/>
      </c>
      <c r="AI18" s="710">
        <f>SUM(AI15:AI17)</f>
        <v/>
      </c>
      <c r="AJ18" s="710">
        <f>SUM(AJ15:AJ17)</f>
        <v/>
      </c>
      <c r="AK18" s="333">
        <f>SUM(K18+O18+S18+W18+AA18+AE18+AI18+AJ18)</f>
        <v/>
      </c>
      <c r="AL18" s="335">
        <f>IF(F18=0,"",K18/(F18/((YEAR(E15)*12+MONTH(E15))-(YEAR(D15)*12+MONTH(D15))+1)))</f>
        <v/>
      </c>
      <c r="AM18" s="336">
        <f>G18/F18</f>
        <v/>
      </c>
      <c r="AN18" s="715">
        <f>F18-G18</f>
        <v/>
      </c>
      <c r="AO18" s="337">
        <f>AO15</f>
        <v/>
      </c>
      <c r="AP18" s="335">
        <f>AK18/AO15</f>
        <v/>
      </c>
      <c r="AQ18" s="712">
        <f>AO15-AK18</f>
        <v/>
      </c>
      <c r="AR18" s="713" t="inlineStr"/>
      <c r="AS18" s="713" t="inlineStr"/>
      <c r="AT18" s="713" t="inlineStr"/>
      <c r="AU18" s="713" t="inlineStr"/>
      <c r="AV18" s="713" t="inlineStr"/>
      <c r="AW18" s="713" t="inlineStr"/>
      <c r="AX18" s="713" t="inlineStr"/>
      <c r="AY18" s="713" t="inlineStr"/>
      <c r="AZ18" s="713" t="inlineStr"/>
      <c r="BA18" s="713" t="inlineStr"/>
      <c r="BB18" s="713" t="inlineStr"/>
      <c r="BC18" s="713" t="inlineStr"/>
      <c r="BD18" s="713" t="inlineStr"/>
      <c r="BE18" s="713" t="inlineStr"/>
      <c r="BF18" s="713" t="inlineStr"/>
      <c r="BG18" s="713" t="inlineStr"/>
      <c r="BH18" s="713" t="inlineStr"/>
      <c r="BI18" s="713" t="inlineStr"/>
      <c r="BJ18" s="713" t="inlineStr"/>
      <c r="BK18" s="713" t="inlineStr"/>
      <c r="BL18" s="713" t="inlineStr"/>
      <c r="BM18" s="713" t="inlineStr"/>
      <c r="BN18" s="713" t="inlineStr"/>
      <c r="BO18" s="713" t="inlineStr"/>
      <c r="BP18" s="713" t="inlineStr"/>
      <c r="BQ18" s="713" t="inlineStr"/>
    </row>
    <row r="19" outlineLevel="1" ht="14.25" customFormat="1" customHeight="1" s="483">
      <c r="A19" s="703" t="inlineStr">
        <is>
          <t>理财师016</t>
        </is>
      </c>
      <c r="B19" s="703" t="inlineStr">
        <is>
          <t>理财师028</t>
        </is>
      </c>
      <c r="C19" s="703" t="inlineStr">
        <is>
          <t>私人财富管理专家PWA4-5</t>
        </is>
      </c>
      <c r="D19" s="693" t="n">
        <v>46001</v>
      </c>
      <c r="E19" s="693" t="n">
        <v>46182</v>
      </c>
      <c r="F19" s="703" t="n">
        <v>23502</v>
      </c>
      <c r="G19" s="703" t="n">
        <v>337.57095</v>
      </c>
      <c r="H19" s="703" t="n">
        <v>0</v>
      </c>
      <c r="I19" s="703" t="n">
        <v>0</v>
      </c>
      <c r="J19" s="703" t="n">
        <v>0</v>
      </c>
      <c r="K19" s="703">
        <f>SUM(H19:J19)</f>
        <v/>
      </c>
      <c r="L19" s="703" t="n">
        <v>76.3815</v>
      </c>
      <c r="M19" s="703" t="n">
        <v>0</v>
      </c>
      <c r="N19" s="703" t="n">
        <v>19.558102</v>
      </c>
      <c r="O19" s="703">
        <f>SUM(L19:N19)</f>
        <v/>
      </c>
      <c r="P19" s="703" t="n">
        <v>488.8416</v>
      </c>
      <c r="Q19" s="703" t="n">
        <v>0</v>
      </c>
      <c r="R19" s="703" t="n">
        <v>90.34230599999999</v>
      </c>
      <c r="S19" s="703">
        <f>SUM(P19:R19)</f>
        <v/>
      </c>
      <c r="T19" s="703" t="n">
        <v>305.526</v>
      </c>
      <c r="U19" s="703" t="n">
        <v>0</v>
      </c>
      <c r="V19" s="703" t="n">
        <v>0</v>
      </c>
      <c r="W19" s="703">
        <f>SUM(T19:V19)</f>
        <v/>
      </c>
      <c r="X19" s="703" t="n">
        <v>0</v>
      </c>
      <c r="Y19" s="703" t="n">
        <v>0</v>
      </c>
      <c r="Z19" s="703" t="n">
        <v>0</v>
      </c>
      <c r="AA19" s="703">
        <f>SUM(X19:Z19)</f>
        <v/>
      </c>
      <c r="AB19" s="703" t="n">
        <v>0</v>
      </c>
      <c r="AC19" s="703" t="n">
        <v>0</v>
      </c>
      <c r="AD19" s="703" t="n">
        <v>32.04495</v>
      </c>
      <c r="AE19" s="703">
        <f>SUM(AB19:AD19)</f>
        <v/>
      </c>
      <c r="AF19" s="703" t="n">
        <v>0</v>
      </c>
      <c r="AG19" s="703" t="n">
        <v>0</v>
      </c>
      <c r="AH19" s="703" t="n">
        <v>0</v>
      </c>
      <c r="AI19" s="703">
        <f>SUM(AF19:AH19)</f>
        <v/>
      </c>
      <c r="AJ19" s="703" t="n">
        <v>0</v>
      </c>
      <c r="AK19" s="724">
        <f>SUM(K19+O19+S19+W19+AA19+AE19+AI19+AJ19)</f>
        <v/>
      </c>
      <c r="AL19" s="319">
        <f>IF(F19=0,"",K19/(F19/((YEAR(E19)*12+MONTH(E19))-(YEAR(D19)*12+MONTH(D19))+1)))</f>
        <v/>
      </c>
      <c r="AM19" s="319">
        <f>G19/F19</f>
        <v/>
      </c>
      <c r="AN19" s="724">
        <f>F19-G19</f>
        <v/>
      </c>
      <c r="AO19" s="321">
        <f>SUM(F19:F21)</f>
        <v/>
      </c>
      <c r="AP19" s="322">
        <f>AP22</f>
        <v/>
      </c>
      <c r="AQ19" s="717">
        <f>AQ22</f>
        <v/>
      </c>
      <c r="AR19" s="706" t="inlineStr"/>
      <c r="AS19" s="706" t="inlineStr"/>
      <c r="AT19" s="706" t="inlineStr"/>
      <c r="AU19" s="706" t="inlineStr"/>
      <c r="AV19" s="706" t="inlineStr"/>
      <c r="AW19" s="706" t="inlineStr"/>
      <c r="AX19" s="706" t="inlineStr"/>
      <c r="AY19" s="706" t="inlineStr"/>
      <c r="AZ19" s="706" t="inlineStr"/>
      <c r="BA19" s="706" t="inlineStr"/>
      <c r="BB19" s="706" t="inlineStr"/>
      <c r="BC19" s="706" t="inlineStr"/>
      <c r="BD19" s="706" t="inlineStr"/>
      <c r="BE19" s="706" t="inlineStr"/>
      <c r="BF19" s="706" t="inlineStr"/>
      <c r="BG19" s="706" t="inlineStr"/>
      <c r="BH19" s="706" t="inlineStr"/>
      <c r="BI19" s="706" t="inlineStr"/>
      <c r="BJ19" s="706" t="inlineStr"/>
      <c r="BK19" s="706" t="inlineStr"/>
      <c r="BL19" s="706" t="inlineStr"/>
      <c r="BM19" s="706" t="inlineStr"/>
      <c r="BN19" s="706" t="inlineStr"/>
      <c r="BO19" s="706" t="inlineStr"/>
      <c r="BP19" s="706" t="inlineStr"/>
      <c r="BQ19" s="706" t="inlineStr"/>
    </row>
    <row r="20" outlineLevel="1" ht="14.25" customFormat="1" customHeight="1" s="483">
      <c r="A20" s="500" t="n"/>
      <c r="B20" s="707" t="inlineStr">
        <is>
          <t>理财师015</t>
        </is>
      </c>
      <c r="C20" s="707" t="inlineStr">
        <is>
          <t>私人财富管理顾问PWA1-3</t>
        </is>
      </c>
      <c r="D20" s="676" t="n">
        <v>46204</v>
      </c>
      <c r="E20" s="676" t="n">
        <v>46387</v>
      </c>
      <c r="F20" s="707" t="n">
        <v>5335.47</v>
      </c>
      <c r="G20" s="707" t="n">
        <v>2266.691958</v>
      </c>
      <c r="H20" s="707" t="n">
        <v>0</v>
      </c>
      <c r="I20" s="707" t="n">
        <v>0</v>
      </c>
      <c r="J20" s="707" t="n">
        <v>0</v>
      </c>
      <c r="K20" s="707">
        <f>SUM(H20:J20)</f>
        <v/>
      </c>
      <c r="L20" s="707" t="n">
        <v>0</v>
      </c>
      <c r="M20" s="707" t="n">
        <v>2212.9497</v>
      </c>
      <c r="N20" s="707" t="n">
        <v>53.742258</v>
      </c>
      <c r="O20" s="707">
        <f>SUM(L20:N20)</f>
        <v/>
      </c>
      <c r="P20" s="707" t="n">
        <v>42.846788</v>
      </c>
      <c r="Q20" s="707" t="n">
        <v>0</v>
      </c>
      <c r="R20" s="707" t="n">
        <v>56.785916</v>
      </c>
      <c r="S20" s="707">
        <f>SUM(P20:R20)</f>
        <v/>
      </c>
      <c r="T20" s="707" t="n">
        <v>494.115336</v>
      </c>
      <c r="U20" s="707" t="n">
        <v>0</v>
      </c>
      <c r="V20" s="707" t="n">
        <v>46.211266</v>
      </c>
      <c r="W20" s="707">
        <f>SUM(T20:V20)</f>
        <v/>
      </c>
      <c r="X20" s="707" t="n">
        <v>0</v>
      </c>
      <c r="Y20" s="707" t="n">
        <v>0</v>
      </c>
      <c r="Z20" s="707" t="n">
        <v>37.443523</v>
      </c>
      <c r="AA20" s="707">
        <f>SUM(X20:Z20)</f>
        <v/>
      </c>
      <c r="AB20" s="707" t="n">
        <v>198.1746</v>
      </c>
      <c r="AC20" s="707" t="n">
        <v>0</v>
      </c>
      <c r="AD20" s="707" t="n">
        <v>29.640215</v>
      </c>
      <c r="AE20" s="707">
        <f>SUM(AB20:AD20)</f>
        <v/>
      </c>
      <c r="AF20" s="707" t="n">
        <v>0.8469</v>
      </c>
      <c r="AG20" s="707" t="n">
        <v>4558.0158</v>
      </c>
      <c r="AH20" s="707" t="n">
        <v>19.389048</v>
      </c>
      <c r="AI20" s="707">
        <f>SUM(AF20:AH20)</f>
        <v/>
      </c>
      <c r="AJ20" s="707" t="n">
        <v>21.644177</v>
      </c>
      <c r="AK20" s="271">
        <f>SUM(K20+O20+S20+W20+AA20+AE20+AI20+AJ20)</f>
        <v/>
      </c>
      <c r="AL20" s="326">
        <f>IF(F20=0,"",K20/(F20/((YEAR(E20)*12+MONTH(E20))-(YEAR(D20)*12+MONTH(D20))+1)))</f>
        <v/>
      </c>
      <c r="AM20" s="326">
        <f>G20/F20</f>
        <v/>
      </c>
      <c r="AN20" s="708">
        <f>F20-G20</f>
        <v/>
      </c>
      <c r="AO20" s="500" t="n"/>
      <c r="AP20" s="500" t="n"/>
      <c r="AQ20" s="500" t="n"/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  <c r="BN20" s="706" t="inlineStr"/>
      <c r="BO20" s="706" t="inlineStr"/>
      <c r="BP20" s="706" t="inlineStr"/>
      <c r="BQ20" s="706" t="inlineStr"/>
    </row>
    <row r="21" outlineLevel="1" ht="14.25" customFormat="1" customHeight="1" s="483">
      <c r="A21" s="513" t="n"/>
      <c r="B21" s="707" t="inlineStr">
        <is>
          <t>理财师016</t>
        </is>
      </c>
      <c r="C21" s="707" t="inlineStr">
        <is>
          <t>私人财富管理资深顾问PWA2-5</t>
        </is>
      </c>
      <c r="D21" s="676" t="n">
        <v>46204</v>
      </c>
      <c r="E21" s="676" t="n">
        <v>46387</v>
      </c>
      <c r="F21" s="707" t="n">
        <v>9935.639999999999</v>
      </c>
      <c r="G21" s="707" t="n">
        <v>2946.105646</v>
      </c>
      <c r="H21" s="707" t="n">
        <v>0</v>
      </c>
      <c r="I21" s="707" t="n">
        <v>0</v>
      </c>
      <c r="J21" s="707" t="n">
        <v>0</v>
      </c>
      <c r="K21" s="707">
        <f>SUM(H21:J21)</f>
        <v/>
      </c>
      <c r="L21" s="707" t="n">
        <v>1489.781475</v>
      </c>
      <c r="M21" s="707" t="n">
        <v>1188.904234</v>
      </c>
      <c r="N21" s="707" t="n">
        <v>267.419938</v>
      </c>
      <c r="O21" s="707">
        <f>SUM(L21:N21)</f>
        <v/>
      </c>
      <c r="P21" s="707" t="n">
        <v>1356.21486</v>
      </c>
      <c r="Q21" s="707" t="n">
        <v>0</v>
      </c>
      <c r="R21" s="707" t="n">
        <v>318.635116</v>
      </c>
      <c r="S21" s="707">
        <f>SUM(P21:R21)</f>
        <v/>
      </c>
      <c r="T21" s="707" t="n">
        <v>2200.72469</v>
      </c>
      <c r="U21" s="707" t="n">
        <v>0</v>
      </c>
      <c r="V21" s="707" t="n">
        <v>130.270558</v>
      </c>
      <c r="W21" s="707">
        <f>SUM(T21:V21)</f>
        <v/>
      </c>
      <c r="X21" s="707" t="n">
        <v>1832.902273</v>
      </c>
      <c r="Y21" s="707" t="n">
        <v>0</v>
      </c>
      <c r="Z21" s="707" t="n">
        <v>114.994826</v>
      </c>
      <c r="AA21" s="707">
        <f>SUM(X21:Z21)</f>
        <v/>
      </c>
      <c r="AB21" s="707" t="n">
        <v>220.16475</v>
      </c>
      <c r="AC21" s="707" t="n">
        <v>0</v>
      </c>
      <c r="AD21" s="707" t="n">
        <v>158.674065</v>
      </c>
      <c r="AE21" s="707">
        <f>SUM(AB21:AD21)</f>
        <v/>
      </c>
      <c r="AF21" s="707" t="n">
        <v>3847.561596</v>
      </c>
      <c r="AG21" s="707" t="n">
        <v>0</v>
      </c>
      <c r="AH21" s="707" t="n">
        <v>39.036743</v>
      </c>
      <c r="AI21" s="707">
        <f>SUM(AF21:AH21)</f>
        <v/>
      </c>
      <c r="AJ21" s="707" t="n">
        <v>2540.064804</v>
      </c>
      <c r="AK21" s="271">
        <f>SUM(K21+O21+S21+W21+AA21+AE21+AI21+AJ21)</f>
        <v/>
      </c>
      <c r="AL21" s="326">
        <f>IF(F21=0,"",K21/(F21/((YEAR(E21)*12+MONTH(E21))-(YEAR(D21)*12+MONTH(D21))+1)))</f>
        <v/>
      </c>
      <c r="AM21" s="326">
        <f>G21/F21</f>
        <v/>
      </c>
      <c r="AN21" s="708">
        <f>F21-G21</f>
        <v/>
      </c>
      <c r="AO21" s="513" t="n"/>
      <c r="AP21" s="513" t="n"/>
      <c r="AQ21" s="513" t="n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  <c r="BN21" s="706" t="inlineStr"/>
      <c r="BO21" s="706" t="inlineStr"/>
      <c r="BP21" s="706" t="inlineStr"/>
      <c r="BQ21" s="706" t="inlineStr"/>
    </row>
    <row r="22" outlineLevel="1" ht="14.25" customFormat="1" customHeight="1" s="483">
      <c r="A22" s="710" t="inlineStr">
        <is>
          <t>合计</t>
        </is>
      </c>
      <c r="B22" s="518" t="n"/>
      <c r="C22" s="518" t="n"/>
      <c r="D22" s="518" t="n"/>
      <c r="E22" s="578" t="n"/>
      <c r="F22" s="333">
        <f>SUM(F19:F21)</f>
        <v/>
      </c>
      <c r="G22" s="710">
        <f>SUM(G19:G21)</f>
        <v/>
      </c>
      <c r="H22" s="710">
        <f>SUM(H19:H21)</f>
        <v/>
      </c>
      <c r="I22" s="710">
        <f>SUM(I19:I21)</f>
        <v/>
      </c>
      <c r="J22" s="710">
        <f>SUM(J19:J21)</f>
        <v/>
      </c>
      <c r="K22" s="710">
        <f>SUM(K19:K21)</f>
        <v/>
      </c>
      <c r="L22" s="710">
        <f>SUM(L19:L21)</f>
        <v/>
      </c>
      <c r="M22" s="710">
        <f>SUM(M19:M21)</f>
        <v/>
      </c>
      <c r="N22" s="710">
        <f>SUM(N19:N21)</f>
        <v/>
      </c>
      <c r="O22" s="710">
        <f>SUM(O19:O21)</f>
        <v/>
      </c>
      <c r="P22" s="710">
        <f>SUM(P19:P21)</f>
        <v/>
      </c>
      <c r="Q22" s="710">
        <f>SUM(Q19:Q21)</f>
        <v/>
      </c>
      <c r="R22" s="710">
        <f>SUM(R19:R21)</f>
        <v/>
      </c>
      <c r="S22" s="710">
        <f>SUM(S19:S21)</f>
        <v/>
      </c>
      <c r="T22" s="710">
        <f>SUM(T19:T21)</f>
        <v/>
      </c>
      <c r="U22" s="710">
        <f>SUM(U19:U21)</f>
        <v/>
      </c>
      <c r="V22" s="710">
        <f>SUM(V19:V21)</f>
        <v/>
      </c>
      <c r="W22" s="710">
        <f>SUM(W19:W21)</f>
        <v/>
      </c>
      <c r="X22" s="710">
        <f>SUM(X19:X21)</f>
        <v/>
      </c>
      <c r="Y22" s="710">
        <f>SUM(Y19:Y21)</f>
        <v/>
      </c>
      <c r="Z22" s="710">
        <f>SUM(Z19:Z21)</f>
        <v/>
      </c>
      <c r="AA22" s="710">
        <f>SUM(AA19:AA21)</f>
        <v/>
      </c>
      <c r="AB22" s="710">
        <f>SUM(AB19:AB21)</f>
        <v/>
      </c>
      <c r="AC22" s="710">
        <f>SUM(AC19:AC21)</f>
        <v/>
      </c>
      <c r="AD22" s="710">
        <f>SUM(AD19:AD21)</f>
        <v/>
      </c>
      <c r="AE22" s="710">
        <f>SUM(AE19:AE21)</f>
        <v/>
      </c>
      <c r="AF22" s="710">
        <f>SUM(AF19:AF21)</f>
        <v/>
      </c>
      <c r="AG22" s="710">
        <f>SUM(AG19:AG21)</f>
        <v/>
      </c>
      <c r="AH22" s="710">
        <f>SUM(AH19:AH21)</f>
        <v/>
      </c>
      <c r="AI22" s="710">
        <f>SUM(AI19:AI21)</f>
        <v/>
      </c>
      <c r="AJ22" s="710">
        <f>SUM(AJ19:AJ21)</f>
        <v/>
      </c>
      <c r="AK22" s="333">
        <f>SUM(K22+O22+S22+W22+AA22+AE22+AI22+AJ22)</f>
        <v/>
      </c>
      <c r="AL22" s="335">
        <f>IF(F22=0,"",K22/(F22/((YEAR(E19)*12+MONTH(E19))-(YEAR(D19)*12+MONTH(D19))+1)))</f>
        <v/>
      </c>
      <c r="AM22" s="336">
        <f>G22/F22</f>
        <v/>
      </c>
      <c r="AN22" s="715">
        <f>F22-G22</f>
        <v/>
      </c>
      <c r="AO22" s="337">
        <f>AO19</f>
        <v/>
      </c>
      <c r="AP22" s="335">
        <f>AK22/AO19</f>
        <v/>
      </c>
      <c r="AQ22" s="712">
        <f>AO19-AK22</f>
        <v/>
      </c>
      <c r="AR22" s="713" t="inlineStr"/>
      <c r="AS22" s="713" t="inlineStr"/>
      <c r="AT22" s="713" t="inlineStr"/>
      <c r="AU22" s="713" t="inlineStr"/>
      <c r="AV22" s="713" t="inlineStr"/>
      <c r="AW22" s="713" t="inlineStr"/>
      <c r="AX22" s="713" t="inlineStr"/>
      <c r="AY22" s="713" t="inlineStr"/>
      <c r="AZ22" s="713" t="inlineStr"/>
      <c r="BA22" s="713" t="inlineStr"/>
      <c r="BB22" s="713" t="inlineStr"/>
      <c r="BC22" s="713" t="inlineStr"/>
      <c r="BD22" s="713" t="inlineStr"/>
      <c r="BE22" s="713" t="inlineStr"/>
      <c r="BF22" s="713" t="inlineStr"/>
      <c r="BG22" s="713" t="inlineStr"/>
      <c r="BH22" s="713" t="inlineStr"/>
      <c r="BI22" s="713" t="inlineStr"/>
      <c r="BJ22" s="713" t="inlineStr"/>
      <c r="BK22" s="713" t="inlineStr"/>
      <c r="BL22" s="713" t="inlineStr"/>
      <c r="BM22" s="713" t="inlineStr"/>
      <c r="BN22" s="713" t="inlineStr"/>
      <c r="BO22" s="713" t="inlineStr"/>
      <c r="BP22" s="713" t="inlineStr"/>
      <c r="BQ22" s="713" t="inlineStr"/>
    </row>
    <row r="23" outlineLevel="1" ht="14.25" customFormat="1" customHeight="1" s="483">
      <c r="A23" s="703" t="inlineStr">
        <is>
          <t>理财师002</t>
        </is>
      </c>
      <c r="B23" s="703" t="inlineStr">
        <is>
          <t>理财师001</t>
        </is>
      </c>
      <c r="C23" s="703" t="inlineStr">
        <is>
          <t>私人财富管理顾问PWA1-3</t>
        </is>
      </c>
      <c r="D23" s="693" t="n">
        <v>46204</v>
      </c>
      <c r="E23" s="693" t="n">
        <v>46387</v>
      </c>
      <c r="F23" s="703" t="n">
        <v>5423.67</v>
      </c>
      <c r="G23" s="703" t="n">
        <v>819.097789</v>
      </c>
      <c r="H23" s="703" t="n">
        <v>0</v>
      </c>
      <c r="I23" s="703" t="n">
        <v>0</v>
      </c>
      <c r="J23" s="703" t="n">
        <v>0</v>
      </c>
      <c r="K23" s="703">
        <f>SUM(H23:J23)</f>
        <v/>
      </c>
      <c r="L23" s="703" t="n">
        <v>134.3004</v>
      </c>
      <c r="M23" s="703" t="n">
        <v>0</v>
      </c>
      <c r="N23" s="703" t="n">
        <v>684.797389</v>
      </c>
      <c r="O23" s="703">
        <f>SUM(L23:N23)</f>
        <v/>
      </c>
      <c r="P23" s="703" t="n">
        <v>1035.385146</v>
      </c>
      <c r="Q23" s="703" t="n">
        <v>0</v>
      </c>
      <c r="R23" s="703" t="n">
        <v>717.905769</v>
      </c>
      <c r="S23" s="703">
        <f>SUM(P23:R23)</f>
        <v/>
      </c>
      <c r="T23" s="703" t="n">
        <v>121.826127</v>
      </c>
      <c r="U23" s="703" t="n">
        <v>0</v>
      </c>
      <c r="V23" s="703" t="n">
        <v>638.531805</v>
      </c>
      <c r="W23" s="703">
        <f>SUM(T23:V23)</f>
        <v/>
      </c>
      <c r="X23" s="703" t="n">
        <v>88.54274700000001</v>
      </c>
      <c r="Y23" s="703" t="n">
        <v>0</v>
      </c>
      <c r="Z23" s="703" t="n">
        <v>616.124389</v>
      </c>
      <c r="AA23" s="703">
        <f>SUM(X23:Z23)</f>
        <v/>
      </c>
      <c r="AB23" s="703" t="n">
        <v>50.830377</v>
      </c>
      <c r="AC23" s="703" t="n">
        <v>0</v>
      </c>
      <c r="AD23" s="703" t="n">
        <v>791.318135</v>
      </c>
      <c r="AE23" s="703">
        <f>SUM(AB23:AD23)</f>
        <v/>
      </c>
      <c r="AF23" s="703" t="n">
        <v>153.11976</v>
      </c>
      <c r="AG23" s="703" t="n">
        <v>0</v>
      </c>
      <c r="AH23" s="703" t="n">
        <v>560.548117</v>
      </c>
      <c r="AI23" s="703">
        <f>SUM(AF23:AH23)</f>
        <v/>
      </c>
      <c r="AJ23" s="703" t="n">
        <v>2029.518541</v>
      </c>
      <c r="AK23" s="318">
        <f>SUM(K23+O23+S23+W23+AA23+AE23+AI23+AJ23)</f>
        <v/>
      </c>
      <c r="AL23" s="319">
        <f>IF(F23=0,"",K23/(F23/((YEAR(E23)*12+MONTH(E23))-(YEAR(D23)*12+MONTH(D23))+1)))</f>
        <v/>
      </c>
      <c r="AM23" s="319">
        <f>G23/F23</f>
        <v/>
      </c>
      <c r="AN23" s="704">
        <f>F23-G23</f>
        <v/>
      </c>
      <c r="AO23" s="321">
        <f>SUM(F23:F25)</f>
        <v/>
      </c>
      <c r="AP23" s="322">
        <f>AP26</f>
        <v/>
      </c>
      <c r="AQ23" s="717">
        <f>AQ26</f>
        <v/>
      </c>
      <c r="AR23" s="706" t="inlineStr"/>
      <c r="AS23" s="706" t="inlineStr"/>
      <c r="AT23" s="706" t="inlineStr"/>
      <c r="AU23" s="706" t="inlineStr"/>
      <c r="AV23" s="706" t="inlineStr"/>
      <c r="AW23" s="706" t="inlineStr"/>
      <c r="AX23" s="706" t="inlineStr"/>
      <c r="AY23" s="706" t="inlineStr"/>
      <c r="AZ23" s="706" t="inlineStr"/>
      <c r="BA23" s="706" t="inlineStr"/>
      <c r="BB23" s="706" t="inlineStr"/>
      <c r="BC23" s="706" t="inlineStr"/>
      <c r="BD23" s="706" t="inlineStr"/>
      <c r="BE23" s="706" t="inlineStr"/>
      <c r="BF23" s="706" t="inlineStr"/>
      <c r="BG23" s="706" t="inlineStr"/>
      <c r="BH23" s="706" t="inlineStr"/>
      <c r="BI23" s="706" t="inlineStr"/>
      <c r="BJ23" s="706" t="inlineStr"/>
      <c r="BK23" s="706" t="inlineStr"/>
      <c r="BL23" s="706" t="inlineStr"/>
      <c r="BM23" s="706" t="inlineStr"/>
      <c r="BN23" s="706" t="inlineStr"/>
      <c r="BO23" s="706" t="inlineStr"/>
      <c r="BP23" s="706" t="inlineStr"/>
      <c r="BQ23" s="706" t="inlineStr"/>
    </row>
    <row r="24" outlineLevel="1" ht="14.25" customFormat="1" customHeight="1" s="483">
      <c r="A24" s="500" t="n"/>
      <c r="B24" s="707" t="inlineStr">
        <is>
          <t>理财师027</t>
        </is>
      </c>
      <c r="C24" s="707" t="inlineStr">
        <is>
          <t>私人财富管理顾问PWA1-3</t>
        </is>
      </c>
      <c r="D24" s="676" t="n">
        <v>46125</v>
      </c>
      <c r="E24" s="676" t="n">
        <v>46326</v>
      </c>
      <c r="F24" s="707" t="n">
        <v>4774.516274</v>
      </c>
      <c r="G24" s="707" t="n">
        <v>453.8814</v>
      </c>
      <c r="H24" s="707" t="n">
        <v>0</v>
      </c>
      <c r="I24" s="707" t="n">
        <v>0</v>
      </c>
      <c r="J24" s="707" t="n">
        <v>0</v>
      </c>
      <c r="K24" s="707">
        <f>SUM(H24:J24)</f>
        <v/>
      </c>
      <c r="L24" s="707" t="n">
        <v>106.8132</v>
      </c>
      <c r="M24" s="707" t="n">
        <v>0</v>
      </c>
      <c r="N24" s="707" t="n">
        <v>29.433754</v>
      </c>
      <c r="O24" s="707">
        <f>SUM(L24:N24)</f>
        <v/>
      </c>
      <c r="P24" s="707" t="n">
        <v>63.103793</v>
      </c>
      <c r="Q24" s="707" t="n">
        <v>0</v>
      </c>
      <c r="R24" s="707" t="n">
        <v>22.083459</v>
      </c>
      <c r="S24" s="707">
        <f>SUM(P24:R24)</f>
        <v/>
      </c>
      <c r="T24" s="707" t="n">
        <v>63.1797</v>
      </c>
      <c r="U24" s="707" t="n">
        <v>0</v>
      </c>
      <c r="V24" s="707" t="n">
        <v>19.121258</v>
      </c>
      <c r="W24" s="707">
        <f>SUM(T24:V24)</f>
        <v/>
      </c>
      <c r="X24" s="707" t="n">
        <v>135.387173</v>
      </c>
      <c r="Y24" s="707" t="n">
        <v>3685.0554</v>
      </c>
      <c r="Z24" s="707" t="n">
        <v>14.759064</v>
      </c>
      <c r="AA24" s="707">
        <f>SUM(X24:Z24)</f>
        <v/>
      </c>
      <c r="AB24" s="707" t="n">
        <v>0</v>
      </c>
      <c r="AC24" s="707" t="n">
        <v>0</v>
      </c>
      <c r="AD24" s="707" t="n">
        <v>2.181886</v>
      </c>
      <c r="AE24" s="707">
        <f>SUM(AB24:AD24)</f>
        <v/>
      </c>
      <c r="AF24" s="707" t="n">
        <v>0</v>
      </c>
      <c r="AG24" s="707" t="n">
        <v>0</v>
      </c>
      <c r="AH24" s="707" t="n">
        <v>1.481485</v>
      </c>
      <c r="AI24" s="707">
        <f>SUM(AF24:AH24)</f>
        <v/>
      </c>
      <c r="AJ24" s="707" t="n">
        <v>66.75825</v>
      </c>
      <c r="AK24" s="714">
        <f>SUM(K24+O24+S24+W24+AA24+AE24+AI24+AJ24)</f>
        <v/>
      </c>
      <c r="AL24" s="326">
        <f>IF(F24=0,"",K24/(F24/((YEAR(E24)*12+MONTH(E24))-(YEAR(D24)*12+MONTH(D24))+1)))</f>
        <v/>
      </c>
      <c r="AM24" s="326">
        <f>G24/F24</f>
        <v/>
      </c>
      <c r="AN24" s="714">
        <f>F24-G24</f>
        <v/>
      </c>
      <c r="AO24" s="500" t="n"/>
      <c r="AP24" s="500" t="n"/>
      <c r="AQ24" s="500" t="n"/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  <c r="BN24" s="706" t="inlineStr"/>
      <c r="BO24" s="706" t="inlineStr"/>
      <c r="BP24" s="706" t="inlineStr"/>
      <c r="BQ24" s="706" t="inlineStr"/>
    </row>
    <row r="25" outlineLevel="1" ht="14.25" customFormat="1" customHeight="1" s="483">
      <c r="A25" s="513" t="n"/>
      <c r="B25" s="707" t="inlineStr">
        <is>
          <t>理财师002</t>
        </is>
      </c>
      <c r="C25" s="707" t="inlineStr">
        <is>
          <t>首席私人财富管理专家PWA5-1</t>
        </is>
      </c>
      <c r="D25" s="676" t="n">
        <v>46204</v>
      </c>
      <c r="E25" s="676" t="n">
        <v>46387</v>
      </c>
      <c r="F25" s="707" t="n">
        <v>28479.5</v>
      </c>
      <c r="G25" s="707" t="n">
        <v>3392.655887</v>
      </c>
      <c r="H25" s="707" t="n">
        <v>0</v>
      </c>
      <c r="I25" s="707" t="n">
        <v>0</v>
      </c>
      <c r="J25" s="707" t="n">
        <v>0</v>
      </c>
      <c r="K25" s="707">
        <f>SUM(H25:J25)</f>
        <v/>
      </c>
      <c r="L25" s="707" t="n">
        <v>3163.841359</v>
      </c>
      <c r="M25" s="707" t="n">
        <v>0</v>
      </c>
      <c r="N25" s="707" t="n">
        <v>228.814528</v>
      </c>
      <c r="O25" s="707">
        <f>SUM(L25:N25)</f>
        <v/>
      </c>
      <c r="P25" s="707" t="n">
        <v>662.537684</v>
      </c>
      <c r="Q25" s="707" t="n">
        <v>0</v>
      </c>
      <c r="R25" s="707" t="n">
        <v>353.318319</v>
      </c>
      <c r="S25" s="707">
        <f>SUM(P25:R25)</f>
        <v/>
      </c>
      <c r="T25" s="707" t="n">
        <v>2227.154433</v>
      </c>
      <c r="U25" s="707" t="n">
        <v>0</v>
      </c>
      <c r="V25" s="707" t="n">
        <v>234.231608</v>
      </c>
      <c r="W25" s="707">
        <f>SUM(T25:V25)</f>
        <v/>
      </c>
      <c r="X25" s="707" t="n">
        <v>-6272.609198</v>
      </c>
      <c r="Y25" s="707" t="n">
        <v>0</v>
      </c>
      <c r="Z25" s="707" t="n">
        <v>210.102519</v>
      </c>
      <c r="AA25" s="707">
        <f>SUM(X25:Z25)</f>
        <v/>
      </c>
      <c r="AB25" s="707" t="n">
        <v>2164.476574</v>
      </c>
      <c r="AC25" s="707" t="n">
        <v>0</v>
      </c>
      <c r="AD25" s="707" t="n">
        <v>365.27682</v>
      </c>
      <c r="AE25" s="707">
        <f>SUM(AB25:AD25)</f>
        <v/>
      </c>
      <c r="AF25" s="707" t="n">
        <v>2346.171162</v>
      </c>
      <c r="AG25" s="707" t="n">
        <v>0</v>
      </c>
      <c r="AH25" s="707" t="n">
        <v>187.41719</v>
      </c>
      <c r="AI25" s="707">
        <f>SUM(AF25:AH25)</f>
        <v/>
      </c>
      <c r="AJ25" s="707" t="n">
        <v>24919.495747</v>
      </c>
      <c r="AK25" s="271">
        <f>SUM(K25+O25+S25+W25+AA25+AE25+AI25+AJ25)</f>
        <v/>
      </c>
      <c r="AL25" s="326">
        <f>IF(F25=0,"",K25/(F25/((YEAR(E25)*12+MONTH(E25))-(YEAR(D25)*12+MONTH(D25))+1)))</f>
        <v/>
      </c>
      <c r="AM25" s="326">
        <f>G25/F25</f>
        <v/>
      </c>
      <c r="AN25" s="708">
        <f>F25-G25</f>
        <v/>
      </c>
      <c r="AO25" s="513" t="n"/>
      <c r="AP25" s="513" t="n"/>
      <c r="AQ25" s="513" t="n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  <c r="BN25" s="706" t="inlineStr"/>
      <c r="BO25" s="706" t="inlineStr"/>
      <c r="BP25" s="706" t="inlineStr"/>
      <c r="BQ25" s="706" t="inlineStr"/>
    </row>
    <row r="26" outlineLevel="1" ht="14.25" customFormat="1" customHeight="1" s="483">
      <c r="A26" s="710" t="inlineStr">
        <is>
          <t>合计</t>
        </is>
      </c>
      <c r="B26" s="518" t="n"/>
      <c r="C26" s="518" t="n"/>
      <c r="D26" s="518" t="n"/>
      <c r="E26" s="578" t="n"/>
      <c r="F26" s="333">
        <f>SUM(F23:F25)</f>
        <v/>
      </c>
      <c r="G26" s="710">
        <f>SUM(G23:G25)</f>
        <v/>
      </c>
      <c r="H26" s="710">
        <f>SUM(H23:H25)</f>
        <v/>
      </c>
      <c r="I26" s="710">
        <f>SUM(I23:I25)</f>
        <v/>
      </c>
      <c r="J26" s="710">
        <f>SUM(J23:J25)</f>
        <v/>
      </c>
      <c r="K26" s="710">
        <f>SUM(K23:K25)</f>
        <v/>
      </c>
      <c r="L26" s="710">
        <f>SUM(L23:L25)</f>
        <v/>
      </c>
      <c r="M26" s="710">
        <f>SUM(M23:M25)</f>
        <v/>
      </c>
      <c r="N26" s="710">
        <f>SUM(N23:N25)</f>
        <v/>
      </c>
      <c r="O26" s="710">
        <f>SUM(O23:O25)</f>
        <v/>
      </c>
      <c r="P26" s="710">
        <f>SUM(P23:P25)</f>
        <v/>
      </c>
      <c r="Q26" s="710">
        <f>SUM(Q23:Q25)</f>
        <v/>
      </c>
      <c r="R26" s="710">
        <f>SUM(R23:R25)</f>
        <v/>
      </c>
      <c r="S26" s="710">
        <f>SUM(S23:S25)</f>
        <v/>
      </c>
      <c r="T26" s="710">
        <f>SUM(T23:T25)</f>
        <v/>
      </c>
      <c r="U26" s="710">
        <f>SUM(U23:U25)</f>
        <v/>
      </c>
      <c r="V26" s="710">
        <f>SUM(V23:V25)</f>
        <v/>
      </c>
      <c r="W26" s="710">
        <f>SUM(W23:W25)</f>
        <v/>
      </c>
      <c r="X26" s="710">
        <f>SUM(X23:X25)</f>
        <v/>
      </c>
      <c r="Y26" s="710">
        <f>SUM(Y23:Y25)</f>
        <v/>
      </c>
      <c r="Z26" s="710">
        <f>SUM(Z23:Z25)</f>
        <v/>
      </c>
      <c r="AA26" s="710">
        <f>SUM(AA23:AA25)</f>
        <v/>
      </c>
      <c r="AB26" s="710">
        <f>SUM(AB23:AB25)</f>
        <v/>
      </c>
      <c r="AC26" s="710">
        <f>SUM(AC23:AC25)</f>
        <v/>
      </c>
      <c r="AD26" s="710">
        <f>SUM(AD23:AD25)</f>
        <v/>
      </c>
      <c r="AE26" s="710">
        <f>SUM(AE23:AE25)</f>
        <v/>
      </c>
      <c r="AF26" s="710">
        <f>SUM(AF23:AF25)</f>
        <v/>
      </c>
      <c r="AG26" s="710">
        <f>SUM(AG23:AG25)</f>
        <v/>
      </c>
      <c r="AH26" s="710">
        <f>SUM(AH23:AH25)</f>
        <v/>
      </c>
      <c r="AI26" s="710">
        <f>SUM(AI23:AI25)</f>
        <v/>
      </c>
      <c r="AJ26" s="710">
        <f>SUM(AJ23:AJ25)</f>
        <v/>
      </c>
      <c r="AK26" s="333">
        <f>SUM(K26+O26+S26+W26+AA26+AE26+AI26+AJ26)</f>
        <v/>
      </c>
      <c r="AL26" s="335">
        <f>IF(F26=0,"",K26/(F26/((YEAR(E23)*12+MONTH(E23))-(YEAR(D23)*12+MONTH(D23))+1)))</f>
        <v/>
      </c>
      <c r="AM26" s="336">
        <f>G26/F26</f>
        <v/>
      </c>
      <c r="AN26" s="715">
        <f>F26-G26</f>
        <v/>
      </c>
      <c r="AO26" s="337">
        <f>AO23</f>
        <v/>
      </c>
      <c r="AP26" s="335">
        <f>AK26/AO23</f>
        <v/>
      </c>
      <c r="AQ26" s="712">
        <f>AO23-AK26</f>
        <v/>
      </c>
      <c r="AR26" s="713" t="inlineStr"/>
      <c r="AS26" s="713" t="inlineStr"/>
      <c r="AT26" s="713" t="inlineStr"/>
      <c r="AU26" s="713" t="inlineStr"/>
      <c r="AV26" s="713" t="inlineStr"/>
      <c r="AW26" s="713" t="inlineStr"/>
      <c r="AX26" s="713" t="inlineStr"/>
      <c r="AY26" s="713" t="inlineStr"/>
      <c r="AZ26" s="713" t="inlineStr"/>
      <c r="BA26" s="713" t="inlineStr"/>
      <c r="BB26" s="713" t="inlineStr"/>
      <c r="BC26" s="713" t="inlineStr"/>
      <c r="BD26" s="713" t="inlineStr"/>
      <c r="BE26" s="713" t="inlineStr"/>
      <c r="BF26" s="713" t="inlineStr"/>
      <c r="BG26" s="713" t="inlineStr"/>
      <c r="BH26" s="713" t="inlineStr"/>
      <c r="BI26" s="713" t="inlineStr"/>
      <c r="BJ26" s="713" t="inlineStr"/>
      <c r="BK26" s="713" t="inlineStr"/>
      <c r="BL26" s="713" t="inlineStr"/>
      <c r="BM26" s="713" t="inlineStr"/>
      <c r="BN26" s="713" t="inlineStr"/>
      <c r="BO26" s="713" t="inlineStr"/>
      <c r="BP26" s="713" t="inlineStr"/>
      <c r="BQ26" s="713" t="inlineStr"/>
    </row>
    <row r="27" outlineLevel="1" ht="14.25" customFormat="1" customHeight="1" s="483">
      <c r="A27" s="703" t="inlineStr">
        <is>
          <t>理财师009</t>
        </is>
      </c>
      <c r="B27" s="703" t="inlineStr">
        <is>
          <t>理财师009</t>
        </is>
      </c>
      <c r="C27" s="703" t="inlineStr">
        <is>
          <t>私人财富管理专家PWA4-3</t>
        </is>
      </c>
      <c r="D27" s="693" t="n">
        <v>46204</v>
      </c>
      <c r="E27" s="693" t="n">
        <v>46387</v>
      </c>
      <c r="F27" s="703" t="n">
        <v>32232.2</v>
      </c>
      <c r="G27" s="703" t="n">
        <v>5421.542564</v>
      </c>
      <c r="H27" s="703" t="n">
        <v>0</v>
      </c>
      <c r="I27" s="703" t="n">
        <v>0</v>
      </c>
      <c r="J27" s="703" t="n">
        <v>0</v>
      </c>
      <c r="K27" s="703">
        <f>SUM(H27:J27)</f>
        <v/>
      </c>
      <c r="L27" s="703" t="n">
        <v>4913.9454</v>
      </c>
      <c r="M27" s="703" t="n">
        <v>0</v>
      </c>
      <c r="N27" s="703" t="n">
        <v>507.597164</v>
      </c>
      <c r="O27" s="703">
        <f>SUM(L27:N27)</f>
        <v/>
      </c>
      <c r="P27" s="703" t="n">
        <v>2106.18954</v>
      </c>
      <c r="Q27" s="703" t="n">
        <v>2057.0004</v>
      </c>
      <c r="R27" s="703" t="n">
        <v>965.0387030000001</v>
      </c>
      <c r="S27" s="703">
        <f>SUM(P27:R27)</f>
        <v/>
      </c>
      <c r="T27" s="703" t="n">
        <v>536.6088</v>
      </c>
      <c r="U27" s="703" t="n">
        <v>0</v>
      </c>
      <c r="V27" s="703" t="n">
        <v>722.01536</v>
      </c>
      <c r="W27" s="703">
        <f>SUM(T27:V27)</f>
        <v/>
      </c>
      <c r="X27" s="703" t="n">
        <v>1351.820914</v>
      </c>
      <c r="Y27" s="703" t="n">
        <v>20570.004</v>
      </c>
      <c r="Z27" s="703" t="n">
        <v>668.034433</v>
      </c>
      <c r="AA27" s="703">
        <f>SUM(X27:Z27)</f>
        <v/>
      </c>
      <c r="AB27" s="703" t="n">
        <v>3314.503374</v>
      </c>
      <c r="AC27" s="703" t="n">
        <v>0</v>
      </c>
      <c r="AD27" s="703" t="n">
        <v>713.569709</v>
      </c>
      <c r="AE27" s="703">
        <f>SUM(AB27:AD27)</f>
        <v/>
      </c>
      <c r="AF27" s="703" t="n">
        <v>4769.379014</v>
      </c>
      <c r="AG27" s="703" t="n">
        <v>0</v>
      </c>
      <c r="AH27" s="703" t="n">
        <v>228.136442</v>
      </c>
      <c r="AI27" s="703">
        <f>SUM(AF27:AH27)</f>
        <v/>
      </c>
      <c r="AJ27" s="703" t="n">
        <v>1069.968142</v>
      </c>
      <c r="AK27" s="318">
        <f>SUM(K27+O27+S27+W27+AA27+AE27+AI27+AJ27)</f>
        <v/>
      </c>
      <c r="AL27" s="319">
        <f>IF(F27=0,"",K27/(F27/((YEAR(E27)*12+MONTH(E27))-(YEAR(D27)*12+MONTH(D27))+1)))</f>
        <v/>
      </c>
      <c r="AM27" s="319">
        <f>G27/F27</f>
        <v/>
      </c>
      <c r="AN27" s="704">
        <f>F27-G27</f>
        <v/>
      </c>
      <c r="AO27" s="321">
        <f>SUM(F27:F28)</f>
        <v/>
      </c>
      <c r="AP27" s="322">
        <f>AP29</f>
        <v/>
      </c>
      <c r="AQ27" s="717">
        <f>AQ29</f>
        <v/>
      </c>
      <c r="AR27" s="706" t="inlineStr"/>
      <c r="AS27" s="706" t="inlineStr"/>
      <c r="AT27" s="706" t="inlineStr"/>
      <c r="AU27" s="706" t="inlineStr"/>
      <c r="AV27" s="706" t="inlineStr"/>
      <c r="AW27" s="706" t="inlineStr"/>
      <c r="AX27" s="706" t="inlineStr"/>
      <c r="AY27" s="706" t="inlineStr"/>
      <c r="AZ27" s="706" t="inlineStr"/>
      <c r="BA27" s="706" t="inlineStr"/>
      <c r="BB27" s="706" t="inlineStr"/>
      <c r="BC27" s="706" t="inlineStr"/>
      <c r="BD27" s="706" t="inlineStr"/>
      <c r="BE27" s="706" t="inlineStr"/>
      <c r="BF27" s="706" t="inlineStr"/>
      <c r="BG27" s="706" t="inlineStr"/>
      <c r="BH27" s="706" t="inlineStr"/>
      <c r="BI27" s="706" t="inlineStr"/>
      <c r="BJ27" s="706" t="inlineStr"/>
      <c r="BK27" s="706" t="inlineStr"/>
      <c r="BL27" s="706" t="inlineStr"/>
      <c r="BM27" s="706" t="inlineStr"/>
      <c r="BN27" s="706" t="inlineStr"/>
      <c r="BO27" s="706" t="inlineStr"/>
      <c r="BP27" s="706" t="inlineStr"/>
      <c r="BQ27" s="706" t="inlineStr"/>
    </row>
    <row r="28" outlineLevel="1" ht="14.25" customFormat="1" customHeight="1" s="483">
      <c r="A28" s="513" t="n"/>
      <c r="B28" s="707" t="inlineStr">
        <is>
          <t>理财师010</t>
        </is>
      </c>
      <c r="C28" s="707" t="inlineStr">
        <is>
          <t>私人财富管理资深顾问PWA2-4</t>
        </is>
      </c>
      <c r="D28" s="676" t="n">
        <v>46204</v>
      </c>
      <c r="E28" s="676" t="n">
        <v>46387</v>
      </c>
      <c r="F28" s="707" t="n">
        <v>11764.72</v>
      </c>
      <c r="G28" s="707" t="n">
        <v>3267.485628</v>
      </c>
      <c r="H28" s="707" t="n">
        <v>0</v>
      </c>
      <c r="I28" s="707" t="n">
        <v>0</v>
      </c>
      <c r="J28" s="707" t="n">
        <v>0</v>
      </c>
      <c r="K28" s="707">
        <f>SUM(H28:J28)</f>
        <v/>
      </c>
      <c r="L28" s="707" t="n">
        <v>305.355336</v>
      </c>
      <c r="M28" s="707" t="n">
        <v>2729.2122</v>
      </c>
      <c r="N28" s="707" t="n">
        <v>232.918092</v>
      </c>
      <c r="O28" s="707">
        <f>SUM(L28:N28)</f>
        <v/>
      </c>
      <c r="P28" s="707" t="n">
        <v>520.393558</v>
      </c>
      <c r="Q28" s="707" t="n">
        <v>1637.52732</v>
      </c>
      <c r="R28" s="707" t="n">
        <v>284.729185</v>
      </c>
      <c r="S28" s="707">
        <f>SUM(P28:R28)</f>
        <v/>
      </c>
      <c r="T28" s="707" t="n">
        <v>994.77807</v>
      </c>
      <c r="U28" s="707" t="n">
        <v>0</v>
      </c>
      <c r="V28" s="707" t="n">
        <v>185.511372</v>
      </c>
      <c r="W28" s="707">
        <f>SUM(T28:V28)</f>
        <v/>
      </c>
      <c r="X28" s="707" t="n">
        <v>949.2912</v>
      </c>
      <c r="Y28" s="707" t="n">
        <v>0</v>
      </c>
      <c r="Z28" s="707" t="n">
        <v>144.291309</v>
      </c>
      <c r="AA28" s="707">
        <f>SUM(X28:Z28)</f>
        <v/>
      </c>
      <c r="AB28" s="707" t="n">
        <v>2158.292651</v>
      </c>
      <c r="AC28" s="707" t="n">
        <v>8187.6366</v>
      </c>
      <c r="AD28" s="707" t="n">
        <v>194.447373</v>
      </c>
      <c r="AE28" s="707">
        <f>SUM(AB28:AD28)</f>
        <v/>
      </c>
      <c r="AF28" s="707" t="n">
        <v>474.6456</v>
      </c>
      <c r="AG28" s="707" t="n">
        <v>0</v>
      </c>
      <c r="AH28" s="707" t="n">
        <v>122.035472</v>
      </c>
      <c r="AI28" s="707">
        <f>SUM(AF28:AH28)</f>
        <v/>
      </c>
      <c r="AJ28" s="707" t="n">
        <v>1144.784607</v>
      </c>
      <c r="AK28" s="714">
        <f>SUM(K28+O28+S28+W28+AA28+AE28+AI28+AJ28)</f>
        <v/>
      </c>
      <c r="AL28" s="326">
        <f>IF(F28=0,"",K28/(F28/((YEAR(E28)*12+MONTH(E28))-(YEAR(D28)*12+MONTH(D28))+1)))</f>
        <v/>
      </c>
      <c r="AM28" s="326">
        <f>G28/F28</f>
        <v/>
      </c>
      <c r="AN28" s="714">
        <f>F28-G28</f>
        <v/>
      </c>
      <c r="AO28" s="513" t="n"/>
      <c r="AP28" s="513" t="n"/>
      <c r="AQ28" s="513" t="n"/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  <c r="BN28" s="706" t="inlineStr"/>
      <c r="BO28" s="706" t="inlineStr"/>
      <c r="BP28" s="706" t="inlineStr"/>
      <c r="BQ28" s="706" t="inlineStr"/>
    </row>
    <row r="29" outlineLevel="1" ht="14.25" customFormat="1" customHeight="1" s="483">
      <c r="A29" s="710" t="inlineStr">
        <is>
          <t>合计</t>
        </is>
      </c>
      <c r="B29" s="518" t="n"/>
      <c r="C29" s="518" t="n"/>
      <c r="D29" s="518" t="n"/>
      <c r="E29" s="578" t="n"/>
      <c r="F29" s="333">
        <f>SUM(F27:F28)</f>
        <v/>
      </c>
      <c r="G29" s="710">
        <f>SUM(G27:G28)</f>
        <v/>
      </c>
      <c r="H29" s="710">
        <f>SUM(H27:H28)</f>
        <v/>
      </c>
      <c r="I29" s="710">
        <f>SUM(I27:I28)</f>
        <v/>
      </c>
      <c r="J29" s="710">
        <f>SUM(J27:J28)</f>
        <v/>
      </c>
      <c r="K29" s="710">
        <f>SUM(K27:K28)</f>
        <v/>
      </c>
      <c r="L29" s="710">
        <f>SUM(L27:L28)</f>
        <v/>
      </c>
      <c r="M29" s="710">
        <f>SUM(M27:M28)</f>
        <v/>
      </c>
      <c r="N29" s="710">
        <f>SUM(N27:N28)</f>
        <v/>
      </c>
      <c r="O29" s="710">
        <f>SUM(O27:O28)</f>
        <v/>
      </c>
      <c r="P29" s="710">
        <f>SUM(P27:P28)</f>
        <v/>
      </c>
      <c r="Q29" s="710">
        <f>SUM(Q27:Q28)</f>
        <v/>
      </c>
      <c r="R29" s="710">
        <f>SUM(R27:R28)</f>
        <v/>
      </c>
      <c r="S29" s="710">
        <f>SUM(S27:S28)</f>
        <v/>
      </c>
      <c r="T29" s="710">
        <f>SUM(T27:T28)</f>
        <v/>
      </c>
      <c r="U29" s="710">
        <f>SUM(U27:U28)</f>
        <v/>
      </c>
      <c r="V29" s="710">
        <f>SUM(V27:V28)</f>
        <v/>
      </c>
      <c r="W29" s="710">
        <f>SUM(W27:W28)</f>
        <v/>
      </c>
      <c r="X29" s="710">
        <f>SUM(X27:X28)</f>
        <v/>
      </c>
      <c r="Y29" s="710">
        <f>SUM(Y27:Y28)</f>
        <v/>
      </c>
      <c r="Z29" s="710">
        <f>SUM(Z27:Z28)</f>
        <v/>
      </c>
      <c r="AA29" s="710">
        <f>SUM(AA27:AA28)</f>
        <v/>
      </c>
      <c r="AB29" s="710">
        <f>SUM(AB27:AB28)</f>
        <v/>
      </c>
      <c r="AC29" s="710">
        <f>SUM(AC27:AC28)</f>
        <v/>
      </c>
      <c r="AD29" s="710">
        <f>SUM(AD27:AD28)</f>
        <v/>
      </c>
      <c r="AE29" s="710">
        <f>SUM(AE27:AE28)</f>
        <v/>
      </c>
      <c r="AF29" s="710">
        <f>SUM(AF27:AF28)</f>
        <v/>
      </c>
      <c r="AG29" s="710">
        <f>SUM(AG27:AG28)</f>
        <v/>
      </c>
      <c r="AH29" s="710">
        <f>SUM(AH27:AH28)</f>
        <v/>
      </c>
      <c r="AI29" s="710">
        <f>SUM(AI27:AI28)</f>
        <v/>
      </c>
      <c r="AJ29" s="710">
        <f>SUM(AJ27:AJ28)</f>
        <v/>
      </c>
      <c r="AK29" s="333">
        <f>SUM(K29+O29+S29+W29+AA29+AE29+AI29+AJ29)</f>
        <v/>
      </c>
      <c r="AL29" s="335">
        <f>IF(F29=0,"",K29/(F29/((YEAR(E27)*12+MONTH(E27))-(YEAR(D27)*12+MONTH(D27))+1)))</f>
        <v/>
      </c>
      <c r="AM29" s="336">
        <f>G29/F29</f>
        <v/>
      </c>
      <c r="AN29" s="715">
        <f>F29-G29</f>
        <v/>
      </c>
      <c r="AO29" s="337">
        <f>AO27</f>
        <v/>
      </c>
      <c r="AP29" s="335">
        <f>AK29/AO27</f>
        <v/>
      </c>
      <c r="AQ29" s="712">
        <f>AO27-AK29</f>
        <v/>
      </c>
      <c r="AR29" s="713" t="inlineStr"/>
      <c r="AS29" s="713" t="inlineStr"/>
      <c r="AT29" s="713" t="inlineStr"/>
      <c r="AU29" s="713" t="inlineStr"/>
      <c r="AV29" s="713" t="inlineStr"/>
      <c r="AW29" s="713" t="inlineStr"/>
      <c r="AX29" s="713" t="inlineStr"/>
      <c r="AY29" s="713" t="inlineStr"/>
      <c r="AZ29" s="713" t="inlineStr"/>
      <c r="BA29" s="713" t="inlineStr"/>
      <c r="BB29" s="713" t="inlineStr"/>
      <c r="BC29" s="713" t="inlineStr"/>
      <c r="BD29" s="713" t="inlineStr"/>
      <c r="BE29" s="713" t="inlineStr"/>
      <c r="BF29" s="713" t="inlineStr"/>
      <c r="BG29" s="713" t="inlineStr"/>
      <c r="BH29" s="713" t="inlineStr"/>
      <c r="BI29" s="713" t="inlineStr"/>
      <c r="BJ29" s="713" t="inlineStr"/>
      <c r="BK29" s="713" t="inlineStr"/>
      <c r="BL29" s="713" t="inlineStr"/>
      <c r="BM29" s="713" t="inlineStr"/>
      <c r="BN29" s="713" t="inlineStr"/>
      <c r="BO29" s="713" t="inlineStr"/>
      <c r="BP29" s="713" t="inlineStr"/>
      <c r="BQ29" s="713" t="inlineStr"/>
    </row>
    <row r="30" outlineLevel="1" ht="14.25" customFormat="1" customHeight="1" s="483">
      <c r="A30" s="703" t="inlineStr">
        <is>
          <t>理财师020</t>
        </is>
      </c>
      <c r="B30" s="703" t="inlineStr">
        <is>
          <t>理财师032</t>
        </is>
      </c>
      <c r="C30" s="703" t="inlineStr">
        <is>
          <t>C3</t>
        </is>
      </c>
      <c r="D30" s="693" t="n">
        <v>46049</v>
      </c>
      <c r="E30" s="693" t="n">
        <v>46229</v>
      </c>
      <c r="F30" s="703" t="n">
        <v>7912.17</v>
      </c>
      <c r="G30" s="703" t="n">
        <v>9302.584618999999</v>
      </c>
      <c r="H30" s="703" t="n">
        <v>0</v>
      </c>
      <c r="I30" s="703" t="n">
        <v>0</v>
      </c>
      <c r="J30" s="703" t="n">
        <v>0</v>
      </c>
      <c r="K30" s="703">
        <f>SUM(H30:J30)</f>
        <v/>
      </c>
      <c r="L30" s="703" t="n">
        <v>1878.958678</v>
      </c>
      <c r="M30" s="703" t="n">
        <v>0</v>
      </c>
      <c r="N30" s="703" t="n">
        <v>168.696368</v>
      </c>
      <c r="O30" s="703">
        <f>SUM(L30:N30)</f>
        <v/>
      </c>
      <c r="P30" s="703" t="n">
        <v>2009.44</v>
      </c>
      <c r="Q30" s="703" t="n">
        <v>646.53732</v>
      </c>
      <c r="R30" s="703" t="n">
        <v>145.435162</v>
      </c>
      <c r="S30" s="703">
        <f>SUM(P30:R30)</f>
        <v/>
      </c>
      <c r="T30" s="703" t="n">
        <v>1610.465688</v>
      </c>
      <c r="U30" s="703" t="n">
        <v>110.192882</v>
      </c>
      <c r="V30" s="703" t="n">
        <v>40.927608</v>
      </c>
      <c r="W30" s="703">
        <f>SUM(T30:V30)</f>
        <v/>
      </c>
      <c r="X30" s="703" t="n">
        <v>1602.628872</v>
      </c>
      <c r="Y30" s="703" t="n">
        <v>0</v>
      </c>
      <c r="Z30" s="703" t="n">
        <v>47.95381</v>
      </c>
      <c r="AA30" s="703">
        <f>SUM(X30:Z30)</f>
        <v/>
      </c>
      <c r="AB30" s="703" t="n">
        <v>0</v>
      </c>
      <c r="AC30" s="703" t="n">
        <v>342.296351</v>
      </c>
      <c r="AD30" s="703" t="n">
        <v>116.811754</v>
      </c>
      <c r="AE30" s="703">
        <f>SUM(AB30:AD30)</f>
        <v/>
      </c>
      <c r="AF30" s="703" t="n">
        <v>440.8209</v>
      </c>
      <c r="AG30" s="703" t="n">
        <v>0</v>
      </c>
      <c r="AH30" s="703" t="n">
        <v>32.909035</v>
      </c>
      <c r="AI30" s="703">
        <f>SUM(AF30:AH30)</f>
        <v/>
      </c>
      <c r="AJ30" s="703" t="n">
        <v>1319.585129</v>
      </c>
      <c r="AK30" s="318">
        <f>SUM(K30+O30+S30+W30+AA30+AE30+AI30+AJ30)</f>
        <v/>
      </c>
      <c r="AL30" s="319">
        <f>IF(F30=0,"",K30/(F30/((YEAR(E30)*12+MONTH(E30))-(YEAR(D30)*12+MONTH(D30))+1)))</f>
        <v/>
      </c>
      <c r="AM30" s="319">
        <f>G30/F30</f>
        <v/>
      </c>
      <c r="AN30" s="704">
        <f>F30-G30</f>
        <v/>
      </c>
      <c r="AO30" s="321">
        <f>SUM(F30:F31)</f>
        <v/>
      </c>
      <c r="AP30" s="322">
        <f>AP32</f>
        <v/>
      </c>
      <c r="AQ30" s="717">
        <f>AQ32</f>
        <v/>
      </c>
      <c r="AR30" s="706" t="inlineStr"/>
      <c r="AS30" s="706" t="inlineStr"/>
      <c r="AT30" s="706" t="inlineStr"/>
      <c r="AU30" s="706" t="inlineStr"/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  <c r="BN30" s="706" t="inlineStr"/>
      <c r="BO30" s="706" t="inlineStr"/>
      <c r="BP30" s="706" t="inlineStr"/>
      <c r="BQ30" s="706" t="inlineStr"/>
    </row>
    <row r="31" outlineLevel="1" ht="14.25" customFormat="1" customHeight="1" s="483">
      <c r="A31" s="513" t="n"/>
      <c r="B31" s="707" t="inlineStr">
        <is>
          <t>理财师020</t>
        </is>
      </c>
      <c r="C31" s="707" t="inlineStr">
        <is>
          <t>首席私人财富管理专家PWA5-1</t>
        </is>
      </c>
      <c r="D31" s="676" t="n">
        <v>46204</v>
      </c>
      <c r="E31" s="676" t="n">
        <v>46387</v>
      </c>
      <c r="F31" s="707" t="n">
        <v>42178.5</v>
      </c>
      <c r="G31" s="707" t="n">
        <v>4748.079285</v>
      </c>
      <c r="H31" s="707" t="n">
        <v>0</v>
      </c>
      <c r="I31" s="707" t="n">
        <v>0</v>
      </c>
      <c r="J31" s="707" t="n">
        <v>0</v>
      </c>
      <c r="K31" s="707">
        <f>SUM(H31:J31)</f>
        <v/>
      </c>
      <c r="L31" s="707" t="n">
        <v>1888.180808</v>
      </c>
      <c r="M31" s="707" t="n">
        <v>2400.703812</v>
      </c>
      <c r="N31" s="707" t="n">
        <v>459.194666</v>
      </c>
      <c r="O31" s="707">
        <f>SUM(L31:N31)</f>
        <v/>
      </c>
      <c r="P31" s="707" t="n">
        <v>7288.783433</v>
      </c>
      <c r="Q31" s="707" t="n">
        <v>601.58592</v>
      </c>
      <c r="R31" s="707" t="n">
        <v>605.597413</v>
      </c>
      <c r="S31" s="707">
        <f>SUM(P31:R31)</f>
        <v/>
      </c>
      <c r="T31" s="707" t="n">
        <v>8333.122670999999</v>
      </c>
      <c r="U31" s="707" t="n">
        <v>0</v>
      </c>
      <c r="V31" s="707" t="n">
        <v>367.634218</v>
      </c>
      <c r="W31" s="707">
        <f>SUM(T31:V31)</f>
        <v/>
      </c>
      <c r="X31" s="707" t="n">
        <v>1259.210798</v>
      </c>
      <c r="Y31" s="707" t="n">
        <v>3101.9274</v>
      </c>
      <c r="Z31" s="707" t="n">
        <v>318.667286</v>
      </c>
      <c r="AA31" s="707">
        <f>SUM(X31:Z31)</f>
        <v/>
      </c>
      <c r="AB31" s="707" t="n">
        <v>10803.329409</v>
      </c>
      <c r="AC31" s="707" t="n">
        <v>0</v>
      </c>
      <c r="AD31" s="707" t="n">
        <v>396.373158</v>
      </c>
      <c r="AE31" s="707">
        <f>SUM(AB31:AD31)</f>
        <v/>
      </c>
      <c r="AF31" s="707" t="n">
        <v>6594.535422</v>
      </c>
      <c r="AG31" s="707" t="n">
        <v>0</v>
      </c>
      <c r="AH31" s="707" t="n">
        <v>271.914403</v>
      </c>
      <c r="AI31" s="707">
        <f>SUM(AF31:AH31)</f>
        <v/>
      </c>
      <c r="AJ31" s="707" t="n">
        <v>9115.509121999999</v>
      </c>
      <c r="AK31" s="271">
        <f>SUM(K31+O31+S31+W31+AA31+AE31+AI31+AJ31)</f>
        <v/>
      </c>
      <c r="AL31" s="326">
        <f>IF(F31=0,"",K31/(F31/((YEAR(E31)*12+MONTH(E31))-(YEAR(D31)*12+MONTH(D31))+1)))</f>
        <v/>
      </c>
      <c r="AM31" s="326">
        <f>G31/F31</f>
        <v/>
      </c>
      <c r="AN31" s="708">
        <f>F31-G31</f>
        <v/>
      </c>
      <c r="AO31" s="513" t="n"/>
      <c r="AP31" s="513" t="n"/>
      <c r="AQ31" s="513" t="n"/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  <c r="BN31" s="706" t="inlineStr"/>
      <c r="BO31" s="706" t="inlineStr"/>
      <c r="BP31" s="706" t="inlineStr"/>
      <c r="BQ31" s="706" t="inlineStr"/>
    </row>
    <row r="32" outlineLevel="1" ht="14.25" customFormat="1" customHeight="1" s="483">
      <c r="A32" s="710" t="inlineStr">
        <is>
          <t>合计</t>
        </is>
      </c>
      <c r="B32" s="518" t="n"/>
      <c r="C32" s="518" t="n"/>
      <c r="D32" s="518" t="n"/>
      <c r="E32" s="578" t="n"/>
      <c r="F32" s="333">
        <f>SUM(F30:F31)</f>
        <v/>
      </c>
      <c r="G32" s="710">
        <f>SUM(G30:G31)</f>
        <v/>
      </c>
      <c r="H32" s="710">
        <f>SUM(H30:H31)</f>
        <v/>
      </c>
      <c r="I32" s="710">
        <f>SUM(I30:I31)</f>
        <v/>
      </c>
      <c r="J32" s="710">
        <f>SUM(J30:J31)</f>
        <v/>
      </c>
      <c r="K32" s="710">
        <f>SUM(K30:K31)</f>
        <v/>
      </c>
      <c r="L32" s="710">
        <f>SUM(L30:L31)</f>
        <v/>
      </c>
      <c r="M32" s="710">
        <f>SUM(M30:M31)</f>
        <v/>
      </c>
      <c r="N32" s="710">
        <f>SUM(N30:N31)</f>
        <v/>
      </c>
      <c r="O32" s="710">
        <f>SUM(O30:O31)</f>
        <v/>
      </c>
      <c r="P32" s="710">
        <f>SUM(P30:P31)</f>
        <v/>
      </c>
      <c r="Q32" s="710">
        <f>SUM(Q30:Q31)</f>
        <v/>
      </c>
      <c r="R32" s="710">
        <f>SUM(R30:R31)</f>
        <v/>
      </c>
      <c r="S32" s="710">
        <f>SUM(S30:S31)</f>
        <v/>
      </c>
      <c r="T32" s="710">
        <f>SUM(T30:T31)</f>
        <v/>
      </c>
      <c r="U32" s="710">
        <f>SUM(U30:U31)</f>
        <v/>
      </c>
      <c r="V32" s="710">
        <f>SUM(V30:V31)</f>
        <v/>
      </c>
      <c r="W32" s="710">
        <f>SUM(W30:W31)</f>
        <v/>
      </c>
      <c r="X32" s="710">
        <f>SUM(X30:X31)</f>
        <v/>
      </c>
      <c r="Y32" s="710">
        <f>SUM(Y30:Y31)</f>
        <v/>
      </c>
      <c r="Z32" s="710">
        <f>SUM(Z30:Z31)</f>
        <v/>
      </c>
      <c r="AA32" s="710">
        <f>SUM(AA30:AA31)</f>
        <v/>
      </c>
      <c r="AB32" s="710">
        <f>SUM(AB30:AB31)</f>
        <v/>
      </c>
      <c r="AC32" s="710">
        <f>SUM(AC30:AC31)</f>
        <v/>
      </c>
      <c r="AD32" s="710">
        <f>SUM(AD30:AD31)</f>
        <v/>
      </c>
      <c r="AE32" s="710">
        <f>SUM(AE30:AE31)</f>
        <v/>
      </c>
      <c r="AF32" s="710">
        <f>SUM(AF30:AF31)</f>
        <v/>
      </c>
      <c r="AG32" s="710">
        <f>SUM(AG30:AG31)</f>
        <v/>
      </c>
      <c r="AH32" s="710">
        <f>SUM(AH30:AH31)</f>
        <v/>
      </c>
      <c r="AI32" s="710">
        <f>SUM(AI30:AI31)</f>
        <v/>
      </c>
      <c r="AJ32" s="710">
        <f>SUM(AJ30:AJ31)</f>
        <v/>
      </c>
      <c r="AK32" s="711">
        <f>SUM(K32+O32+S32+W32+AA32+AE32+AI32+AJ32)</f>
        <v/>
      </c>
      <c r="AL32" s="335">
        <f>IF(F32=0,"",K32/(F32/((YEAR(E30)*12+MONTH(E30))-(YEAR(D30)*12+MONTH(D30))+1)))</f>
        <v/>
      </c>
      <c r="AM32" s="336">
        <f>G32/F32</f>
        <v/>
      </c>
      <c r="AN32" s="711">
        <f>F32-G32</f>
        <v/>
      </c>
      <c r="AO32" s="337">
        <f>AO30</f>
        <v/>
      </c>
      <c r="AP32" s="335">
        <f>AK32/AO30</f>
        <v/>
      </c>
      <c r="AQ32" s="712">
        <f>AO30-AK32</f>
        <v/>
      </c>
      <c r="AR32" s="713" t="inlineStr"/>
      <c r="AS32" s="713" t="inlineStr"/>
      <c r="AT32" s="713" t="inlineStr"/>
      <c r="AU32" s="713" t="inlineStr"/>
      <c r="AV32" s="713" t="inlineStr"/>
      <c r="AW32" s="713" t="inlineStr"/>
      <c r="AX32" s="713" t="inlineStr"/>
      <c r="AY32" s="713" t="inlineStr"/>
      <c r="AZ32" s="713" t="inlineStr"/>
      <c r="BA32" s="713" t="inlineStr"/>
      <c r="BB32" s="713" t="inlineStr"/>
      <c r="BC32" s="713" t="inlineStr"/>
      <c r="BD32" s="713" t="inlineStr"/>
      <c r="BE32" s="713" t="inlineStr"/>
      <c r="BF32" s="713" t="inlineStr"/>
      <c r="BG32" s="713" t="inlineStr"/>
      <c r="BH32" s="713" t="inlineStr"/>
      <c r="BI32" s="713" t="inlineStr"/>
      <c r="BJ32" s="713" t="inlineStr"/>
      <c r="BK32" s="713" t="inlineStr"/>
      <c r="BL32" s="713" t="inlineStr"/>
      <c r="BM32" s="713" t="inlineStr"/>
      <c r="BN32" s="713" t="inlineStr"/>
      <c r="BO32" s="713" t="inlineStr"/>
      <c r="BP32" s="713" t="inlineStr"/>
      <c r="BQ32" s="713" t="inlineStr"/>
    </row>
    <row r="33" outlineLevel="1" ht="14.25" customFormat="1" customHeight="1" s="483">
      <c r="A33" s="703" t="inlineStr">
        <is>
          <t>理财师005</t>
        </is>
      </c>
      <c r="B33" s="703" t="inlineStr">
        <is>
          <t>理财师030</t>
        </is>
      </c>
      <c r="C33" s="703" t="inlineStr">
        <is>
          <t>私人财富管理顾问PWA1-1</t>
        </is>
      </c>
      <c r="D33" s="693" t="n">
        <v>46195</v>
      </c>
      <c r="E33" s="693" t="n">
        <v>46377</v>
      </c>
      <c r="F33" s="703" t="n">
        <v>7461.34</v>
      </c>
      <c r="G33" s="703" t="n">
        <v>263.795141</v>
      </c>
      <c r="H33" s="703" t="n">
        <v>0</v>
      </c>
      <c r="I33" s="703" t="n">
        <v>0</v>
      </c>
      <c r="J33" s="703" t="n">
        <v>0</v>
      </c>
      <c r="K33" s="703">
        <f>SUM(H33:J33)</f>
        <v/>
      </c>
      <c r="L33" s="703" t="n">
        <v>0</v>
      </c>
      <c r="M33" s="703" t="n">
        <v>0</v>
      </c>
      <c r="N33" s="703" t="n">
        <v>15.372437</v>
      </c>
      <c r="O33" s="703">
        <f>SUM(L33:N33)</f>
        <v/>
      </c>
      <c r="P33" s="703" t="n">
        <v>247.0689</v>
      </c>
      <c r="Q33" s="703" t="n">
        <v>0</v>
      </c>
      <c r="R33" s="703" t="n">
        <v>1.353804</v>
      </c>
      <c r="S33" s="703">
        <f>SUM(P33:R33)</f>
        <v/>
      </c>
      <c r="T33" s="703" t="n">
        <v>0</v>
      </c>
      <c r="U33" s="703" t="n">
        <v>0</v>
      </c>
      <c r="V33" s="703" t="n">
        <v>0</v>
      </c>
      <c r="W33" s="703">
        <f>SUM(T33:V33)</f>
        <v/>
      </c>
      <c r="X33" s="703" t="n">
        <v>0</v>
      </c>
      <c r="Y33" s="703" t="n">
        <v>0</v>
      </c>
      <c r="Z33" s="703" t="n">
        <v>0</v>
      </c>
      <c r="AA33" s="703">
        <f>SUM(X33:Z33)</f>
        <v/>
      </c>
      <c r="AB33" s="703" t="n">
        <v>0</v>
      </c>
      <c r="AC33" s="703" t="n">
        <v>0</v>
      </c>
      <c r="AD33" s="703" t="n">
        <v>0</v>
      </c>
      <c r="AE33" s="703">
        <f>SUM(AB33:AD33)</f>
        <v/>
      </c>
      <c r="AF33" s="703" t="n">
        <v>0</v>
      </c>
      <c r="AG33" s="703" t="n">
        <v>0</v>
      </c>
      <c r="AH33" s="703" t="n">
        <v>0</v>
      </c>
      <c r="AI33" s="703">
        <f>SUM(AF33:AH33)</f>
        <v/>
      </c>
      <c r="AJ33" s="703" t="n">
        <v>0</v>
      </c>
      <c r="AK33" s="318">
        <f>SUM(K33+O33+S33+W33+AA33+AE33+AI33+AJ33)</f>
        <v/>
      </c>
      <c r="AL33" s="319">
        <f>IF(F33=0,"",K33/(F33/((YEAR(E33)*12+MONTH(E33))-(YEAR(D33)*12+MONTH(D33))+1)))</f>
        <v/>
      </c>
      <c r="AM33" s="319">
        <f>G33/F33</f>
        <v/>
      </c>
      <c r="AN33" s="704">
        <f>F33-G33</f>
        <v/>
      </c>
      <c r="AO33" s="321">
        <f>SUM(F33:F35)</f>
        <v/>
      </c>
      <c r="AP33" s="322">
        <f>AP36</f>
        <v/>
      </c>
      <c r="AQ33" s="717">
        <f>AQ36</f>
        <v/>
      </c>
      <c r="AR33" s="706" t="inlineStr"/>
      <c r="AS33" s="706" t="inlineStr"/>
      <c r="AT33" s="706" t="inlineStr"/>
      <c r="AU33" s="706" t="inlineStr"/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  <c r="BN33" s="706" t="inlineStr"/>
      <c r="BO33" s="706" t="inlineStr"/>
      <c r="BP33" s="706" t="inlineStr"/>
      <c r="BQ33" s="706" t="inlineStr"/>
    </row>
    <row r="34" outlineLevel="1" ht="14.25" customFormat="1" customHeight="1" s="483">
      <c r="A34" s="500" t="n"/>
      <c r="B34" s="707" t="inlineStr">
        <is>
          <t>理财师026</t>
        </is>
      </c>
      <c r="C34" s="707" t="inlineStr">
        <is>
          <t>观察期PWA0-1</t>
        </is>
      </c>
      <c r="D34" s="676" t="n">
        <v>46113</v>
      </c>
      <c r="E34" s="676" t="n">
        <v>46203</v>
      </c>
      <c r="F34" s="707" t="n">
        <v>1943.13</v>
      </c>
      <c r="G34" s="707" t="n">
        <v>465.481988</v>
      </c>
      <c r="H34" s="707" t="n">
        <v>0</v>
      </c>
      <c r="I34" s="707" t="n">
        <v>0</v>
      </c>
      <c r="J34" s="707" t="n">
        <v>0</v>
      </c>
      <c r="K34" s="707">
        <f>SUM(H34:J34)</f>
        <v/>
      </c>
      <c r="L34" s="707" t="n">
        <v>0</v>
      </c>
      <c r="M34" s="707" t="n">
        <v>0</v>
      </c>
      <c r="N34" s="707" t="n">
        <v>18.717729</v>
      </c>
      <c r="O34" s="707">
        <f>SUM(L34:N34)</f>
        <v/>
      </c>
      <c r="P34" s="707" t="n">
        <v>288.6936</v>
      </c>
      <c r="Q34" s="707" t="n">
        <v>0</v>
      </c>
      <c r="R34" s="707" t="n">
        <v>29.573753</v>
      </c>
      <c r="S34" s="707">
        <f>SUM(P34:R34)</f>
        <v/>
      </c>
      <c r="T34" s="707" t="n">
        <v>114.611359</v>
      </c>
      <c r="U34" s="707" t="n">
        <v>0</v>
      </c>
      <c r="V34" s="707" t="n">
        <v>18.055825</v>
      </c>
      <c r="W34" s="707">
        <f>SUM(T34:V34)</f>
        <v/>
      </c>
      <c r="X34" s="707" t="n">
        <v>0</v>
      </c>
      <c r="Y34" s="707" t="n">
        <v>0</v>
      </c>
      <c r="Z34" s="707" t="n">
        <v>14.547451</v>
      </c>
      <c r="AA34" s="707">
        <f>SUM(X34:Z34)</f>
        <v/>
      </c>
      <c r="AB34" s="707" t="n">
        <v>809.929895</v>
      </c>
      <c r="AC34" s="707" t="n">
        <v>0</v>
      </c>
      <c r="AD34" s="707" t="n">
        <v>47.501776</v>
      </c>
      <c r="AE34" s="707">
        <f>SUM(AB34:AD34)</f>
        <v/>
      </c>
      <c r="AF34" s="707" t="n">
        <v>176.20858</v>
      </c>
      <c r="AG34" s="707" t="n">
        <v>0</v>
      </c>
      <c r="AH34" s="707" t="n">
        <v>11.404098</v>
      </c>
      <c r="AI34" s="707">
        <f>SUM(AF34:AH34)</f>
        <v/>
      </c>
      <c r="AJ34" s="707" t="n">
        <v>12.282809</v>
      </c>
      <c r="AK34" s="271">
        <f>SUM(K34+O34+S34+W34+AA34+AE34+AI34+AJ34)</f>
        <v/>
      </c>
      <c r="AL34" s="326">
        <f>IF(F34=0,"",K34/(F34/((YEAR(E34)*12+MONTH(E34))-(YEAR(D34)*12+MONTH(D34))+1)))</f>
        <v/>
      </c>
      <c r="AM34" s="326">
        <f>G34/F34</f>
        <v/>
      </c>
      <c r="AN34" s="708">
        <f>F34-G34</f>
        <v/>
      </c>
      <c r="AO34" s="500" t="n"/>
      <c r="AP34" s="500" t="n"/>
      <c r="AQ34" s="500" t="n"/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  <c r="BN34" s="706" t="inlineStr"/>
      <c r="BO34" s="706" t="inlineStr"/>
      <c r="BP34" s="706" t="inlineStr"/>
      <c r="BQ34" s="706" t="inlineStr"/>
    </row>
    <row r="35" outlineLevel="1" ht="14.25" customFormat="1" customHeight="1" s="483">
      <c r="A35" s="513" t="n"/>
      <c r="B35" s="707" t="inlineStr">
        <is>
          <t>理财师005</t>
        </is>
      </c>
      <c r="C35" s="707" t="inlineStr">
        <is>
          <t>私人财富管理资深顾问PWA2-5</t>
        </is>
      </c>
      <c r="D35" s="676" t="n">
        <v>46204</v>
      </c>
      <c r="E35" s="676" t="n">
        <v>46387</v>
      </c>
      <c r="F35" s="707" t="n">
        <v>13123.44</v>
      </c>
      <c r="G35" s="707" t="n">
        <v>1806.454594</v>
      </c>
      <c r="H35" s="707" t="n">
        <v>0</v>
      </c>
      <c r="I35" s="707" t="n">
        <v>0</v>
      </c>
      <c r="J35" s="707" t="n">
        <v>0</v>
      </c>
      <c r="K35" s="707">
        <f>SUM(H35:J35)</f>
        <v/>
      </c>
      <c r="L35" s="707" t="n">
        <v>1292.819304</v>
      </c>
      <c r="M35" s="707" t="n">
        <v>0</v>
      </c>
      <c r="N35" s="707" t="n">
        <v>513.6352900000001</v>
      </c>
      <c r="O35" s="707">
        <f>SUM(L35:N35)</f>
        <v/>
      </c>
      <c r="P35" s="707" t="n">
        <v>3750.483593</v>
      </c>
      <c r="Q35" s="707" t="n">
        <v>0</v>
      </c>
      <c r="R35" s="707" t="n">
        <v>577.821105</v>
      </c>
      <c r="S35" s="707">
        <f>SUM(P35:R35)</f>
        <v/>
      </c>
      <c r="T35" s="707" t="n">
        <v>907.591957</v>
      </c>
      <c r="U35" s="707" t="n">
        <v>0</v>
      </c>
      <c r="V35" s="707" t="n">
        <v>364.243787</v>
      </c>
      <c r="W35" s="707">
        <f>SUM(T35:V35)</f>
        <v/>
      </c>
      <c r="X35" s="707" t="n">
        <v>1870.349984</v>
      </c>
      <c r="Y35" s="707" t="n">
        <v>2312.474666</v>
      </c>
      <c r="Z35" s="707" t="n">
        <v>319.48223</v>
      </c>
      <c r="AA35" s="707">
        <f>SUM(X35:Z35)</f>
        <v/>
      </c>
      <c r="AB35" s="707" t="n">
        <v>731.292658</v>
      </c>
      <c r="AC35" s="707" t="n">
        <v>1925.150771</v>
      </c>
      <c r="AD35" s="707" t="n">
        <v>383.775324</v>
      </c>
      <c r="AE35" s="707">
        <f>SUM(AB35:AD35)</f>
        <v/>
      </c>
      <c r="AF35" s="707" t="n">
        <v>1738.204897</v>
      </c>
      <c r="AG35" s="707" t="n">
        <v>0</v>
      </c>
      <c r="AH35" s="707" t="n">
        <v>284.706769</v>
      </c>
      <c r="AI35" s="707">
        <f>SUM(AF35:AH35)</f>
        <v/>
      </c>
      <c r="AJ35" s="707" t="n">
        <v>1538.392041</v>
      </c>
      <c r="AK35" s="714">
        <f>SUM(K35+O35+S35+W35+AA35+AE35+AI35+AJ35)</f>
        <v/>
      </c>
      <c r="AL35" s="326">
        <f>IF(F35=0,"",K35/(F35/((YEAR(E35)*12+MONTH(E35))-(YEAR(D35)*12+MONTH(D35))+1)))</f>
        <v/>
      </c>
      <c r="AM35" s="326">
        <f>G35/F35</f>
        <v/>
      </c>
      <c r="AN35" s="714">
        <f>F35-G35</f>
        <v/>
      </c>
      <c r="AO35" s="513" t="n"/>
      <c r="AP35" s="513" t="n"/>
      <c r="AQ35" s="513" t="n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  <c r="BN35" s="706" t="inlineStr"/>
      <c r="BO35" s="706" t="inlineStr"/>
      <c r="BP35" s="706" t="inlineStr"/>
      <c r="BQ35" s="706" t="inlineStr"/>
    </row>
    <row r="36" outlineLevel="1" ht="14.25" customFormat="1" customHeight="1" s="483">
      <c r="A36" s="710" t="inlineStr">
        <is>
          <t>合计</t>
        </is>
      </c>
      <c r="B36" s="518" t="n"/>
      <c r="C36" s="518" t="n"/>
      <c r="D36" s="518" t="n"/>
      <c r="E36" s="578" t="n"/>
      <c r="F36" s="333">
        <f>SUM(F33:F35)</f>
        <v/>
      </c>
      <c r="G36" s="710">
        <f>SUM(G33:G35)</f>
        <v/>
      </c>
      <c r="H36" s="710">
        <f>SUM(H33:H35)</f>
        <v/>
      </c>
      <c r="I36" s="710">
        <f>SUM(I33:I35)</f>
        <v/>
      </c>
      <c r="J36" s="710">
        <f>SUM(J33:J35)</f>
        <v/>
      </c>
      <c r="K36" s="710">
        <f>SUM(K33:K35)</f>
        <v/>
      </c>
      <c r="L36" s="710">
        <f>SUM(L33:L35)</f>
        <v/>
      </c>
      <c r="M36" s="710">
        <f>SUM(M33:M35)</f>
        <v/>
      </c>
      <c r="N36" s="710">
        <f>SUM(N33:N35)</f>
        <v/>
      </c>
      <c r="O36" s="710">
        <f>SUM(O33:O35)</f>
        <v/>
      </c>
      <c r="P36" s="710">
        <f>SUM(P33:P35)</f>
        <v/>
      </c>
      <c r="Q36" s="710">
        <f>SUM(Q33:Q35)</f>
        <v/>
      </c>
      <c r="R36" s="710">
        <f>SUM(R33:R35)</f>
        <v/>
      </c>
      <c r="S36" s="710">
        <f>SUM(S33:S35)</f>
        <v/>
      </c>
      <c r="T36" s="710">
        <f>SUM(T33:T35)</f>
        <v/>
      </c>
      <c r="U36" s="710">
        <f>SUM(U33:U35)</f>
        <v/>
      </c>
      <c r="V36" s="710">
        <f>SUM(V33:V35)</f>
        <v/>
      </c>
      <c r="W36" s="710">
        <f>SUM(W33:W35)</f>
        <v/>
      </c>
      <c r="X36" s="710">
        <f>SUM(X33:X35)</f>
        <v/>
      </c>
      <c r="Y36" s="710">
        <f>SUM(Y33:Y35)</f>
        <v/>
      </c>
      <c r="Z36" s="710">
        <f>SUM(Z33:Z35)</f>
        <v/>
      </c>
      <c r="AA36" s="710">
        <f>SUM(AA33:AA35)</f>
        <v/>
      </c>
      <c r="AB36" s="710">
        <f>SUM(AB33:AB35)</f>
        <v/>
      </c>
      <c r="AC36" s="710">
        <f>SUM(AC33:AC35)</f>
        <v/>
      </c>
      <c r="AD36" s="710">
        <f>SUM(AD33:AD35)</f>
        <v/>
      </c>
      <c r="AE36" s="710">
        <f>SUM(AE33:AE35)</f>
        <v/>
      </c>
      <c r="AF36" s="710">
        <f>SUM(AF33:AF35)</f>
        <v/>
      </c>
      <c r="AG36" s="710">
        <f>SUM(AG33:AG35)</f>
        <v/>
      </c>
      <c r="AH36" s="710">
        <f>SUM(AH33:AH35)</f>
        <v/>
      </c>
      <c r="AI36" s="710">
        <f>SUM(AI33:AI35)</f>
        <v/>
      </c>
      <c r="AJ36" s="710">
        <f>SUM(AJ33:AJ35)</f>
        <v/>
      </c>
      <c r="AK36" s="333">
        <f>SUM(K36+O36+S36+W36+AA36+AE36+AI36+AJ36)</f>
        <v/>
      </c>
      <c r="AL36" s="335">
        <f>IF(F36=0,"",K36/(F36/((YEAR(E33)*12+MONTH(E33))-(YEAR(D33)*12+MONTH(D33))+1)))</f>
        <v/>
      </c>
      <c r="AM36" s="336">
        <f>G36/F36</f>
        <v/>
      </c>
      <c r="AN36" s="715">
        <f>F36-G36</f>
        <v/>
      </c>
      <c r="AO36" s="337">
        <f>AO33</f>
        <v/>
      </c>
      <c r="AP36" s="335">
        <f>AK36/AO33</f>
        <v/>
      </c>
      <c r="AQ36" s="712">
        <f>AO33-AK36</f>
        <v/>
      </c>
      <c r="AR36" s="713" t="inlineStr"/>
      <c r="AS36" s="713" t="inlineStr"/>
      <c r="AT36" s="713" t="inlineStr"/>
      <c r="AU36" s="713" t="inlineStr"/>
      <c r="AV36" s="713" t="inlineStr"/>
      <c r="AW36" s="713" t="inlineStr"/>
      <c r="AX36" s="713" t="inlineStr"/>
      <c r="AY36" s="713" t="inlineStr"/>
      <c r="AZ36" s="713" t="inlineStr"/>
      <c r="BA36" s="713" t="inlineStr"/>
      <c r="BB36" s="713" t="inlineStr"/>
      <c r="BC36" s="713" t="inlineStr"/>
      <c r="BD36" s="713" t="inlineStr"/>
      <c r="BE36" s="713" t="inlineStr"/>
      <c r="BF36" s="713" t="inlineStr"/>
      <c r="BG36" s="713" t="inlineStr"/>
      <c r="BH36" s="713" t="inlineStr"/>
      <c r="BI36" s="713" t="inlineStr"/>
      <c r="BJ36" s="713" t="inlineStr"/>
      <c r="BK36" s="713" t="inlineStr"/>
      <c r="BL36" s="713" t="inlineStr"/>
      <c r="BM36" s="713" t="inlineStr"/>
      <c r="BN36" s="713" t="inlineStr"/>
      <c r="BO36" s="713" t="inlineStr"/>
      <c r="BP36" s="713" t="inlineStr"/>
      <c r="BQ36" s="713" t="inlineStr"/>
    </row>
    <row r="37" outlineLevel="1" ht="14.25" customFormat="1" customHeight="1" s="483">
      <c r="A37" s="703" t="inlineStr">
        <is>
          <t>理财师008</t>
        </is>
      </c>
      <c r="B37" s="703" t="inlineStr">
        <is>
          <t>理财师011</t>
        </is>
      </c>
      <c r="C37" s="703" t="inlineStr">
        <is>
          <t>私人财富管理顾问PWA1-2</t>
        </is>
      </c>
      <c r="D37" s="693" t="n">
        <v>46204</v>
      </c>
      <c r="E37" s="693" t="n">
        <v>46387</v>
      </c>
      <c r="F37" s="703" t="n">
        <v>3484.06</v>
      </c>
      <c r="G37" s="703" t="n">
        <v>408.740456</v>
      </c>
      <c r="H37" s="703" t="n">
        <v>0</v>
      </c>
      <c r="I37" s="703" t="n">
        <v>0</v>
      </c>
      <c r="J37" s="703" t="n">
        <v>0</v>
      </c>
      <c r="K37" s="703">
        <f>SUM(H37:J37)</f>
        <v/>
      </c>
      <c r="L37" s="703" t="n">
        <v>84.068866</v>
      </c>
      <c r="M37" s="703" t="n">
        <v>323.29674</v>
      </c>
      <c r="N37" s="703" t="n">
        <v>1.37485</v>
      </c>
      <c r="O37" s="703">
        <f>SUM(L37:N37)</f>
        <v/>
      </c>
      <c r="P37" s="703" t="n">
        <v>564.94934</v>
      </c>
      <c r="Q37" s="703" t="n">
        <v>0</v>
      </c>
      <c r="R37" s="703" t="n">
        <v>82.099047</v>
      </c>
      <c r="S37" s="703">
        <f>SUM(P37:R37)</f>
        <v/>
      </c>
      <c r="T37" s="703" t="n">
        <v>0</v>
      </c>
      <c r="U37" s="703" t="n">
        <v>3092.4036</v>
      </c>
      <c r="V37" s="703" t="n">
        <v>61.007408</v>
      </c>
      <c r="W37" s="703">
        <f>SUM(T37:V37)</f>
        <v/>
      </c>
      <c r="X37" s="703" t="n">
        <v>178.04748</v>
      </c>
      <c r="Y37" s="703" t="n">
        <v>0</v>
      </c>
      <c r="Z37" s="703" t="n">
        <v>32.11807</v>
      </c>
      <c r="AA37" s="703">
        <f>SUM(X37:Z37)</f>
        <v/>
      </c>
      <c r="AB37" s="703" t="n">
        <v>47.229437</v>
      </c>
      <c r="AC37" s="703" t="n">
        <v>0</v>
      </c>
      <c r="AD37" s="703" t="n">
        <v>24.120644</v>
      </c>
      <c r="AE37" s="703">
        <f>SUM(AB37:AD37)</f>
        <v/>
      </c>
      <c r="AF37" s="703" t="n">
        <v>524.574731</v>
      </c>
      <c r="AG37" s="703" t="n">
        <v>0</v>
      </c>
      <c r="AH37" s="703" t="n">
        <v>1.216481</v>
      </c>
      <c r="AI37" s="703">
        <f>SUM(AF37:AH37)</f>
        <v/>
      </c>
      <c r="AJ37" s="703" t="n">
        <v>0</v>
      </c>
      <c r="AK37" s="318">
        <f>SUM(K37+O37+S37+W37+AA37+AE37+AI37+AJ37)</f>
        <v/>
      </c>
      <c r="AL37" s="319">
        <f>IF(F37=0,"",K37/(F37/((YEAR(E37)*12+MONTH(E37))-(YEAR(D37)*12+MONTH(D37))+1)))</f>
        <v/>
      </c>
      <c r="AM37" s="319">
        <f>G37/F37</f>
        <v/>
      </c>
      <c r="AN37" s="704">
        <f>F37-G37</f>
        <v/>
      </c>
      <c r="AO37" s="321">
        <f>SUM(F37:F38)</f>
        <v/>
      </c>
      <c r="AP37" s="322">
        <f>AP39</f>
        <v/>
      </c>
      <c r="AQ37" s="717">
        <f>AQ39</f>
        <v/>
      </c>
      <c r="AR37" s="706" t="inlineStr"/>
      <c r="AS37" s="706" t="inlineStr"/>
      <c r="AT37" s="706" t="inlineStr"/>
      <c r="AU37" s="706" t="inlineStr"/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  <c r="BN37" s="706" t="inlineStr"/>
      <c r="BO37" s="706" t="inlineStr"/>
      <c r="BP37" s="706" t="inlineStr"/>
      <c r="BQ37" s="706" t="inlineStr"/>
    </row>
    <row r="38" outlineLevel="1" ht="14.25" customFormat="1" customHeight="1" s="483">
      <c r="A38" s="513" t="n"/>
      <c r="B38" s="707" t="inlineStr">
        <is>
          <t>理财师008</t>
        </is>
      </c>
      <c r="C38" s="707" t="inlineStr">
        <is>
          <t>私人财富管理专家PWA4-3</t>
        </is>
      </c>
      <c r="D38" s="676" t="n">
        <v>46204</v>
      </c>
      <c r="E38" s="676" t="n">
        <v>46387</v>
      </c>
      <c r="F38" s="707" t="n">
        <v>25727.57</v>
      </c>
      <c r="G38" s="707" t="n">
        <v>1774.926845</v>
      </c>
      <c r="H38" s="707" t="n">
        <v>0</v>
      </c>
      <c r="I38" s="707" t="n">
        <v>0</v>
      </c>
      <c r="J38" s="707" t="n">
        <v>0</v>
      </c>
      <c r="K38" s="707">
        <f>SUM(H38:J38)</f>
        <v/>
      </c>
      <c r="L38" s="707" t="n">
        <v>1531.095078</v>
      </c>
      <c r="M38" s="707" t="n">
        <v>0</v>
      </c>
      <c r="N38" s="707" t="n">
        <v>243.831766</v>
      </c>
      <c r="O38" s="707">
        <f>SUM(L38:N38)</f>
        <v/>
      </c>
      <c r="P38" s="707" t="n">
        <v>3874.376797</v>
      </c>
      <c r="Q38" s="707" t="n">
        <v>253.81824</v>
      </c>
      <c r="R38" s="707" t="n">
        <v>421.509645</v>
      </c>
      <c r="S38" s="707">
        <f>SUM(P38:R38)</f>
        <v/>
      </c>
      <c r="T38" s="707" t="n">
        <v>5263.972173</v>
      </c>
      <c r="U38" s="707" t="n">
        <v>1110.4548</v>
      </c>
      <c r="V38" s="707" t="n">
        <v>271.92657</v>
      </c>
      <c r="W38" s="707">
        <f>SUM(T38:V38)</f>
        <v/>
      </c>
      <c r="X38" s="707" t="n">
        <v>3533.62581</v>
      </c>
      <c r="Y38" s="707" t="n">
        <v>2435.06874</v>
      </c>
      <c r="Z38" s="707" t="n">
        <v>188.462147</v>
      </c>
      <c r="AA38" s="707">
        <f>SUM(X38:Z38)</f>
        <v/>
      </c>
      <c r="AB38" s="707" t="n">
        <v>9546.464904</v>
      </c>
      <c r="AC38" s="707" t="n">
        <v>0</v>
      </c>
      <c r="AD38" s="707" t="n">
        <v>401.214551</v>
      </c>
      <c r="AE38" s="707">
        <f>SUM(AB38:AD38)</f>
        <v/>
      </c>
      <c r="AF38" s="707" t="n">
        <v>1081.878995</v>
      </c>
      <c r="AG38" s="707" t="n">
        <v>523.50012</v>
      </c>
      <c r="AH38" s="707" t="n">
        <v>135.589522</v>
      </c>
      <c r="AI38" s="707">
        <f>SUM(AF38:AH38)</f>
        <v/>
      </c>
      <c r="AJ38" s="707" t="n">
        <v>1873.958877</v>
      </c>
      <c r="AK38" s="714">
        <f>SUM(K38+O38+S38+W38+AA38+AE38+AI38+AJ38)</f>
        <v/>
      </c>
      <c r="AL38" s="326">
        <f>IF(F38=0,"",K38/(F38/((YEAR(E38)*12+MONTH(E38))-(YEAR(D38)*12+MONTH(D38))+1)))</f>
        <v/>
      </c>
      <c r="AM38" s="326">
        <f>G38/F38</f>
        <v/>
      </c>
      <c r="AN38" s="714">
        <f>F38-G38</f>
        <v/>
      </c>
      <c r="AO38" s="513" t="n"/>
      <c r="AP38" s="513" t="n"/>
      <c r="AQ38" s="513" t="n"/>
      <c r="AR38" s="706" t="inlineStr"/>
      <c r="AS38" s="706" t="inlineStr"/>
      <c r="AT38" s="706" t="inlineStr"/>
      <c r="AU38" s="706" t="inlineStr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  <c r="BN38" s="706" t="inlineStr"/>
      <c r="BO38" s="706" t="inlineStr"/>
      <c r="BP38" s="706" t="inlineStr"/>
      <c r="BQ38" s="706" t="inlineStr"/>
    </row>
    <row r="39" outlineLevel="1" ht="14.25" customFormat="1" customHeight="1" s="483">
      <c r="A39" s="710" t="inlineStr">
        <is>
          <t>合计</t>
        </is>
      </c>
      <c r="B39" s="518" t="n"/>
      <c r="C39" s="518" t="n"/>
      <c r="D39" s="518" t="n"/>
      <c r="E39" s="578" t="n"/>
      <c r="F39" s="333">
        <f>SUM(F37:F38)</f>
        <v/>
      </c>
      <c r="G39" s="710">
        <f>SUM(G37:G38)</f>
        <v/>
      </c>
      <c r="H39" s="710">
        <f>SUM(H37:H38)</f>
        <v/>
      </c>
      <c r="I39" s="710">
        <f>SUM(I37:I38)</f>
        <v/>
      </c>
      <c r="J39" s="710">
        <f>SUM(J37:J38)</f>
        <v/>
      </c>
      <c r="K39" s="710">
        <f>SUM(K37:K38)</f>
        <v/>
      </c>
      <c r="L39" s="710">
        <f>SUM(L37:L38)</f>
        <v/>
      </c>
      <c r="M39" s="710">
        <f>SUM(M37:M38)</f>
        <v/>
      </c>
      <c r="N39" s="710">
        <f>SUM(N37:N38)</f>
        <v/>
      </c>
      <c r="O39" s="710">
        <f>SUM(O37:O38)</f>
        <v/>
      </c>
      <c r="P39" s="710">
        <f>SUM(P37:P38)</f>
        <v/>
      </c>
      <c r="Q39" s="710">
        <f>SUM(Q37:Q38)</f>
        <v/>
      </c>
      <c r="R39" s="710">
        <f>SUM(R37:R38)</f>
        <v/>
      </c>
      <c r="S39" s="710">
        <f>SUM(S37:S38)</f>
        <v/>
      </c>
      <c r="T39" s="710">
        <f>SUM(T37:T38)</f>
        <v/>
      </c>
      <c r="U39" s="710">
        <f>SUM(U37:U38)</f>
        <v/>
      </c>
      <c r="V39" s="710">
        <f>SUM(V37:V38)</f>
        <v/>
      </c>
      <c r="W39" s="710">
        <f>SUM(W37:W38)</f>
        <v/>
      </c>
      <c r="X39" s="710">
        <f>SUM(X37:X38)</f>
        <v/>
      </c>
      <c r="Y39" s="710">
        <f>SUM(Y37:Y38)</f>
        <v/>
      </c>
      <c r="Z39" s="710">
        <f>SUM(Z37:Z38)</f>
        <v/>
      </c>
      <c r="AA39" s="710">
        <f>SUM(AA37:AA38)</f>
        <v/>
      </c>
      <c r="AB39" s="710">
        <f>SUM(AB37:AB38)</f>
        <v/>
      </c>
      <c r="AC39" s="710">
        <f>SUM(AC37:AC38)</f>
        <v/>
      </c>
      <c r="AD39" s="710">
        <f>SUM(AD37:AD38)</f>
        <v/>
      </c>
      <c r="AE39" s="710">
        <f>SUM(AE37:AE38)</f>
        <v/>
      </c>
      <c r="AF39" s="710">
        <f>SUM(AF37:AF38)</f>
        <v/>
      </c>
      <c r="AG39" s="710">
        <f>SUM(AG37:AG38)</f>
        <v/>
      </c>
      <c r="AH39" s="710">
        <f>SUM(AH37:AH38)</f>
        <v/>
      </c>
      <c r="AI39" s="710">
        <f>SUM(AI37:AI38)</f>
        <v/>
      </c>
      <c r="AJ39" s="710">
        <f>SUM(AJ37:AJ38)</f>
        <v/>
      </c>
      <c r="AK39" s="333">
        <f>SUM(K39+O39+S39+W39+AA39+AE39+AI39+AJ39)</f>
        <v/>
      </c>
      <c r="AL39" s="335">
        <f>IF(F39=0,"",K39/(F39/((YEAR(E37)*12+MONTH(E37))-(YEAR(D37)*12+MONTH(D37))+1)))</f>
        <v/>
      </c>
      <c r="AM39" s="336">
        <f>G39/F39</f>
        <v/>
      </c>
      <c r="AN39" s="715">
        <f>F39-G39</f>
        <v/>
      </c>
      <c r="AO39" s="337">
        <f>AO37</f>
        <v/>
      </c>
      <c r="AP39" s="335">
        <f>AK39/AO37</f>
        <v/>
      </c>
      <c r="AQ39" s="712">
        <f>AO37-AK39</f>
        <v/>
      </c>
      <c r="AR39" s="713" t="inlineStr"/>
      <c r="AS39" s="713" t="inlineStr"/>
      <c r="AT39" s="713" t="inlineStr"/>
      <c r="AU39" s="713" t="inlineStr"/>
      <c r="AV39" s="713" t="inlineStr"/>
      <c r="AW39" s="713" t="inlineStr"/>
      <c r="AX39" s="713" t="inlineStr"/>
      <c r="AY39" s="713" t="inlineStr"/>
      <c r="AZ39" s="713" t="inlineStr"/>
      <c r="BA39" s="713" t="inlineStr"/>
      <c r="BB39" s="713" t="inlineStr"/>
      <c r="BC39" s="713" t="inlineStr"/>
      <c r="BD39" s="713" t="inlineStr"/>
      <c r="BE39" s="713" t="inlineStr"/>
      <c r="BF39" s="713" t="inlineStr"/>
      <c r="BG39" s="713" t="inlineStr"/>
      <c r="BH39" s="713" t="inlineStr"/>
      <c r="BI39" s="713" t="inlineStr"/>
      <c r="BJ39" s="713" t="inlineStr"/>
      <c r="BK39" s="713" t="inlineStr"/>
      <c r="BL39" s="713" t="inlineStr"/>
      <c r="BM39" s="713" t="inlineStr"/>
      <c r="BN39" s="713" t="inlineStr"/>
      <c r="BO39" s="713" t="inlineStr"/>
      <c r="BP39" s="713" t="inlineStr"/>
      <c r="BQ39" s="713" t="inlineStr"/>
    </row>
    <row r="40" outlineLevel="1" ht="14.25" customFormat="1" customHeight="1" s="483">
      <c r="A40" s="703" t="inlineStr">
        <is>
          <t>理财师004</t>
        </is>
      </c>
      <c r="B40" s="703" t="inlineStr">
        <is>
          <t>理财师006</t>
        </is>
      </c>
      <c r="C40" s="703" t="inlineStr">
        <is>
          <t>私人财富管理专家PWA4-5</t>
        </is>
      </c>
      <c r="D40" s="693" t="n">
        <v>46204</v>
      </c>
      <c r="E40" s="693" t="n">
        <v>46387</v>
      </c>
      <c r="F40" s="703" t="n">
        <v>17235</v>
      </c>
      <c r="G40" s="703" t="n">
        <v>4351.642782</v>
      </c>
      <c r="H40" s="703" t="n">
        <v>0</v>
      </c>
      <c r="I40" s="703" t="n">
        <v>0</v>
      </c>
      <c r="J40" s="703" t="n">
        <v>0</v>
      </c>
      <c r="K40" s="703">
        <f>SUM(H40:J40)</f>
        <v/>
      </c>
      <c r="L40" s="703" t="n">
        <v>2440.698331</v>
      </c>
      <c r="M40" s="703" t="n">
        <v>1523.574</v>
      </c>
      <c r="N40" s="703" t="n">
        <v>387.37045</v>
      </c>
      <c r="O40" s="703">
        <f>SUM(L40:N40)</f>
        <v/>
      </c>
      <c r="P40" s="703" t="n">
        <v>2686.912949</v>
      </c>
      <c r="Q40" s="703" t="n">
        <v>384.193382</v>
      </c>
      <c r="R40" s="703" t="n">
        <v>712.728125</v>
      </c>
      <c r="S40" s="703">
        <f>SUM(P40:R40)</f>
        <v/>
      </c>
      <c r="T40" s="703" t="n">
        <v>3250.598551</v>
      </c>
      <c r="U40" s="703" t="n">
        <v>241.63794</v>
      </c>
      <c r="V40" s="703" t="n">
        <v>443.427462</v>
      </c>
      <c r="W40" s="703">
        <f>SUM(T40:V40)</f>
        <v/>
      </c>
      <c r="X40" s="703" t="n">
        <v>1492.14231</v>
      </c>
      <c r="Y40" s="703" t="n">
        <v>0</v>
      </c>
      <c r="Z40" s="703" t="n">
        <v>381.121236</v>
      </c>
      <c r="AA40" s="703">
        <f>SUM(X40:Z40)</f>
        <v/>
      </c>
      <c r="AB40" s="703" t="n">
        <v>2747.788321</v>
      </c>
      <c r="AC40" s="703" t="n">
        <v>0</v>
      </c>
      <c r="AD40" s="703" t="n">
        <v>613.27548</v>
      </c>
      <c r="AE40" s="703">
        <f>SUM(AB40:AD40)</f>
        <v/>
      </c>
      <c r="AF40" s="703" t="n">
        <v>1566.390968</v>
      </c>
      <c r="AG40" s="703" t="n">
        <v>1037.679365</v>
      </c>
      <c r="AH40" s="703" t="n">
        <v>313.732955</v>
      </c>
      <c r="AI40" s="703">
        <f>SUM(AF40:AH40)</f>
        <v/>
      </c>
      <c r="AJ40" s="703" t="n">
        <v>4335.866577</v>
      </c>
      <c r="AK40" s="318">
        <f>SUM(K40+O40+S40+W40+AA40+AE40+AI40+AJ40)</f>
        <v/>
      </c>
      <c r="AL40" s="319">
        <f>IF(F40=0,"",K40/(F40/((YEAR(E40)*12+MONTH(E40))-(YEAR(D40)*12+MONTH(D40))+1)))</f>
        <v/>
      </c>
      <c r="AM40" s="319">
        <f>G40/F40</f>
        <v/>
      </c>
      <c r="AN40" s="704">
        <f>F40-G40</f>
        <v/>
      </c>
      <c r="AO40" s="321">
        <f>SUM(F40:F44)</f>
        <v/>
      </c>
      <c r="AP40" s="322">
        <f>AP45</f>
        <v/>
      </c>
      <c r="AQ40" s="717">
        <f>AQ45</f>
        <v/>
      </c>
      <c r="AR40" s="706" t="inlineStr"/>
      <c r="AS40" s="706" t="inlineStr"/>
      <c r="AT40" s="706" t="inlineStr"/>
      <c r="AU40" s="706" t="inlineStr"/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  <c r="BN40" s="706" t="inlineStr"/>
      <c r="BO40" s="706" t="inlineStr"/>
      <c r="BP40" s="706" t="inlineStr"/>
      <c r="BQ40" s="706" t="inlineStr"/>
    </row>
    <row r="41" outlineLevel="1" ht="14.25" customFormat="1" customHeight="1" s="483">
      <c r="A41" s="500" t="n"/>
      <c r="B41" s="707" t="inlineStr">
        <is>
          <t>理财师003</t>
        </is>
      </c>
      <c r="C41" s="707" t="inlineStr">
        <is>
          <t>私人财富管理专家PWA4-1</t>
        </is>
      </c>
      <c r="D41" s="676" t="n">
        <v>46204</v>
      </c>
      <c r="E41" s="676" t="n">
        <v>46387</v>
      </c>
      <c r="F41" s="707" t="n">
        <v>27907.62</v>
      </c>
      <c r="G41" s="707" t="n">
        <v>3770.597366</v>
      </c>
      <c r="H41" s="707" t="n">
        <v>0</v>
      </c>
      <c r="I41" s="707" t="n">
        <v>0</v>
      </c>
      <c r="J41" s="707" t="n">
        <v>0</v>
      </c>
      <c r="K41" s="707">
        <f>SUM(H41:J41)</f>
        <v/>
      </c>
      <c r="L41" s="707" t="n">
        <v>2152.648612</v>
      </c>
      <c r="M41" s="707" t="n">
        <v>0</v>
      </c>
      <c r="N41" s="707" t="n">
        <v>1617.948754</v>
      </c>
      <c r="O41" s="707">
        <f>SUM(L41:N41)</f>
        <v/>
      </c>
      <c r="P41" s="707" t="n">
        <v>3023.349137</v>
      </c>
      <c r="Q41" s="707" t="n">
        <v>0</v>
      </c>
      <c r="R41" s="707" t="n">
        <v>2172.888255</v>
      </c>
      <c r="S41" s="707">
        <f>SUM(P41:R41)</f>
        <v/>
      </c>
      <c r="T41" s="707" t="n">
        <v>2530.119274</v>
      </c>
      <c r="U41" s="707" t="n">
        <v>2029.71366</v>
      </c>
      <c r="V41" s="707" t="n">
        <v>1772.582909</v>
      </c>
      <c r="W41" s="707">
        <f>SUM(T41:V41)</f>
        <v/>
      </c>
      <c r="X41" s="707" t="n">
        <v>567.268131</v>
      </c>
      <c r="Y41" s="707" t="n">
        <v>0</v>
      </c>
      <c r="Z41" s="707" t="n">
        <v>1666.262563</v>
      </c>
      <c r="AA41" s="707">
        <f>SUM(X41:Z41)</f>
        <v/>
      </c>
      <c r="AB41" s="707" t="n">
        <v>1550.383391</v>
      </c>
      <c r="AC41" s="707" t="n">
        <v>0</v>
      </c>
      <c r="AD41" s="707" t="n">
        <v>2273.498356</v>
      </c>
      <c r="AE41" s="707">
        <f>SUM(AB41:AD41)</f>
        <v/>
      </c>
      <c r="AF41" s="707" t="n">
        <v>1396.194268</v>
      </c>
      <c r="AG41" s="707" t="n">
        <v>0</v>
      </c>
      <c r="AH41" s="707" t="n">
        <v>1388.558583</v>
      </c>
      <c r="AI41" s="707">
        <f>SUM(AF41:AH41)</f>
        <v/>
      </c>
      <c r="AJ41" s="707" t="n">
        <v>7202.586607</v>
      </c>
      <c r="AK41" s="714">
        <f>SUM(K41+O41+S41+W41+AA41+AE41+AI41+AJ41)</f>
        <v/>
      </c>
      <c r="AL41" s="326">
        <f>IF(F41=0,"",K41/(F41/((YEAR(E41)*12+MONTH(E41))-(YEAR(D41)*12+MONTH(D41))+1)))</f>
        <v/>
      </c>
      <c r="AM41" s="326">
        <f>G41/F41</f>
        <v/>
      </c>
      <c r="AN41" s="714">
        <f>F41-G41</f>
        <v/>
      </c>
      <c r="AO41" s="500" t="n"/>
      <c r="AP41" s="500" t="n"/>
      <c r="AQ41" s="500" t="n"/>
      <c r="AR41" s="706" t="inlineStr"/>
      <c r="AS41" s="706" t="inlineStr"/>
      <c r="AT41" s="706" t="inlineStr"/>
      <c r="AU41" s="706" t="inlineStr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  <c r="BN41" s="706" t="inlineStr"/>
      <c r="BO41" s="706" t="inlineStr"/>
      <c r="BP41" s="706" t="inlineStr"/>
      <c r="BQ41" s="706" t="inlineStr"/>
    </row>
    <row r="42" outlineLevel="1" ht="14.25" customFormat="1" customHeight="1" s="483">
      <c r="A42" s="500" t="n"/>
      <c r="B42" s="707" t="inlineStr">
        <is>
          <t>理财师029</t>
        </is>
      </c>
      <c r="C42" s="707" t="inlineStr">
        <is>
          <t>私人财富管理专家PWA4-3</t>
        </is>
      </c>
      <c r="D42" s="676" t="n">
        <v>46150</v>
      </c>
      <c r="E42" s="676" t="n">
        <v>46333</v>
      </c>
      <c r="F42" s="707" t="n">
        <v>16404.52</v>
      </c>
      <c r="G42" s="707" t="n">
        <v>1335.060829</v>
      </c>
      <c r="H42" s="707" t="n">
        <v>0</v>
      </c>
      <c r="I42" s="707" t="n">
        <v>0</v>
      </c>
      <c r="J42" s="707" t="n">
        <v>0</v>
      </c>
      <c r="K42" s="707">
        <f>SUM(H42:J42)</f>
        <v/>
      </c>
      <c r="L42" s="707" t="n">
        <v>82.18470000000001</v>
      </c>
      <c r="M42" s="707" t="n">
        <v>0</v>
      </c>
      <c r="N42" s="707" t="n">
        <v>63.309731</v>
      </c>
      <c r="O42" s="707">
        <f>SUM(L42:N42)</f>
        <v/>
      </c>
      <c r="P42" s="707" t="n">
        <v>644.8338</v>
      </c>
      <c r="Q42" s="707" t="n">
        <v>64.736256</v>
      </c>
      <c r="R42" s="707" t="n">
        <v>38.329254</v>
      </c>
      <c r="S42" s="707">
        <f>SUM(P42:R42)</f>
        <v/>
      </c>
      <c r="T42" s="707" t="n">
        <v>0</v>
      </c>
      <c r="U42" s="707" t="n">
        <v>0</v>
      </c>
      <c r="V42" s="707" t="n">
        <v>20.217377</v>
      </c>
      <c r="W42" s="707">
        <f>SUM(T42:V42)</f>
        <v/>
      </c>
      <c r="X42" s="707" t="n">
        <v>410.9235</v>
      </c>
      <c r="Y42" s="707" t="n">
        <v>0</v>
      </c>
      <c r="Z42" s="707" t="n">
        <v>4.340061</v>
      </c>
      <c r="AA42" s="707">
        <f>SUM(X42:Z42)</f>
        <v/>
      </c>
      <c r="AB42" s="707" t="n">
        <v>0</v>
      </c>
      <c r="AC42" s="707" t="n">
        <v>0</v>
      </c>
      <c r="AD42" s="707" t="n">
        <v>5.058234</v>
      </c>
      <c r="AE42" s="707">
        <f>SUM(AB42:AD42)</f>
        <v/>
      </c>
      <c r="AF42" s="707" t="n">
        <v>0</v>
      </c>
      <c r="AG42" s="707" t="n">
        <v>0</v>
      </c>
      <c r="AH42" s="707" t="n">
        <v>1.127915</v>
      </c>
      <c r="AI42" s="707">
        <f>SUM(AF42:AH42)</f>
        <v/>
      </c>
      <c r="AJ42" s="707" t="n">
        <v>0</v>
      </c>
      <c r="AK42" s="271">
        <f>SUM(K42+O42+S42+W42+AA42+AE42+AI42+AJ42)</f>
        <v/>
      </c>
      <c r="AL42" s="326">
        <f>IF(F42=0,"",K42/(F42/((YEAR(E42)*12+MONTH(E42))-(YEAR(D42)*12+MONTH(D42))+1)))</f>
        <v/>
      </c>
      <c r="AM42" s="326">
        <f>G42/F42</f>
        <v/>
      </c>
      <c r="AN42" s="708">
        <f>F42-G42</f>
        <v/>
      </c>
      <c r="AO42" s="500" t="n"/>
      <c r="AP42" s="500" t="n"/>
      <c r="AQ42" s="500" t="n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  <c r="BN42" s="706" t="inlineStr"/>
      <c r="BO42" s="706" t="inlineStr"/>
      <c r="BP42" s="706" t="inlineStr"/>
      <c r="BQ42" s="706" t="inlineStr"/>
    </row>
    <row r="43" outlineLevel="1" ht="14.25" customFormat="1" customHeight="1" s="483">
      <c r="A43" s="500" t="n"/>
      <c r="B43" s="707" t="inlineStr">
        <is>
          <t>理财师004</t>
        </is>
      </c>
      <c r="C43" s="707" t="inlineStr"/>
      <c r="D43" s="707" t="inlineStr"/>
      <c r="E43" s="707" t="inlineStr"/>
      <c r="F43" s="707" t="n">
        <v>0</v>
      </c>
      <c r="G43" s="707" t="n">
        <v>0</v>
      </c>
      <c r="H43" s="707" t="n">
        <v>0</v>
      </c>
      <c r="I43" s="707" t="n">
        <v>0</v>
      </c>
      <c r="J43" s="707" t="n">
        <v>0</v>
      </c>
      <c r="K43" s="707">
        <f>SUM(H43:J43)</f>
        <v/>
      </c>
      <c r="L43" s="707" t="n">
        <v>2341.58054</v>
      </c>
      <c r="M43" s="707" t="n">
        <v>0</v>
      </c>
      <c r="N43" s="707" t="n">
        <v>678.829965</v>
      </c>
      <c r="O43" s="707">
        <f>SUM(L43:N43)</f>
        <v/>
      </c>
      <c r="P43" s="707" t="n">
        <v>485.207489</v>
      </c>
      <c r="Q43" s="707" t="n">
        <v>0</v>
      </c>
      <c r="R43" s="707" t="n">
        <v>647.4247319999999</v>
      </c>
      <c r="S43" s="707">
        <f>SUM(P43:R43)</f>
        <v/>
      </c>
      <c r="T43" s="707" t="n">
        <v>2310.349392</v>
      </c>
      <c r="U43" s="707" t="n">
        <v>0</v>
      </c>
      <c r="V43" s="707" t="n">
        <v>578.575409</v>
      </c>
      <c r="W43" s="707">
        <f>SUM(T43:V43)</f>
        <v/>
      </c>
      <c r="X43" s="707" t="n">
        <v>753.431552</v>
      </c>
      <c r="Y43" s="707" t="n">
        <v>0</v>
      </c>
      <c r="Z43" s="707" t="n">
        <v>578.295302</v>
      </c>
      <c r="AA43" s="707">
        <f>SUM(X43:Z43)</f>
        <v/>
      </c>
      <c r="AB43" s="707" t="n">
        <v>1958.298381</v>
      </c>
      <c r="AC43" s="707" t="n">
        <v>0</v>
      </c>
      <c r="AD43" s="707" t="n">
        <v>652.1048489999999</v>
      </c>
      <c r="AE43" s="707">
        <f>SUM(AB43:AD43)</f>
        <v/>
      </c>
      <c r="AF43" s="707" t="n">
        <v>2837.047697</v>
      </c>
      <c r="AG43" s="707" t="n">
        <v>0</v>
      </c>
      <c r="AH43" s="707" t="n">
        <v>460.81999</v>
      </c>
      <c r="AI43" s="707">
        <f>SUM(AF43:AH43)</f>
        <v/>
      </c>
      <c r="AJ43" s="707" t="n">
        <v>2541.530781</v>
      </c>
      <c r="AK43" s="271">
        <f>SUM(K43+O43+S43+W43+AA43+AE43+AI43+AJ43)</f>
        <v/>
      </c>
      <c r="AL43" s="326">
        <f>IF(F43=0,"",K43/(F43/MAX(1,(YEAR(E43)*12+MONTH(E43))-(YEAR(D43)*12+MONTH(D43))+1)))</f>
        <v/>
      </c>
      <c r="AM43" s="326">
        <f>G43/F43</f>
        <v/>
      </c>
      <c r="AN43" s="708">
        <f>F43-G43</f>
        <v/>
      </c>
      <c r="AO43" s="500" t="n"/>
      <c r="AP43" s="500" t="n"/>
      <c r="AQ43" s="500" t="n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  <c r="BN43" s="706" t="inlineStr"/>
      <c r="BO43" s="706" t="inlineStr"/>
      <c r="BP43" s="706" t="inlineStr"/>
      <c r="BQ43" s="706" t="inlineStr"/>
    </row>
    <row r="44" outlineLevel="1" ht="14.25" customFormat="1" customHeight="1" s="483">
      <c r="A44" s="513" t="n"/>
      <c r="B44" s="707" t="inlineStr">
        <is>
          <t>理财师012</t>
        </is>
      </c>
      <c r="C44" s="707" t="inlineStr">
        <is>
          <t>首席私人财富管理专家PWA5-1</t>
        </is>
      </c>
      <c r="D44" s="676" t="n">
        <v>46204</v>
      </c>
      <c r="E44" s="676" t="n">
        <v>46387</v>
      </c>
      <c r="F44" s="707" t="n">
        <v>39973.5</v>
      </c>
      <c r="G44" s="707" t="n">
        <v>6321.729113</v>
      </c>
      <c r="H44" s="707" t="n">
        <v>0</v>
      </c>
      <c r="I44" s="707" t="n">
        <v>0</v>
      </c>
      <c r="J44" s="707" t="n">
        <v>0</v>
      </c>
      <c r="K44" s="707">
        <f>SUM(H44:J44)</f>
        <v/>
      </c>
      <c r="L44" s="707" t="n">
        <v>5424.312582</v>
      </c>
      <c r="M44" s="707" t="n">
        <v>0</v>
      </c>
      <c r="N44" s="707" t="n">
        <v>897.416531</v>
      </c>
      <c r="O44" s="707">
        <f>SUM(L44:N44)</f>
        <v/>
      </c>
      <c r="P44" s="707" t="n">
        <v>5710.083829</v>
      </c>
      <c r="Q44" s="707" t="n">
        <v>0</v>
      </c>
      <c r="R44" s="707" t="n">
        <v>4494.277957</v>
      </c>
      <c r="S44" s="707">
        <f>SUM(P44:R44)</f>
        <v/>
      </c>
      <c r="T44" s="707" t="n">
        <v>5099.256359</v>
      </c>
      <c r="U44" s="707" t="n">
        <v>0</v>
      </c>
      <c r="V44" s="707" t="n">
        <v>2165.674642</v>
      </c>
      <c r="W44" s="707">
        <f>SUM(T44:V44)</f>
        <v/>
      </c>
      <c r="X44" s="707" t="n">
        <v>937.141286</v>
      </c>
      <c r="Y44" s="707" t="n">
        <v>0</v>
      </c>
      <c r="Z44" s="707" t="n">
        <v>1775.786688</v>
      </c>
      <c r="AA44" s="707">
        <f>SUM(X44:Z44)</f>
        <v/>
      </c>
      <c r="AB44" s="707" t="n">
        <v>3160.387028</v>
      </c>
      <c r="AC44" s="707" t="n">
        <v>0</v>
      </c>
      <c r="AD44" s="707" t="n">
        <v>3880.484178</v>
      </c>
      <c r="AE44" s="707">
        <f>SUM(AB44:AD44)</f>
        <v/>
      </c>
      <c r="AF44" s="707" t="n">
        <v>3065.24731</v>
      </c>
      <c r="AG44" s="707" t="n">
        <v>0</v>
      </c>
      <c r="AH44" s="707" t="n">
        <v>1466.609142</v>
      </c>
      <c r="AI44" s="707">
        <f>SUM(AF44:AH44)</f>
        <v/>
      </c>
      <c r="AJ44" s="707" t="n">
        <v>4881.758761</v>
      </c>
      <c r="AK44" s="271">
        <f>SUM(K44+O44+S44+W44+AA44+AE44+AI44+AJ44)</f>
        <v/>
      </c>
      <c r="AL44" s="326">
        <f>IF(F44=0,"",K44/(F44/((YEAR(E44)*12+MONTH(E44))-(YEAR(D44)*12+MONTH(D44))+1)))</f>
        <v/>
      </c>
      <c r="AM44" s="326">
        <f>G44/F44</f>
        <v/>
      </c>
      <c r="AN44" s="708">
        <f>F44-G44</f>
        <v/>
      </c>
      <c r="AO44" s="513" t="n"/>
      <c r="AP44" s="513" t="n"/>
      <c r="AQ44" s="513" t="n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  <c r="BN44" s="706" t="inlineStr"/>
      <c r="BO44" s="706" t="inlineStr"/>
      <c r="BP44" s="706" t="inlineStr"/>
      <c r="BQ44" s="706" t="inlineStr"/>
    </row>
    <row r="45" outlineLevel="1" ht="14.25" customFormat="1" customHeight="1" s="483">
      <c r="A45" s="710" t="inlineStr">
        <is>
          <t>合计</t>
        </is>
      </c>
      <c r="B45" s="518" t="n"/>
      <c r="C45" s="518" t="n"/>
      <c r="D45" s="518" t="n"/>
      <c r="E45" s="578" t="n"/>
      <c r="F45" s="333">
        <f>SUM(F40:F44)</f>
        <v/>
      </c>
      <c r="G45" s="710">
        <f>SUM(G40:G44)</f>
        <v/>
      </c>
      <c r="H45" s="710">
        <f>SUM(H40:H44)</f>
        <v/>
      </c>
      <c r="I45" s="710">
        <f>SUM(I40:I44)</f>
        <v/>
      </c>
      <c r="J45" s="710">
        <f>SUM(J40:J44)</f>
        <v/>
      </c>
      <c r="K45" s="710">
        <f>SUM(K40:K44)</f>
        <v/>
      </c>
      <c r="L45" s="710">
        <f>SUM(L40:L44)</f>
        <v/>
      </c>
      <c r="M45" s="710">
        <f>SUM(M40:M44)</f>
        <v/>
      </c>
      <c r="N45" s="710">
        <f>SUM(N40:N44)</f>
        <v/>
      </c>
      <c r="O45" s="710">
        <f>SUM(O40:O44)</f>
        <v/>
      </c>
      <c r="P45" s="710">
        <f>SUM(P40:P44)</f>
        <v/>
      </c>
      <c r="Q45" s="710">
        <f>SUM(Q40:Q44)</f>
        <v/>
      </c>
      <c r="R45" s="710">
        <f>SUM(R40:R44)</f>
        <v/>
      </c>
      <c r="S45" s="710">
        <f>SUM(S40:S44)</f>
        <v/>
      </c>
      <c r="T45" s="710">
        <f>SUM(T40:T44)</f>
        <v/>
      </c>
      <c r="U45" s="710">
        <f>SUM(U40:U44)</f>
        <v/>
      </c>
      <c r="V45" s="710">
        <f>SUM(V40:V44)</f>
        <v/>
      </c>
      <c r="W45" s="710">
        <f>SUM(W40:W44)</f>
        <v/>
      </c>
      <c r="X45" s="710">
        <f>SUM(X40:X44)</f>
        <v/>
      </c>
      <c r="Y45" s="710">
        <f>SUM(Y40:Y44)</f>
        <v/>
      </c>
      <c r="Z45" s="710">
        <f>SUM(Z40:Z44)</f>
        <v/>
      </c>
      <c r="AA45" s="710">
        <f>SUM(AA40:AA44)</f>
        <v/>
      </c>
      <c r="AB45" s="710">
        <f>SUM(AB40:AB44)</f>
        <v/>
      </c>
      <c r="AC45" s="710">
        <f>SUM(AC40:AC44)</f>
        <v/>
      </c>
      <c r="AD45" s="710">
        <f>SUM(AD40:AD44)</f>
        <v/>
      </c>
      <c r="AE45" s="710">
        <f>SUM(AE40:AE44)</f>
        <v/>
      </c>
      <c r="AF45" s="710">
        <f>SUM(AF40:AF44)</f>
        <v/>
      </c>
      <c r="AG45" s="710">
        <f>SUM(AG40:AG44)</f>
        <v/>
      </c>
      <c r="AH45" s="710">
        <f>SUM(AH40:AH44)</f>
        <v/>
      </c>
      <c r="AI45" s="710">
        <f>SUM(AI40:AI44)</f>
        <v/>
      </c>
      <c r="AJ45" s="710">
        <f>SUM(AJ40:AJ44)</f>
        <v/>
      </c>
      <c r="AK45" s="333">
        <f>SUM(K45+O45+S45+W45+AA45+AE45+AI45+AJ45)</f>
        <v/>
      </c>
      <c r="AL45" s="335">
        <f>IF(F45=0,"",K45/(F45/((YEAR(E40)*12+MONTH(E40))-(YEAR(D40)*12+MONTH(D40))+1)))</f>
        <v/>
      </c>
      <c r="AM45" s="336">
        <f>G45/F45</f>
        <v/>
      </c>
      <c r="AN45" s="715">
        <f>F45-G45</f>
        <v/>
      </c>
      <c r="AO45" s="337">
        <f>AO40</f>
        <v/>
      </c>
      <c r="AP45" s="335">
        <f>AK45/AO40</f>
        <v/>
      </c>
      <c r="AQ45" s="712">
        <f>AO40-AK45</f>
        <v/>
      </c>
      <c r="AR45" s="713" t="inlineStr"/>
      <c r="AS45" s="713" t="inlineStr"/>
      <c r="AT45" s="713" t="inlineStr"/>
      <c r="AU45" s="713" t="inlineStr"/>
      <c r="AV45" s="713" t="inlineStr"/>
      <c r="AW45" s="713" t="inlineStr"/>
      <c r="AX45" s="713" t="inlineStr"/>
      <c r="AY45" s="713" t="inlineStr"/>
      <c r="AZ45" s="713" t="inlineStr"/>
      <c r="BA45" s="713" t="inlineStr"/>
      <c r="BB45" s="713" t="inlineStr"/>
      <c r="BC45" s="713" t="inlineStr"/>
      <c r="BD45" s="713" t="inlineStr"/>
      <c r="BE45" s="713" t="inlineStr"/>
      <c r="BF45" s="713" t="inlineStr"/>
      <c r="BG45" s="713" t="inlineStr"/>
      <c r="BH45" s="713" t="inlineStr"/>
      <c r="BI45" s="713" t="inlineStr"/>
      <c r="BJ45" s="713" t="inlineStr"/>
      <c r="BK45" s="713" t="inlineStr"/>
      <c r="BL45" s="713" t="inlineStr"/>
      <c r="BM45" s="713" t="inlineStr"/>
      <c r="BN45" s="713" t="inlineStr"/>
      <c r="BO45" s="713" t="inlineStr"/>
      <c r="BP45" s="713" t="inlineStr"/>
      <c r="BQ45" s="713" t="inlineStr"/>
    </row>
    <row r="46" outlineLevel="1" ht="14.25" customFormat="1" customHeight="1" s="483">
      <c r="A46" s="719" t="inlineStr">
        <is>
          <t>合计</t>
        </is>
      </c>
      <c r="B46" s="518" t="n"/>
      <c r="C46" s="518" t="n"/>
      <c r="D46" s="518" t="n"/>
      <c r="E46" s="578" t="n"/>
      <c r="F46" s="720">
        <f>F9+F14+F18+F22+F26+F29+F32+F36+F39+F45</f>
        <v/>
      </c>
      <c r="G46" s="720">
        <f>G9+G14+G18+G22+G26+G29+G32+G36+G39+G45</f>
        <v/>
      </c>
      <c r="H46" s="722">
        <f>H9+H14+H18+H22+H26+H29+H32+H36+H39+H45</f>
        <v/>
      </c>
      <c r="I46" s="722">
        <f>I9+I14+I18+I22+I26+I29+I32+I36+I39+I45</f>
        <v/>
      </c>
      <c r="J46" s="722">
        <f>J9+J14+J18+J22+J26+J29+J32+J36+J39+J45</f>
        <v/>
      </c>
      <c r="K46" s="722">
        <f>K9+K14+K18+K22+K26+K29+K32+K36+K39+K45</f>
        <v/>
      </c>
      <c r="L46" s="722">
        <f>L9+L14+L18+L22+L26+L29+L32+L36+L39+L45</f>
        <v/>
      </c>
      <c r="M46" s="722">
        <f>M9+M14+M18+M22+M26+M29+M32+M36+M39+M45</f>
        <v/>
      </c>
      <c r="N46" s="722">
        <f>N9+N14+N18+N22+N26+N29+N32+N36+N39+N45</f>
        <v/>
      </c>
      <c r="O46" s="722">
        <f>O9+O14+O18+O22+O26+O29+O32+O36+O39+O45</f>
        <v/>
      </c>
      <c r="P46" s="720">
        <f>P9+P14+P18+P22+P26+P29+P32+P36+P39+P45</f>
        <v/>
      </c>
      <c r="Q46" s="720">
        <f>Q9+Q14+Q18+Q22+Q26+Q29+Q32+Q36+Q39+Q45</f>
        <v/>
      </c>
      <c r="R46" s="720">
        <f>R9+R14+R18+R22+R26+R29+R32+R36+R39+R45</f>
        <v/>
      </c>
      <c r="S46" s="720">
        <f>S9+S14+S18+S22+S26+S29+S32+S36+S39+S45</f>
        <v/>
      </c>
      <c r="T46" s="720">
        <f>T9+T14+T18+T22+T26+T29+T32+T36+T39+T45</f>
        <v/>
      </c>
      <c r="U46" s="720">
        <f>U9+U14+U18+U22+U26+U29+U32+U36+U39+U45</f>
        <v/>
      </c>
      <c r="V46" s="720">
        <f>V9+V14+V18+V22+V26+V29+V32+V36+V39+V45</f>
        <v/>
      </c>
      <c r="W46" s="720">
        <f>W9+W14+W18+W22+W26+W29+W32+W36+W39+W45</f>
        <v/>
      </c>
      <c r="X46" s="720">
        <f>X9+X14+X18+X22+X26+X29+X32+X36+X39+X45</f>
        <v/>
      </c>
      <c r="Y46" s="720">
        <f>Y9+Y14+Y18+Y22+Y26+Y29+Y32+Y36+Y39+Y45</f>
        <v/>
      </c>
      <c r="Z46" s="720">
        <f>Z9+Z14+Z18+Z22+Z26+Z29+Z32+Z36+Z39+Z45</f>
        <v/>
      </c>
      <c r="AA46" s="720">
        <f>AA9+AA14+AA18+AA22+AA26+AA29+AA32+AA36+AA39+AA45</f>
        <v/>
      </c>
      <c r="AB46" s="720">
        <f>AB9+AB14+AB18+AB22+AB26+AB29+AB32+AB36+AB39+AB45</f>
        <v/>
      </c>
      <c r="AC46" s="722">
        <f>AC9+AC14+AC18+AC22+AC26+AC29+AC32+AC36+AC39+AC45</f>
        <v/>
      </c>
      <c r="AD46" s="722">
        <f>AD9+AD14+AD18+AD22+AD26+AD29+AD32+AD36+AD39+AD45</f>
        <v/>
      </c>
      <c r="AE46" s="722">
        <f>AE9+AE14+AE18+AE22+AE26+AE29+AE32+AE36+AE39+AE45</f>
        <v/>
      </c>
      <c r="AF46" s="722">
        <f>AF9+AF14+AF18+AF22+AF26+AF29+AF32+AF36+AF39+AF45</f>
        <v/>
      </c>
      <c r="AG46" s="722">
        <f>AG9+AG14+AG18+AG22+AG26+AG29+AG32+AG36+AG39+AG45</f>
        <v/>
      </c>
      <c r="AH46" s="722">
        <f>AH9+AH14+AH18+AH22+AH26+AH29+AH32+AH36+AH39+AH45</f>
        <v/>
      </c>
      <c r="AI46" s="722">
        <f>AI9+AI14+AI18+AI22+AI26+AI29+AI32+AI36+AI39+AI45</f>
        <v/>
      </c>
      <c r="AJ46" s="722">
        <f>AJ9+AJ14+AJ18+AJ22+AJ26+AJ29+AJ32+AJ36+AJ39+AJ45</f>
        <v/>
      </c>
      <c r="AK46" s="349">
        <f>AK9+AK14+AK18+AK22+AK26+AK29+AK32+AK36+AK39+AK45</f>
        <v/>
      </c>
      <c r="AL46" s="350">
        <f>K46/(F46/((YEAR(E4)*12+MONTH(E4))-(YEAR(D4)*12+MONTH(D4))+1))</f>
        <v/>
      </c>
      <c r="AM46" s="350">
        <f>G46/F46</f>
        <v/>
      </c>
      <c r="AN46" s="721">
        <f>F46-G46</f>
        <v/>
      </c>
      <c r="AO46" s="352">
        <f>AO9+AO14+AO18+AO22+AO26+AO29+AO32+AO36+AO39+AO45</f>
        <v/>
      </c>
      <c r="AP46" s="353">
        <f>AK46/AO46</f>
        <v/>
      </c>
      <c r="AQ46" s="722">
        <f>AO46-AK46</f>
        <v/>
      </c>
      <c r="AR46" s="723" t="inlineStr"/>
      <c r="AS46" s="723" t="inlineStr"/>
      <c r="AT46" s="723" t="inlineStr"/>
      <c r="AU46" s="723" t="inlineStr"/>
      <c r="AV46" s="723" t="inlineStr"/>
      <c r="AW46" s="723" t="inlineStr"/>
      <c r="AX46" s="723" t="inlineStr"/>
      <c r="AY46" s="723" t="inlineStr"/>
      <c r="AZ46" s="723" t="inlineStr"/>
      <c r="BA46" s="723" t="inlineStr"/>
      <c r="BB46" s="723" t="inlineStr"/>
      <c r="BC46" s="723" t="inlineStr"/>
      <c r="BD46" s="723" t="inlineStr"/>
      <c r="BE46" s="723" t="inlineStr"/>
      <c r="BF46" s="723" t="inlineStr"/>
      <c r="BG46" s="723" t="inlineStr"/>
      <c r="BH46" s="723" t="inlineStr"/>
      <c r="BI46" s="723" t="inlineStr"/>
      <c r="BJ46" s="723" t="inlineStr"/>
      <c r="BK46" s="723" t="inlineStr"/>
      <c r="BL46" s="723" t="inlineStr"/>
      <c r="BM46" s="723" t="inlineStr"/>
      <c r="BN46" s="723" t="inlineStr"/>
      <c r="BO46" s="723" t="inlineStr"/>
      <c r="BP46" s="723" t="inlineStr"/>
      <c r="BQ46" s="727" t="inlineStr"/>
    </row>
    <row r="47" outlineLevel="1" ht="14.25" customFormat="1" customHeight="1" s="483">
      <c r="AN47" s="633" t="inlineStr">
        <is>
          <t>公司目标</t>
        </is>
      </c>
      <c r="AO47" s="633" t="n">
        <v>942381.140688</v>
      </c>
      <c r="AP47" s="252">
        <f>IF(AO47&lt;&gt;0,AK46/AO47,"")</f>
        <v/>
      </c>
      <c r="AQ47" s="663">
        <f>AO47-AK46</f>
        <v/>
      </c>
    </row>
    <row r="48" ht="14.25" customFormat="1" customHeight="1" s="483"/>
    <row r="49" ht="14.25" customFormat="1" customHeight="1" s="483"/>
    <row r="50" ht="35.1" customFormat="1" customHeight="1" s="483"/>
    <row r="51" ht="24" customFormat="1" customHeight="1" s="483"/>
  </sheetData>
  <mergeCells count="96">
    <mergeCell ref="A39:E39"/>
    <mergeCell ref="A4:A8"/>
    <mergeCell ref="A45:E45"/>
    <mergeCell ref="A23:A25"/>
    <mergeCell ref="U2:U3"/>
    <mergeCell ref="AO37:AO38"/>
    <mergeCell ref="AQ37:AQ38"/>
    <mergeCell ref="A27:A28"/>
    <mergeCell ref="AO4:AO8"/>
    <mergeCell ref="A15:A17"/>
    <mergeCell ref="A46:E46"/>
    <mergeCell ref="A2:A3"/>
    <mergeCell ref="C2:C3"/>
    <mergeCell ref="E2:E3"/>
    <mergeCell ref="W2:W3"/>
    <mergeCell ref="A40:A44"/>
    <mergeCell ref="AO23:AO25"/>
    <mergeCell ref="A26:E26"/>
    <mergeCell ref="AP30:AP31"/>
    <mergeCell ref="AO1:AP1"/>
    <mergeCell ref="AA2:AA3"/>
    <mergeCell ref="AO10:AO13"/>
    <mergeCell ref="AC2:AC3"/>
    <mergeCell ref="AQ10:AQ13"/>
    <mergeCell ref="A10:A13"/>
    <mergeCell ref="AM2:AM3"/>
    <mergeCell ref="AP23:AP25"/>
    <mergeCell ref="AO2:AO3"/>
    <mergeCell ref="V2:V3"/>
    <mergeCell ref="AO27:AO28"/>
    <mergeCell ref="AP15:AP17"/>
    <mergeCell ref="X2:X3"/>
    <mergeCell ref="AP40:AP44"/>
    <mergeCell ref="A36:E36"/>
    <mergeCell ref="N2:N3"/>
    <mergeCell ref="AQ4:AQ8"/>
    <mergeCell ref="F2:F3"/>
    <mergeCell ref="P2:P3"/>
    <mergeCell ref="H2:H3"/>
    <mergeCell ref="AP10:AP13"/>
    <mergeCell ref="AO30:AO31"/>
    <mergeCell ref="A37:A38"/>
    <mergeCell ref="AQ15:AQ17"/>
    <mergeCell ref="AF2:AF3"/>
    <mergeCell ref="K2:K3"/>
    <mergeCell ref="AH2:AH3"/>
    <mergeCell ref="O2:O3"/>
    <mergeCell ref="A32:E32"/>
    <mergeCell ref="Q2:Q3"/>
    <mergeCell ref="A14:E14"/>
    <mergeCell ref="AI2:AI3"/>
    <mergeCell ref="AK2:AK3"/>
    <mergeCell ref="A29:E29"/>
    <mergeCell ref="AQ27:AQ28"/>
    <mergeCell ref="AO33:AO35"/>
    <mergeCell ref="AP37:AP38"/>
    <mergeCell ref="AQ33:AQ35"/>
    <mergeCell ref="S2:S3"/>
    <mergeCell ref="B2:B3"/>
    <mergeCell ref="D2:D3"/>
    <mergeCell ref="AQ19:AQ21"/>
    <mergeCell ref="Z2:Z3"/>
    <mergeCell ref="AB2:AB3"/>
    <mergeCell ref="T2:T3"/>
    <mergeCell ref="AD2:AD3"/>
    <mergeCell ref="A18:E18"/>
    <mergeCell ref="AN2:AN3"/>
    <mergeCell ref="AP2:AP3"/>
    <mergeCell ref="AP4:AP8"/>
    <mergeCell ref="A22:E22"/>
    <mergeCell ref="AQ30:AQ31"/>
    <mergeCell ref="AO15:AO17"/>
    <mergeCell ref="G2:G3"/>
    <mergeCell ref="I2:I3"/>
    <mergeCell ref="AQ23:AQ25"/>
    <mergeCell ref="A33:A35"/>
    <mergeCell ref="M2:M3"/>
    <mergeCell ref="AE2:AE3"/>
    <mergeCell ref="AG2:AG3"/>
    <mergeCell ref="Y2:Y3"/>
    <mergeCell ref="AQ2:AQ3"/>
    <mergeCell ref="AO40:AO44"/>
    <mergeCell ref="AQ40:AQ44"/>
    <mergeCell ref="A19:A21"/>
    <mergeCell ref="AJ2:AJ3"/>
    <mergeCell ref="AP27:AP28"/>
    <mergeCell ref="AP33:AP35"/>
    <mergeCell ref="R2:R3"/>
    <mergeCell ref="A1:AN1"/>
    <mergeCell ref="J2:J3"/>
    <mergeCell ref="AO19:AO21"/>
    <mergeCell ref="L2:L3"/>
    <mergeCell ref="AP19:AP21"/>
    <mergeCell ref="A9:E9"/>
    <mergeCell ref="A30:A31"/>
    <mergeCell ref="AL2:AL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2"/>
    <col hidden="1" width="13" customWidth="1" style="533" min="13" max="13"/>
    <col hidden="1" width="13" customWidth="1" style="533" min="14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5"/>
    <col hidden="1" width="13" customWidth="1" style="483" min="26" max="26"/>
    <col width="13.9286" customWidth="1" style="533" min="27" max="27"/>
    <col hidden="1" width="12.7857" customWidth="1" style="483" min="28" max="28"/>
    <col hidden="1" width="13" customWidth="1" style="483" min="29" max="29"/>
    <col hidden="1" width="13" customWidth="1" style="483" min="30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6"/>
    <col width="13.2143" customWidth="1" style="533" min="37" max="37"/>
    <col width="6.57143" customWidth="1" style="533" min="38" max="38"/>
    <col width="18.5714" customWidth="1" style="533" min="39" max="39"/>
    <col width="10.6429" customWidth="1" style="533" min="40" max="40"/>
    <col width="17.3571" customWidth="1" style="533" min="41" max="41"/>
    <col width="11.4286" customWidth="1" style="533" min="42" max="42"/>
    <col width="13.9286" customWidth="1" style="533" min="43" max="43"/>
    <col width="9" customWidth="1" style="533" min="44" max="45"/>
    <col width="12.3571" customWidth="1" style="533" min="46" max="46"/>
    <col width="9" customWidth="1" style="533" min="47" max="69"/>
  </cols>
  <sheetData>
    <row r="1" ht="20.25" customFormat="1" customHeight="1" s="483">
      <c r="A1" s="754" t="inlineStr">
        <is>
          <t>私人财富管理部折标销售进度表-截止20260814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649" t="inlineStr"/>
      <c r="AL1" s="649" t="inlineStr"/>
      <c r="AM1" s="649" t="inlineStr"/>
      <c r="AN1" s="649" t="inlineStr"/>
      <c r="AO1" s="552" t="inlineStr">
        <is>
          <t>上半年时间进度</t>
        </is>
      </c>
      <c r="AQ1" s="70">
        <f>AV7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传统202608</t>
        </is>
      </c>
      <c r="I2" s="541" t="inlineStr">
        <is>
          <t>保险202608</t>
        </is>
      </c>
      <c r="J2" s="541" t="inlineStr">
        <is>
          <t>管理费202608</t>
        </is>
      </c>
      <c r="K2" s="669" t="inlineStr">
        <is>
          <t>2026年
8月折标</t>
        </is>
      </c>
      <c r="L2" s="541" t="inlineStr">
        <is>
          <t>传统202607</t>
        </is>
      </c>
      <c r="M2" s="541" t="inlineStr">
        <is>
          <t>保险202607</t>
        </is>
      </c>
      <c r="N2" s="541" t="inlineStr">
        <is>
          <t>管理费202607</t>
        </is>
      </c>
      <c r="O2" s="669" t="inlineStr">
        <is>
          <t>2026年
7月折标</t>
        </is>
      </c>
      <c r="P2" s="541" t="inlineStr">
        <is>
          <t>传统202606</t>
        </is>
      </c>
      <c r="Q2" s="541" t="inlineStr">
        <is>
          <t>保险202606</t>
        </is>
      </c>
      <c r="R2" s="541" t="inlineStr">
        <is>
          <t>管理费202606</t>
        </is>
      </c>
      <c r="S2" s="669" t="inlineStr">
        <is>
          <t>2026年
6月折标</t>
        </is>
      </c>
      <c r="T2" s="541" t="inlineStr">
        <is>
          <t>传统202605</t>
        </is>
      </c>
      <c r="U2" s="541" t="inlineStr">
        <is>
          <t>保险202605</t>
        </is>
      </c>
      <c r="V2" s="541" t="inlineStr">
        <is>
          <t>管理费202605</t>
        </is>
      </c>
      <c r="W2" s="669" t="inlineStr">
        <is>
          <t>2026年
5月折标</t>
        </is>
      </c>
      <c r="X2" s="541" t="inlineStr">
        <is>
          <t>传统202604</t>
        </is>
      </c>
      <c r="Y2" s="541" t="inlineStr">
        <is>
          <t>保险202604</t>
        </is>
      </c>
      <c r="Z2" s="541" t="inlineStr">
        <is>
          <t>管理费202604</t>
        </is>
      </c>
      <c r="AA2" s="669" t="inlineStr">
        <is>
          <t>2026年
4月折标</t>
        </is>
      </c>
      <c r="AB2" s="541" t="inlineStr">
        <is>
          <t>传统202603</t>
        </is>
      </c>
      <c r="AC2" s="541" t="inlineStr">
        <is>
          <t>保险202603</t>
        </is>
      </c>
      <c r="AD2" s="541" t="inlineStr">
        <is>
          <t>管理费202603</t>
        </is>
      </c>
      <c r="AE2" s="669" t="inlineStr">
        <is>
          <t>2026年
3月折标</t>
        </is>
      </c>
      <c r="AF2" s="541" t="inlineStr">
        <is>
          <t>传统202602</t>
        </is>
      </c>
      <c r="AG2" s="541" t="inlineStr">
        <is>
          <t>保险202602</t>
        </is>
      </c>
      <c r="AH2" s="541" t="inlineStr">
        <is>
          <t>管理费202602</t>
        </is>
      </c>
      <c r="AI2" s="669" t="inlineStr">
        <is>
          <t>2026年
2月折标</t>
        </is>
      </c>
      <c r="AJ2" s="669" t="inlineStr">
        <is>
          <t>2026年
1月折标</t>
        </is>
      </c>
      <c r="AK2" s="670" t="inlineStr">
        <is>
          <t>2026年YTD折标</t>
        </is>
      </c>
      <c r="AL2" s="671" t="inlineStr">
        <is>
          <t>月度
完成率</t>
        </is>
      </c>
      <c r="AM2" s="666" t="inlineStr">
        <is>
          <t>考核期完成率（累计）</t>
        </is>
      </c>
      <c r="AN2" s="560" t="inlineStr">
        <is>
          <t>考核期差距</t>
        </is>
      </c>
      <c r="AO2" s="561" t="inlineStr">
        <is>
          <t>财富中心
上半年年任务</t>
        </is>
      </c>
      <c r="AP2" s="79" t="inlineStr">
        <is>
          <t>财富中心
上半年任务完成率</t>
        </is>
      </c>
      <c r="AQ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</row>
    <row r="4" outlineLevel="1" ht="14.25" customFormat="1" customHeight="1" s="483">
      <c r="A4" s="729" t="inlineStr">
        <is>
          <t>理财师018</t>
        </is>
      </c>
      <c r="B4" s="729" t="inlineStr">
        <is>
          <t>理财师021</t>
        </is>
      </c>
      <c r="C4" s="729" t="inlineStr">
        <is>
          <t>私人财富管理总监PWA3-4</t>
        </is>
      </c>
      <c r="D4" s="730" t="n">
        <v>46204</v>
      </c>
      <c r="E4" s="730" t="n">
        <v>46387</v>
      </c>
      <c r="F4" s="729" t="n">
        <v>14498.13</v>
      </c>
      <c r="G4" s="729" t="n">
        <v>2616.020268</v>
      </c>
      <c r="H4" s="729" t="n">
        <v>0</v>
      </c>
      <c r="I4" s="729" t="n">
        <v>0</v>
      </c>
      <c r="J4" s="729" t="n">
        <v>0</v>
      </c>
      <c r="K4" s="729">
        <f>SUM(H4:J4)</f>
        <v/>
      </c>
      <c r="L4" s="729" t="n">
        <v>1874.489194</v>
      </c>
      <c r="M4" s="729" t="n">
        <v>0</v>
      </c>
      <c r="N4" s="729" t="n">
        <v>741.531073</v>
      </c>
      <c r="O4" s="729">
        <f>SUM(L4:N4)</f>
        <v/>
      </c>
      <c r="P4" s="729" t="n">
        <v>927.52544</v>
      </c>
      <c r="Q4" s="729" t="n">
        <v>0</v>
      </c>
      <c r="R4" s="729" t="n">
        <v>1433.561147</v>
      </c>
      <c r="S4" s="729">
        <f>SUM(P4:R4)</f>
        <v/>
      </c>
      <c r="T4" s="729" t="n">
        <v>1183.338361</v>
      </c>
      <c r="U4" s="729" t="n">
        <v>0</v>
      </c>
      <c r="V4" s="729" t="n">
        <v>634.456086</v>
      </c>
      <c r="W4" s="729">
        <f>SUM(T4:V4)</f>
        <v/>
      </c>
      <c r="X4" s="729" t="n">
        <v>3203.368286</v>
      </c>
      <c r="Y4" s="729" t="n">
        <v>0</v>
      </c>
      <c r="Z4" s="729" t="n">
        <v>538.668767</v>
      </c>
      <c r="AA4" s="729">
        <f>SUM(X4:Z4)</f>
        <v/>
      </c>
      <c r="AB4" s="729" t="n">
        <v>8704.796721000001</v>
      </c>
      <c r="AC4" s="729" t="n">
        <v>0</v>
      </c>
      <c r="AD4" s="729" t="n">
        <v>1253.999839</v>
      </c>
      <c r="AE4" s="729">
        <f>SUM(AB4:AD4)</f>
        <v/>
      </c>
      <c r="AF4" s="729" t="n">
        <v>1402.304143</v>
      </c>
      <c r="AG4" s="729" t="n">
        <v>742.65048</v>
      </c>
      <c r="AH4" s="729" t="n">
        <v>433.535601</v>
      </c>
      <c r="AI4" s="729">
        <f>SUM(AF4:AH4)</f>
        <v/>
      </c>
      <c r="AJ4" s="729" t="n">
        <v>3464.9959</v>
      </c>
      <c r="AK4" s="363">
        <f>SUM(K4+O4+S4+W4+AA4+AE4+AI4+AJ4)</f>
        <v/>
      </c>
      <c r="AL4" s="364">
        <f>IF(F4=0,"",K4/(F4/((YEAR(E4)*12+MONTH(E4))-(YEAR(D4)*12+MONTH(D4))+1)))</f>
        <v/>
      </c>
      <c r="AM4" s="364">
        <f>G4/F4</f>
        <v/>
      </c>
      <c r="AN4" s="731">
        <f>F4-G4</f>
        <v/>
      </c>
      <c r="AO4" s="366">
        <f>SUM(F4:F8)</f>
        <v/>
      </c>
      <c r="AP4" s="367">
        <f>AP9</f>
        <v/>
      </c>
      <c r="AQ4" s="732">
        <f>AQ9</f>
        <v/>
      </c>
      <c r="AR4" s="706" t="inlineStr"/>
      <c r="AS4" s="706" t="inlineStr"/>
      <c r="AT4" s="706" t="inlineStr">
        <is>
          <t>开始日期</t>
        </is>
      </c>
      <c r="AU4" s="706" t="inlineStr">
        <is>
          <t>结束日期</t>
        </is>
      </c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  <c r="BN4" s="706" t="inlineStr"/>
      <c r="BO4" s="706" t="inlineStr"/>
      <c r="BP4" s="706" t="inlineStr"/>
      <c r="BQ4" s="706" t="inlineStr"/>
    </row>
    <row r="5" outlineLevel="1" ht="14.25" customFormat="1" customHeight="1" s="483">
      <c r="A5" s="733" t="n"/>
      <c r="B5" s="734" t="inlineStr">
        <is>
          <t>理财师017</t>
        </is>
      </c>
      <c r="C5" s="734" t="inlineStr">
        <is>
          <t>私人财富管理资深顾问PWA2-5</t>
        </is>
      </c>
      <c r="D5" s="735" t="n">
        <v>46204</v>
      </c>
      <c r="E5" s="735" t="n">
        <v>46387</v>
      </c>
      <c r="F5" s="734" t="n">
        <v>16727.04</v>
      </c>
      <c r="G5" s="734" t="n">
        <v>816.3607009999999</v>
      </c>
      <c r="H5" s="734" t="n">
        <v>0</v>
      </c>
      <c r="I5" s="734" t="n">
        <v>0</v>
      </c>
      <c r="J5" s="734" t="n">
        <v>0</v>
      </c>
      <c r="K5" s="734">
        <f>SUM(H5:J5)</f>
        <v/>
      </c>
      <c r="L5" s="734" t="n">
        <v>547.582464</v>
      </c>
      <c r="M5" s="734" t="n">
        <v>0</v>
      </c>
      <c r="N5" s="734" t="n">
        <v>268.778237</v>
      </c>
      <c r="O5" s="734">
        <f>SUM(L5:N5)</f>
        <v/>
      </c>
      <c r="P5" s="734" t="n">
        <v>832.638851</v>
      </c>
      <c r="Q5" s="734" t="n">
        <v>3261.7728</v>
      </c>
      <c r="R5" s="734" t="n">
        <v>555.368737</v>
      </c>
      <c r="S5" s="734">
        <f>SUM(P5:R5)</f>
        <v/>
      </c>
      <c r="T5" s="734" t="n">
        <v>593.9975920000001</v>
      </c>
      <c r="U5" s="734" t="n">
        <v>0</v>
      </c>
      <c r="V5" s="734" t="n">
        <v>382.045052</v>
      </c>
      <c r="W5" s="734">
        <f>SUM(T5:V5)</f>
        <v/>
      </c>
      <c r="X5" s="734" t="n">
        <v>249.800095</v>
      </c>
      <c r="Y5" s="734" t="n">
        <v>5040.9216</v>
      </c>
      <c r="Z5" s="734" t="n">
        <v>342.801462</v>
      </c>
      <c r="AA5" s="734">
        <f>SUM(X5:Z5)</f>
        <v/>
      </c>
      <c r="AB5" s="734" t="n">
        <v>1613.445926</v>
      </c>
      <c r="AC5" s="734" t="n">
        <v>0</v>
      </c>
      <c r="AD5" s="734" t="n">
        <v>488.407071</v>
      </c>
      <c r="AE5" s="734">
        <f>SUM(AB5:AD5)</f>
        <v/>
      </c>
      <c r="AF5" s="734" t="n">
        <v>454.800547</v>
      </c>
      <c r="AG5" s="734" t="n">
        <v>0</v>
      </c>
      <c r="AH5" s="734" t="n">
        <v>289.117436</v>
      </c>
      <c r="AI5" s="734">
        <f>SUM(AF5:AH5)</f>
        <v/>
      </c>
      <c r="AJ5" s="734" t="n">
        <v>3311.566531</v>
      </c>
      <c r="AK5" s="372">
        <f>SUM(K5+O5+S5+W5+AA5+AE5+AI5+AJ5)</f>
        <v/>
      </c>
      <c r="AL5" s="373">
        <f>IF(F5=0,"",K5/(F5/((YEAR(E5)*12+MONTH(E5))-(YEAR(D5)*12+MONTH(D5))+1)))</f>
        <v/>
      </c>
      <c r="AM5" s="373">
        <f>G5/F5</f>
        <v/>
      </c>
      <c r="AN5" s="736">
        <f>F5-G5</f>
        <v/>
      </c>
      <c r="AO5" s="733" t="n"/>
      <c r="AP5" s="733" t="n"/>
      <c r="AQ5" s="733" t="n"/>
      <c r="AR5" s="706" t="inlineStr"/>
      <c r="AS5" s="706" t="inlineStr"/>
      <c r="AT5" s="328" t="n">
        <v>46023</v>
      </c>
      <c r="AU5" s="328" t="n">
        <v>46203</v>
      </c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  <c r="BN5" s="706" t="inlineStr"/>
      <c r="BO5" s="706" t="inlineStr"/>
      <c r="BP5" s="706" t="inlineStr"/>
      <c r="BQ5" s="706" t="inlineStr"/>
    </row>
    <row r="6" outlineLevel="1" ht="14.25" customFormat="1" customHeight="1" s="483">
      <c r="A6" s="733" t="n"/>
      <c r="B6" s="734" t="inlineStr">
        <is>
          <t>理财师018</t>
        </is>
      </c>
      <c r="C6" s="734" t="inlineStr">
        <is>
          <t>首席私人财富管理专家PWA5-1</t>
        </is>
      </c>
      <c r="D6" s="735" t="n">
        <v>46174</v>
      </c>
      <c r="E6" s="735" t="n">
        <v>46387</v>
      </c>
      <c r="F6" s="734" t="n">
        <v>54670.7161</v>
      </c>
      <c r="G6" s="734" t="n">
        <v>47893.571589</v>
      </c>
      <c r="H6" s="734" t="n">
        <v>222.233372</v>
      </c>
      <c r="I6" s="734" t="n">
        <v>0</v>
      </c>
      <c r="J6" s="734" t="n">
        <v>0</v>
      </c>
      <c r="K6" s="734">
        <f>SUM(H6:J6)</f>
        <v/>
      </c>
      <c r="L6" s="734" t="n">
        <v>11371.418899</v>
      </c>
      <c r="M6" s="734" t="n">
        <v>28777.196448</v>
      </c>
      <c r="N6" s="734" t="n">
        <v>2367.643353</v>
      </c>
      <c r="O6" s="734">
        <f>SUM(L6:N6)</f>
        <v/>
      </c>
      <c r="P6" s="734" t="n">
        <v>1893.590051</v>
      </c>
      <c r="Q6" s="734" t="n">
        <v>0</v>
      </c>
      <c r="R6" s="734" t="n">
        <v>3261.489465</v>
      </c>
      <c r="S6" s="734">
        <f>SUM(P6:R6)</f>
        <v/>
      </c>
      <c r="T6" s="734" t="n">
        <v>15009.556327</v>
      </c>
      <c r="U6" s="734" t="n">
        <v>0</v>
      </c>
      <c r="V6" s="734" t="n">
        <v>1609.578423</v>
      </c>
      <c r="W6" s="734">
        <f>SUM(T6:V6)</f>
        <v/>
      </c>
      <c r="X6" s="734" t="n">
        <v>3788.477067</v>
      </c>
      <c r="Y6" s="734" t="n">
        <v>0</v>
      </c>
      <c r="Z6" s="734" t="n">
        <v>1122.243766</v>
      </c>
      <c r="AA6" s="734">
        <f>SUM(X6:Z6)</f>
        <v/>
      </c>
      <c r="AB6" s="734" t="n">
        <v>1444.66245</v>
      </c>
      <c r="AC6" s="734" t="n">
        <v>0</v>
      </c>
      <c r="AD6" s="734" t="n">
        <v>1063.763858</v>
      </c>
      <c r="AE6" s="734">
        <f>SUM(AB6:AD6)</f>
        <v/>
      </c>
      <c r="AF6" s="734" t="n">
        <v>9688.821542</v>
      </c>
      <c r="AG6" s="734" t="n">
        <v>0</v>
      </c>
      <c r="AH6" s="734" t="n">
        <v>606.6776630000001</v>
      </c>
      <c r="AI6" s="734">
        <f>SUM(AF6:AH6)</f>
        <v/>
      </c>
      <c r="AJ6" s="734" t="n">
        <v>13116.995922</v>
      </c>
      <c r="AK6" s="372">
        <f>SUM(K6+O6+S6+W6+AA6+AE6+AI6+AJ6)</f>
        <v/>
      </c>
      <c r="AL6" s="373">
        <f>IF(F6=0,"",K6/(F6/((YEAR(E6)*12+MONTH(E6))-(YEAR(D6)*12+MONTH(D6))+1)))</f>
        <v/>
      </c>
      <c r="AM6" s="373">
        <f>G6/F6</f>
        <v/>
      </c>
      <c r="AN6" s="736">
        <f>F6-G6</f>
        <v/>
      </c>
      <c r="AO6" s="733" t="n"/>
      <c r="AP6" s="733" t="n"/>
      <c r="AQ6" s="733" t="n"/>
      <c r="AR6" s="706" t="inlineStr"/>
      <c r="AS6" s="706" t="inlineStr"/>
      <c r="AT6" s="706" t="inlineStr">
        <is>
          <t>计算日期</t>
        </is>
      </c>
      <c r="AU6" s="706">
        <f>W5-V5</f>
        <v/>
      </c>
      <c r="AV6" s="706" t="inlineStr">
        <is>
          <t>时间进度</t>
        </is>
      </c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  <c r="BN6" s="706" t="inlineStr"/>
      <c r="BO6" s="706" t="inlineStr"/>
      <c r="BP6" s="706" t="inlineStr"/>
      <c r="BQ6" s="706" t="inlineStr"/>
    </row>
    <row r="7" outlineLevel="1" ht="14.25" customFormat="1" customHeight="1" s="483">
      <c r="A7" s="733" t="n"/>
      <c r="B7" s="734" t="inlineStr">
        <is>
          <t>理财师019</t>
        </is>
      </c>
      <c r="C7" s="734" t="inlineStr">
        <is>
          <t>观察期PWA0-1</t>
        </is>
      </c>
      <c r="D7" s="735" t="n">
        <v>46204</v>
      </c>
      <c r="E7" s="735" t="n">
        <v>46387</v>
      </c>
      <c r="F7" s="734" t="n">
        <v>3595.62</v>
      </c>
      <c r="G7" s="734" t="n">
        <v>785.714744</v>
      </c>
      <c r="H7" s="734" t="n">
        <v>0</v>
      </c>
      <c r="I7" s="734" t="n">
        <v>567.5943</v>
      </c>
      <c r="J7" s="734" t="n">
        <v>0</v>
      </c>
      <c r="K7" s="734">
        <f>SUM(H7:J7)</f>
        <v/>
      </c>
      <c r="L7" s="734" t="n">
        <v>191.980425</v>
      </c>
      <c r="M7" s="734" t="n">
        <v>0</v>
      </c>
      <c r="N7" s="734" t="n">
        <v>26.140019</v>
      </c>
      <c r="O7" s="734">
        <f>SUM(L7:N7)</f>
        <v/>
      </c>
      <c r="P7" s="734" t="n">
        <v>125.538504</v>
      </c>
      <c r="Q7" s="734" t="n">
        <v>0</v>
      </c>
      <c r="R7" s="734" t="n">
        <v>202.092562</v>
      </c>
      <c r="S7" s="734">
        <f>SUM(P7:R7)</f>
        <v/>
      </c>
      <c r="T7" s="734" t="n">
        <v>66.7758</v>
      </c>
      <c r="U7" s="734" t="n">
        <v>0</v>
      </c>
      <c r="V7" s="734" t="n">
        <v>22.323011</v>
      </c>
      <c r="W7" s="734">
        <f>SUM(T7:V7)</f>
        <v/>
      </c>
      <c r="X7" s="734" t="n">
        <v>133.5516</v>
      </c>
      <c r="Y7" s="734" t="n">
        <v>0</v>
      </c>
      <c r="Z7" s="734" t="n">
        <v>22.107856</v>
      </c>
      <c r="AA7" s="734">
        <f>SUM(X7:Z7)</f>
        <v/>
      </c>
      <c r="AB7" s="734" t="n">
        <v>500.150742</v>
      </c>
      <c r="AC7" s="734" t="n">
        <v>0</v>
      </c>
      <c r="AD7" s="734" t="n">
        <v>157.397938</v>
      </c>
      <c r="AE7" s="734">
        <f>SUM(AB7:AD7)</f>
        <v/>
      </c>
      <c r="AF7" s="734" t="n">
        <v>267.1032</v>
      </c>
      <c r="AG7" s="734" t="n">
        <v>0</v>
      </c>
      <c r="AH7" s="734" t="n">
        <v>25.494675</v>
      </c>
      <c r="AI7" s="734">
        <f>SUM(AF7:AH7)</f>
        <v/>
      </c>
      <c r="AJ7" s="734" t="n">
        <v>2351.885696</v>
      </c>
      <c r="AK7" s="372">
        <f>SUM(K7+O7+S7+W7+AA7+AE7+AI7+AJ7)</f>
        <v/>
      </c>
      <c r="AL7" s="373">
        <f>IF(F7=0,"",K7/(F7/((YEAR(E7)*12+MONTH(E7))-(YEAR(D7)*12+MONTH(D7))+1)))</f>
        <v/>
      </c>
      <c r="AM7" s="373">
        <f>G7/F7</f>
        <v/>
      </c>
      <c r="AN7" s="736">
        <f>F7-G7</f>
        <v/>
      </c>
      <c r="AO7" s="733" t="n"/>
      <c r="AP7" s="733" t="n"/>
      <c r="AQ7" s="733" t="n"/>
      <c r="AR7" s="706" t="inlineStr"/>
      <c r="AS7" s="706" t="inlineStr"/>
      <c r="AT7" s="709" t="n">
        <v>46248</v>
      </c>
      <c r="AU7" s="330">
        <f>AU5-AT5+1</f>
        <v/>
      </c>
      <c r="AV7" s="331">
        <f>(AT7-AT5+1)/AU7</f>
        <v/>
      </c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  <c r="BN7" s="706" t="inlineStr"/>
      <c r="BO7" s="706" t="inlineStr"/>
      <c r="BP7" s="706" t="inlineStr"/>
      <c r="BQ7" s="706" t="inlineStr"/>
    </row>
    <row r="8" outlineLevel="1" ht="14.25" customFormat="1" customHeight="1" s="483">
      <c r="A8" s="737" t="n"/>
      <c r="B8" s="734" t="inlineStr">
        <is>
          <t>理财师025</t>
        </is>
      </c>
      <c r="C8" s="734" t="inlineStr">
        <is>
          <t>私人财富管理专家PWA4-5</t>
        </is>
      </c>
      <c r="D8" s="735" t="n">
        <v>46097</v>
      </c>
      <c r="E8" s="735" t="n">
        <v>46295</v>
      </c>
      <c r="F8" s="734" t="n">
        <v>34622.728767</v>
      </c>
      <c r="G8" s="734" t="n">
        <v>8011.777807</v>
      </c>
      <c r="H8" s="734" t="n">
        <v>0</v>
      </c>
      <c r="I8" s="734" t="n">
        <v>0</v>
      </c>
      <c r="J8" s="734" t="n">
        <v>0</v>
      </c>
      <c r="K8" s="734">
        <f>SUM(H8:J8)</f>
        <v/>
      </c>
      <c r="L8" s="734" t="n">
        <v>257.985</v>
      </c>
      <c r="M8" s="734" t="n">
        <v>7079.164538</v>
      </c>
      <c r="N8" s="734" t="n">
        <v>74.758757</v>
      </c>
      <c r="O8" s="734">
        <f>SUM(L8:N8)</f>
        <v/>
      </c>
      <c r="P8" s="734" t="n">
        <v>95.21789800000001</v>
      </c>
      <c r="Q8" s="734" t="n">
        <v>264.17664</v>
      </c>
      <c r="R8" s="734" t="n">
        <v>67.830038</v>
      </c>
      <c r="S8" s="734">
        <f>SUM(P8:R8)</f>
        <v/>
      </c>
      <c r="T8" s="734" t="n">
        <v>130.02444</v>
      </c>
      <c r="U8" s="734" t="n">
        <v>0</v>
      </c>
      <c r="V8" s="734" t="n">
        <v>16.066547</v>
      </c>
      <c r="W8" s="734">
        <f>SUM(T8:V8)</f>
        <v/>
      </c>
      <c r="X8" s="734" t="n">
        <v>0</v>
      </c>
      <c r="Y8" s="734" t="n">
        <v>0</v>
      </c>
      <c r="Z8" s="734" t="n">
        <v>12.779778</v>
      </c>
      <c r="AA8" s="734">
        <f>SUM(X8:Z8)</f>
        <v/>
      </c>
      <c r="AB8" s="734" t="n">
        <v>0</v>
      </c>
      <c r="AC8" s="734" t="n">
        <v>25509.5568</v>
      </c>
      <c r="AD8" s="734" t="n">
        <v>13.774172</v>
      </c>
      <c r="AE8" s="734">
        <f>SUM(AB8:AD8)</f>
        <v/>
      </c>
      <c r="AF8" s="734" t="n">
        <v>41.2776</v>
      </c>
      <c r="AG8" s="734" t="n">
        <v>0</v>
      </c>
      <c r="AH8" s="734" t="n">
        <v>18.646322</v>
      </c>
      <c r="AI8" s="734">
        <f>SUM(AF8:AH8)</f>
        <v/>
      </c>
      <c r="AJ8" s="734" t="n">
        <v>683.02396</v>
      </c>
      <c r="AK8" s="372">
        <f>SUM(K8+O8+S8+W8+AA8+AE8+AI8+AJ8)</f>
        <v/>
      </c>
      <c r="AL8" s="373">
        <f>IF(F8=0,"",K8/(F8/((YEAR(E8)*12+MONTH(E8))-(YEAR(D8)*12+MONTH(D8))+1)))</f>
        <v/>
      </c>
      <c r="AM8" s="373">
        <f>G8/F8</f>
        <v/>
      </c>
      <c r="AN8" s="736">
        <f>F8-G8</f>
        <v/>
      </c>
      <c r="AO8" s="737" t="n"/>
      <c r="AP8" s="737" t="n"/>
      <c r="AQ8" s="737" t="n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  <c r="BN8" s="706" t="inlineStr"/>
      <c r="BO8" s="706" t="inlineStr"/>
      <c r="BP8" s="706" t="inlineStr"/>
      <c r="BQ8" s="706" t="inlineStr"/>
    </row>
    <row r="9" outlineLevel="1" ht="14.25" customFormat="1" customHeight="1" s="483">
      <c r="A9" s="738" t="inlineStr">
        <is>
          <t>合计</t>
        </is>
      </c>
      <c r="B9" s="739" t="n"/>
      <c r="C9" s="739" t="n"/>
      <c r="D9" s="739" t="n"/>
      <c r="E9" s="740" t="n"/>
      <c r="F9" s="379">
        <f>SUM(F4:F8)</f>
        <v/>
      </c>
      <c r="G9" s="738">
        <f>SUM(G4:G8)</f>
        <v/>
      </c>
      <c r="H9" s="738">
        <f>SUM(H4:H8)</f>
        <v/>
      </c>
      <c r="I9" s="738">
        <f>SUM(I4:I8)</f>
        <v/>
      </c>
      <c r="J9" s="738">
        <f>SUM(J4:J8)</f>
        <v/>
      </c>
      <c r="K9" s="738">
        <f>SUM(K4:K8)</f>
        <v/>
      </c>
      <c r="L9" s="738">
        <f>SUM(L4:L8)</f>
        <v/>
      </c>
      <c r="M9" s="738">
        <f>SUM(M4:M8)</f>
        <v/>
      </c>
      <c r="N9" s="738">
        <f>SUM(N4:N8)</f>
        <v/>
      </c>
      <c r="O9" s="738">
        <f>SUM(O4:O8)</f>
        <v/>
      </c>
      <c r="P9" s="738">
        <f>SUM(P4:P8)</f>
        <v/>
      </c>
      <c r="Q9" s="738">
        <f>SUM(Q4:Q8)</f>
        <v/>
      </c>
      <c r="R9" s="738">
        <f>SUM(R4:R8)</f>
        <v/>
      </c>
      <c r="S9" s="738">
        <f>SUM(S4:S8)</f>
        <v/>
      </c>
      <c r="T9" s="738">
        <f>SUM(T4:T8)</f>
        <v/>
      </c>
      <c r="U9" s="738">
        <f>SUM(U4:U8)</f>
        <v/>
      </c>
      <c r="V9" s="738">
        <f>SUM(V4:V8)</f>
        <v/>
      </c>
      <c r="W9" s="738">
        <f>SUM(W4:W8)</f>
        <v/>
      </c>
      <c r="X9" s="738">
        <f>SUM(X4:X8)</f>
        <v/>
      </c>
      <c r="Y9" s="738">
        <f>SUM(Y4:Y8)</f>
        <v/>
      </c>
      <c r="Z9" s="738">
        <f>SUM(Z4:Z8)</f>
        <v/>
      </c>
      <c r="AA9" s="738">
        <f>SUM(AA4:AA8)</f>
        <v/>
      </c>
      <c r="AB9" s="738">
        <f>SUM(AB4:AB8)</f>
        <v/>
      </c>
      <c r="AC9" s="738">
        <f>SUM(AC4:AC8)</f>
        <v/>
      </c>
      <c r="AD9" s="738">
        <f>SUM(AD4:AD8)</f>
        <v/>
      </c>
      <c r="AE9" s="738">
        <f>SUM(AE4:AE8)</f>
        <v/>
      </c>
      <c r="AF9" s="738">
        <f>SUM(AF4:AF8)</f>
        <v/>
      </c>
      <c r="AG9" s="738">
        <f>SUM(AG4:AG8)</f>
        <v/>
      </c>
      <c r="AH9" s="738">
        <f>SUM(AH4:AH8)</f>
        <v/>
      </c>
      <c r="AI9" s="738">
        <f>SUM(AI4:AI8)</f>
        <v/>
      </c>
      <c r="AJ9" s="738">
        <f>SUM(AJ4:AJ8)</f>
        <v/>
      </c>
      <c r="AK9" s="741">
        <f>SUM(K9+O9+S9+W9+AA9+AE9+AI9+AJ9)</f>
        <v/>
      </c>
      <c r="AL9" s="381">
        <f>IF(F9=0,"",K9/(F9/((YEAR(E4)*12+MONTH(E4))-(YEAR(D4)*12+MONTH(D4))+1)))</f>
        <v/>
      </c>
      <c r="AM9" s="382">
        <f>G9/F9</f>
        <v/>
      </c>
      <c r="AN9" s="741">
        <f>F9-G9</f>
        <v/>
      </c>
      <c r="AO9" s="383">
        <f>AO4</f>
        <v/>
      </c>
      <c r="AP9" s="381">
        <f>AK9/AO4</f>
        <v/>
      </c>
      <c r="AQ9" s="742">
        <f>AO4-AK9</f>
        <v/>
      </c>
      <c r="AR9" s="713" t="inlineStr"/>
      <c r="AS9" s="713" t="inlineStr"/>
      <c r="AT9" s="340" t="n">
        <v>46136</v>
      </c>
      <c r="AU9" s="713" t="inlineStr"/>
      <c r="AV9" s="341">
        <f>(AD10-DATE(YEAR(AD10),1,1)+1)/AE9</f>
        <v/>
      </c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  <c r="BN9" s="713" t="inlineStr"/>
      <c r="BO9" s="713" t="inlineStr"/>
      <c r="BP9" s="713" t="inlineStr"/>
      <c r="BQ9" s="713" t="inlineStr"/>
    </row>
    <row r="10" outlineLevel="1" ht="14.25" customFormat="1" customHeight="1" s="483">
      <c r="A10" s="729" t="inlineStr">
        <is>
          <t>理财师014</t>
        </is>
      </c>
      <c r="B10" s="729" t="inlineStr">
        <is>
          <t>理财师014</t>
        </is>
      </c>
      <c r="C10" s="729" t="inlineStr">
        <is>
          <t>私人财富管理专家PWA4-5</t>
        </is>
      </c>
      <c r="D10" s="730" t="n">
        <v>46204</v>
      </c>
      <c r="E10" s="730" t="n">
        <v>46387</v>
      </c>
      <c r="F10" s="729" t="n">
        <v>18162</v>
      </c>
      <c r="G10" s="729" t="n">
        <v>3276.951815</v>
      </c>
      <c r="H10" s="729" t="n">
        <v>243.667059</v>
      </c>
      <c r="I10" s="729" t="n">
        <v>0</v>
      </c>
      <c r="J10" s="729" t="n">
        <v>0</v>
      </c>
      <c r="K10" s="729">
        <f>SUM(H10:J10)</f>
        <v/>
      </c>
      <c r="L10" s="729" t="n">
        <v>2834.050594</v>
      </c>
      <c r="M10" s="729" t="n">
        <v>0</v>
      </c>
      <c r="N10" s="729" t="n">
        <v>199.234162</v>
      </c>
      <c r="O10" s="729">
        <f>SUM(L10:N10)</f>
        <v/>
      </c>
      <c r="P10" s="729" t="n">
        <v>3599.205131</v>
      </c>
      <c r="Q10" s="729" t="n">
        <v>0</v>
      </c>
      <c r="R10" s="729" t="n">
        <v>206.636572</v>
      </c>
      <c r="S10" s="729">
        <f>SUM(P10:R10)</f>
        <v/>
      </c>
      <c r="T10" s="729" t="n">
        <v>4233.38058</v>
      </c>
      <c r="U10" s="729" t="n">
        <v>0</v>
      </c>
      <c r="V10" s="729" t="n">
        <v>103.388547</v>
      </c>
      <c r="W10" s="729">
        <f>SUM(T10:V10)</f>
        <v/>
      </c>
      <c r="X10" s="729" t="n">
        <v>2418.943367</v>
      </c>
      <c r="Y10" s="729" t="n">
        <v>2443.706261</v>
      </c>
      <c r="Z10" s="729" t="n">
        <v>88.105912</v>
      </c>
      <c r="AA10" s="729">
        <f>SUM(X10:Z10)</f>
        <v/>
      </c>
      <c r="AB10" s="729" t="n">
        <v>2574.496213</v>
      </c>
      <c r="AC10" s="729" t="n">
        <v>2927.70165</v>
      </c>
      <c r="AD10" s="729" t="n">
        <v>154.748145</v>
      </c>
      <c r="AE10" s="729">
        <f>SUM(AB10:AD10)</f>
        <v/>
      </c>
      <c r="AF10" s="729" t="n">
        <v>745.691219</v>
      </c>
      <c r="AG10" s="729" t="n">
        <v>2330.36622</v>
      </c>
      <c r="AH10" s="729" t="n">
        <v>72.478376</v>
      </c>
      <c r="AI10" s="729">
        <f>SUM(AF10:AH10)</f>
        <v/>
      </c>
      <c r="AJ10" s="729" t="n">
        <v>3042.835811</v>
      </c>
      <c r="AK10" s="363">
        <f>SUM(K10+O10+S10+W10+AA10+AE10+AI10+AJ10)</f>
        <v/>
      </c>
      <c r="AL10" s="364">
        <f>IF(F10=0,"",K10/(F10/((YEAR(E10)*12+MONTH(E10))-(YEAR(D10)*12+MONTH(D10))+1)))</f>
        <v/>
      </c>
      <c r="AM10" s="364">
        <f>G10/F10</f>
        <v/>
      </c>
      <c r="AN10" s="731">
        <f>F10-G10</f>
        <v/>
      </c>
      <c r="AO10" s="366">
        <f>SUM(F10:F13)</f>
        <v/>
      </c>
      <c r="AP10" s="367">
        <f>AP14</f>
        <v/>
      </c>
      <c r="AQ10" s="732">
        <f>AQ14</f>
        <v/>
      </c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  <c r="BN10" s="706" t="inlineStr"/>
      <c r="BO10" s="706" t="inlineStr"/>
      <c r="BP10" s="706" t="inlineStr"/>
      <c r="BQ10" s="706" t="inlineStr"/>
    </row>
    <row r="11" outlineLevel="1" ht="14.25" customFormat="1" customHeight="1" s="483">
      <c r="A11" s="733" t="n"/>
      <c r="B11" s="734" t="inlineStr">
        <is>
          <t>理财师022</t>
        </is>
      </c>
      <c r="C11" s="734" t="inlineStr">
        <is>
          <t>观察期PWA0-1</t>
        </is>
      </c>
      <c r="D11" s="735" t="n">
        <v>46174</v>
      </c>
      <c r="E11" s="735" t="n">
        <v>46356</v>
      </c>
      <c r="F11" s="734" t="n">
        <v>5907.91</v>
      </c>
      <c r="G11" s="734" t="n">
        <v>5242.838518</v>
      </c>
      <c r="H11" s="734" t="n">
        <v>0</v>
      </c>
      <c r="I11" s="734" t="n">
        <v>0</v>
      </c>
      <c r="J11" s="734" t="n">
        <v>0</v>
      </c>
      <c r="K11" s="734">
        <f>SUM(H11:J11)</f>
        <v/>
      </c>
      <c r="L11" s="734" t="n">
        <v>0</v>
      </c>
      <c r="M11" s="734" t="n">
        <v>4869.403051</v>
      </c>
      <c r="N11" s="734" t="n">
        <v>33.172446</v>
      </c>
      <c r="O11" s="734">
        <f>SUM(L11:N11)</f>
        <v/>
      </c>
      <c r="P11" s="734" t="n">
        <v>304.3131</v>
      </c>
      <c r="Q11" s="734" t="n">
        <v>0</v>
      </c>
      <c r="R11" s="734" t="n">
        <v>35.949921</v>
      </c>
      <c r="S11" s="734">
        <f>SUM(P11:R11)</f>
        <v/>
      </c>
      <c r="T11" s="734" t="n">
        <v>139.11456</v>
      </c>
      <c r="U11" s="734" t="n">
        <v>2956.1844</v>
      </c>
      <c r="V11" s="734" t="n">
        <v>14.716853</v>
      </c>
      <c r="W11" s="734">
        <f>SUM(T11:V11)</f>
        <v/>
      </c>
      <c r="X11" s="734" t="n">
        <v>280.185418</v>
      </c>
      <c r="Y11" s="734" t="n">
        <v>773.505646</v>
      </c>
      <c r="Z11" s="734" t="n">
        <v>3.573146</v>
      </c>
      <c r="AA11" s="734">
        <f>SUM(X11:Z11)</f>
        <v/>
      </c>
      <c r="AB11" s="734" t="n">
        <v>43.4733</v>
      </c>
      <c r="AC11" s="734" t="n">
        <v>0</v>
      </c>
      <c r="AD11" s="734" t="n">
        <v>10.334614</v>
      </c>
      <c r="AE11" s="734">
        <f>SUM(AB11:AD11)</f>
        <v/>
      </c>
      <c r="AF11" s="734" t="n">
        <v>0</v>
      </c>
      <c r="AG11" s="734" t="n">
        <v>0</v>
      </c>
      <c r="AH11" s="734" t="n">
        <v>0</v>
      </c>
      <c r="AI11" s="734">
        <f>SUM(AF11:AH11)</f>
        <v/>
      </c>
      <c r="AJ11" s="734" t="n">
        <v>0</v>
      </c>
      <c r="AK11" s="372">
        <f>SUM(K11+O11+S11+W11+AA11+AE11+AI11+AJ11)</f>
        <v/>
      </c>
      <c r="AL11" s="373">
        <f>IF(F11=0,"",K11/(F11/((YEAR(E11)*12+MONTH(E11))-(YEAR(D11)*12+MONTH(D11))+1)))</f>
        <v/>
      </c>
      <c r="AM11" s="373">
        <f>G11/F11</f>
        <v/>
      </c>
      <c r="AN11" s="736">
        <f>F11-G11</f>
        <v/>
      </c>
      <c r="AO11" s="733" t="n"/>
      <c r="AP11" s="733" t="n"/>
      <c r="AQ11" s="733" t="n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  <c r="BN11" s="706" t="inlineStr"/>
      <c r="BO11" s="706" t="inlineStr"/>
      <c r="BP11" s="706" t="inlineStr"/>
      <c r="BQ11" s="706" t="inlineStr"/>
    </row>
    <row r="12" outlineLevel="1" ht="14.25" customFormat="1" customHeight="1" s="483">
      <c r="A12" s="733" t="n"/>
      <c r="B12" s="734" t="inlineStr">
        <is>
          <t>理财师013</t>
        </is>
      </c>
      <c r="C12" s="734" t="inlineStr">
        <is>
          <t>私人财富管理总监PWA3-3</t>
        </is>
      </c>
      <c r="D12" s="735" t="n">
        <v>46204</v>
      </c>
      <c r="E12" s="735" t="n">
        <v>46387</v>
      </c>
      <c r="F12" s="734" t="n">
        <v>21002.4</v>
      </c>
      <c r="G12" s="734" t="n">
        <v>6031.033074</v>
      </c>
      <c r="H12" s="734" t="n">
        <v>357.47975</v>
      </c>
      <c r="I12" s="734" t="n">
        <v>0</v>
      </c>
      <c r="J12" s="734" t="n">
        <v>0</v>
      </c>
      <c r="K12" s="734">
        <f>SUM(H12:J12)</f>
        <v/>
      </c>
      <c r="L12" s="734" t="n">
        <v>5487.872514</v>
      </c>
      <c r="M12" s="734" t="n">
        <v>0</v>
      </c>
      <c r="N12" s="734" t="n">
        <v>185.68081</v>
      </c>
      <c r="O12" s="734">
        <f>SUM(L12:N12)</f>
        <v/>
      </c>
      <c r="P12" s="734" t="n">
        <v>5138.663789</v>
      </c>
      <c r="Q12" s="734" t="n">
        <v>0</v>
      </c>
      <c r="R12" s="734" t="n">
        <v>787.892575</v>
      </c>
      <c r="S12" s="734">
        <f>SUM(P12:R12)</f>
        <v/>
      </c>
      <c r="T12" s="734" t="n">
        <v>527.86032</v>
      </c>
      <c r="U12" s="734" t="n">
        <v>0</v>
      </c>
      <c r="V12" s="734" t="n">
        <v>176.99322</v>
      </c>
      <c r="W12" s="734">
        <f>SUM(T12:V12)</f>
        <v/>
      </c>
      <c r="X12" s="734" t="n">
        <v>5719.894428</v>
      </c>
      <c r="Y12" s="734" t="n">
        <v>0</v>
      </c>
      <c r="Z12" s="734" t="n">
        <v>170.991639</v>
      </c>
      <c r="AA12" s="734">
        <f>SUM(X12:Z12)</f>
        <v/>
      </c>
      <c r="AB12" s="734" t="n">
        <v>2659.960961</v>
      </c>
      <c r="AC12" s="734" t="n">
        <v>0</v>
      </c>
      <c r="AD12" s="734" t="n">
        <v>743.622962</v>
      </c>
      <c r="AE12" s="734">
        <f>SUM(AB12:AD12)</f>
        <v/>
      </c>
      <c r="AF12" s="734" t="n">
        <v>0</v>
      </c>
      <c r="AG12" s="734" t="n">
        <v>0</v>
      </c>
      <c r="AH12" s="734" t="n">
        <v>144.157177</v>
      </c>
      <c r="AI12" s="734">
        <f>SUM(AF12:AH12)</f>
        <v/>
      </c>
      <c r="AJ12" s="734" t="n">
        <v>6482.195956</v>
      </c>
      <c r="AK12" s="372">
        <f>SUM(K12+O12+S12+W12+AA12+AE12+AI12+AJ12)</f>
        <v/>
      </c>
      <c r="AL12" s="373">
        <f>IF(F12=0,"",K12/(F12/((YEAR(E12)*12+MONTH(E12))-(YEAR(D12)*12+MONTH(D12))+1)))</f>
        <v/>
      </c>
      <c r="AM12" s="373">
        <f>G12/F12</f>
        <v/>
      </c>
      <c r="AN12" s="736">
        <f>F12-G12</f>
        <v/>
      </c>
      <c r="AO12" s="733" t="n"/>
      <c r="AP12" s="733" t="n"/>
      <c r="AQ12" s="733" t="n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  <c r="BN12" s="706" t="inlineStr"/>
      <c r="BO12" s="706" t="inlineStr"/>
      <c r="BP12" s="706" t="inlineStr"/>
      <c r="BQ12" s="706" t="inlineStr"/>
    </row>
    <row r="13" outlineLevel="1" ht="14.25" customFormat="1" customHeight="1" s="483">
      <c r="A13" s="737" t="n"/>
      <c r="B13" s="734" t="inlineStr">
        <is>
          <t>理财师024</t>
        </is>
      </c>
      <c r="C13" s="734" t="inlineStr">
        <is>
          <t>私人财富管理总监PWA3-1</t>
        </is>
      </c>
      <c r="D13" s="735" t="n">
        <v>46204</v>
      </c>
      <c r="E13" s="735" t="n">
        <v>46387</v>
      </c>
      <c r="F13" s="734" t="n">
        <v>15122.64</v>
      </c>
      <c r="G13" s="734" t="n">
        <v>4053.777353</v>
      </c>
      <c r="H13" s="734" t="n">
        <v>0</v>
      </c>
      <c r="I13" s="734" t="n">
        <v>0</v>
      </c>
      <c r="J13" s="734" t="n">
        <v>0</v>
      </c>
      <c r="K13" s="734">
        <f>SUM(H13:J13)</f>
        <v/>
      </c>
      <c r="L13" s="734" t="n">
        <v>3763.612289</v>
      </c>
      <c r="M13" s="734" t="n">
        <v>0</v>
      </c>
      <c r="N13" s="734" t="n">
        <v>290.165065</v>
      </c>
      <c r="O13" s="734">
        <f>SUM(L13:N13)</f>
        <v/>
      </c>
      <c r="P13" s="734" t="n">
        <v>2826.176184</v>
      </c>
      <c r="Q13" s="734" t="n">
        <v>0</v>
      </c>
      <c r="R13" s="734" t="n">
        <v>536.034869</v>
      </c>
      <c r="S13" s="734">
        <f>SUM(P13:R13)</f>
        <v/>
      </c>
      <c r="T13" s="734" t="n">
        <v>1000.951193</v>
      </c>
      <c r="U13" s="734" t="n">
        <v>0</v>
      </c>
      <c r="V13" s="734" t="n">
        <v>278.383375</v>
      </c>
      <c r="W13" s="734">
        <f>SUM(T13:V13)</f>
        <v/>
      </c>
      <c r="X13" s="734" t="n">
        <v>3291.566745</v>
      </c>
      <c r="Y13" s="734" t="n">
        <v>0</v>
      </c>
      <c r="Z13" s="734" t="n">
        <v>242.965979</v>
      </c>
      <c r="AA13" s="734">
        <f>SUM(X13:Z13)</f>
        <v/>
      </c>
      <c r="AB13" s="734" t="n">
        <v>3556.620439</v>
      </c>
      <c r="AC13" s="734" t="n">
        <v>0</v>
      </c>
      <c r="AD13" s="734" t="n">
        <v>446.103228</v>
      </c>
      <c r="AE13" s="734">
        <f>SUM(AB13:AD13)</f>
        <v/>
      </c>
      <c r="AF13" s="734" t="n">
        <v>1054.327266</v>
      </c>
      <c r="AG13" s="734" t="n">
        <v>0</v>
      </c>
      <c r="AH13" s="734" t="n">
        <v>170.580309</v>
      </c>
      <c r="AI13" s="734">
        <f>SUM(AF13:AH13)</f>
        <v/>
      </c>
      <c r="AJ13" s="734" t="n">
        <v>692.512431</v>
      </c>
      <c r="AK13" s="372">
        <f>SUM(K13+O13+S13+W13+AA13+AE13+AI13+AJ13)</f>
        <v/>
      </c>
      <c r="AL13" s="373">
        <f>IF(F13=0,"",K13/(F13/((YEAR(E13)*12+MONTH(E13))-(YEAR(D13)*12+MONTH(D13))+1)))</f>
        <v/>
      </c>
      <c r="AM13" s="373">
        <f>G13/F13</f>
        <v/>
      </c>
      <c r="AN13" s="736">
        <f>F13-G13</f>
        <v/>
      </c>
      <c r="AO13" s="737" t="n"/>
      <c r="AP13" s="737" t="n"/>
      <c r="AQ13" s="737" t="n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  <c r="BN13" s="706" t="inlineStr"/>
      <c r="BO13" s="706" t="inlineStr"/>
      <c r="BP13" s="706" t="inlineStr"/>
      <c r="BQ13" s="706" t="inlineStr"/>
    </row>
    <row r="14" outlineLevel="1" ht="14.25" customFormat="1" customHeight="1" s="483">
      <c r="A14" s="738" t="inlineStr">
        <is>
          <t>合计</t>
        </is>
      </c>
      <c r="B14" s="739" t="n"/>
      <c r="C14" s="739" t="n"/>
      <c r="D14" s="739" t="n"/>
      <c r="E14" s="740" t="n"/>
      <c r="F14" s="379">
        <f>SUM(F10:F13)</f>
        <v/>
      </c>
      <c r="G14" s="738">
        <f>SUM(G10:G13)</f>
        <v/>
      </c>
      <c r="H14" s="738">
        <f>SUM(H10:H13)</f>
        <v/>
      </c>
      <c r="I14" s="738">
        <f>SUM(I10:I13)</f>
        <v/>
      </c>
      <c r="J14" s="738">
        <f>SUM(J10:J13)</f>
        <v/>
      </c>
      <c r="K14" s="738">
        <f>SUM(K10:K13)</f>
        <v/>
      </c>
      <c r="L14" s="738">
        <f>SUM(L10:L13)</f>
        <v/>
      </c>
      <c r="M14" s="738">
        <f>SUM(M10:M13)</f>
        <v/>
      </c>
      <c r="N14" s="738">
        <f>SUM(N10:N13)</f>
        <v/>
      </c>
      <c r="O14" s="738">
        <f>SUM(O10:O13)</f>
        <v/>
      </c>
      <c r="P14" s="738">
        <f>SUM(P10:P13)</f>
        <v/>
      </c>
      <c r="Q14" s="738">
        <f>SUM(Q10:Q13)</f>
        <v/>
      </c>
      <c r="R14" s="738">
        <f>SUM(R10:R13)</f>
        <v/>
      </c>
      <c r="S14" s="738">
        <f>SUM(S10:S13)</f>
        <v/>
      </c>
      <c r="T14" s="738">
        <f>SUM(T10:T13)</f>
        <v/>
      </c>
      <c r="U14" s="738">
        <f>SUM(U10:U13)</f>
        <v/>
      </c>
      <c r="V14" s="738">
        <f>SUM(V10:V13)</f>
        <v/>
      </c>
      <c r="W14" s="738">
        <f>SUM(W10:W13)</f>
        <v/>
      </c>
      <c r="X14" s="738">
        <f>SUM(X10:X13)</f>
        <v/>
      </c>
      <c r="Y14" s="738">
        <f>SUM(Y10:Y13)</f>
        <v/>
      </c>
      <c r="Z14" s="738">
        <f>SUM(Z10:Z13)</f>
        <v/>
      </c>
      <c r="AA14" s="738">
        <f>SUM(AA10:AA13)</f>
        <v/>
      </c>
      <c r="AB14" s="738">
        <f>SUM(AB10:AB13)</f>
        <v/>
      </c>
      <c r="AC14" s="738">
        <f>SUM(AC10:AC13)</f>
        <v/>
      </c>
      <c r="AD14" s="738">
        <f>SUM(AD10:AD13)</f>
        <v/>
      </c>
      <c r="AE14" s="738">
        <f>SUM(AE10:AE13)</f>
        <v/>
      </c>
      <c r="AF14" s="738">
        <f>SUM(AF10:AF13)</f>
        <v/>
      </c>
      <c r="AG14" s="738">
        <f>SUM(AG10:AG13)</f>
        <v/>
      </c>
      <c r="AH14" s="738">
        <f>SUM(AH10:AH13)</f>
        <v/>
      </c>
      <c r="AI14" s="738">
        <f>SUM(AI10:AI13)</f>
        <v/>
      </c>
      <c r="AJ14" s="738">
        <f>SUM(AJ10:AJ13)</f>
        <v/>
      </c>
      <c r="AK14" s="379">
        <f>SUM(K14+O14+S14+W14+AA14+AE14+AI14+AJ14)</f>
        <v/>
      </c>
      <c r="AL14" s="381">
        <f>IF(F14=0,"",K14/(F14/((YEAR(E10)*12+MONTH(E10))-(YEAR(D10)*12+MONTH(D10))+1)))</f>
        <v/>
      </c>
      <c r="AM14" s="382">
        <f>G14/F14</f>
        <v/>
      </c>
      <c r="AN14" s="743">
        <f>F14-G14</f>
        <v/>
      </c>
      <c r="AO14" s="383">
        <f>AO10</f>
        <v/>
      </c>
      <c r="AP14" s="381">
        <f>AK14/AO10</f>
        <v/>
      </c>
      <c r="AQ14" s="742">
        <f>AO10-AK14</f>
        <v/>
      </c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  <c r="BN14" s="713" t="inlineStr"/>
      <c r="BO14" s="713" t="inlineStr"/>
      <c r="BP14" s="713" t="inlineStr"/>
      <c r="BQ14" s="713" t="inlineStr"/>
    </row>
    <row r="15" outlineLevel="1" ht="14.25" customFormat="1" customHeight="1" s="483">
      <c r="A15" s="729" t="inlineStr">
        <is>
          <t>理财师007</t>
        </is>
      </c>
      <c r="B15" s="729" t="inlineStr">
        <is>
          <t>理财师023</t>
        </is>
      </c>
      <c r="C15" s="729" t="inlineStr">
        <is>
          <t>私人财富管理资深顾问PWA2-5</t>
        </is>
      </c>
      <c r="D15" s="730" t="n">
        <v>46204</v>
      </c>
      <c r="E15" s="730" t="n">
        <v>46387</v>
      </c>
      <c r="F15" s="729" t="n">
        <v>17806.8</v>
      </c>
      <c r="G15" s="729" t="n">
        <v>1610.20227</v>
      </c>
      <c r="H15" s="729" t="n">
        <v>225.052788</v>
      </c>
      <c r="I15" s="729" t="n">
        <v>0</v>
      </c>
      <c r="J15" s="729" t="n">
        <v>0</v>
      </c>
      <c r="K15" s="729">
        <f>SUM(H15:J15)</f>
        <v/>
      </c>
      <c r="L15" s="729" t="n">
        <v>1190.323875</v>
      </c>
      <c r="M15" s="729" t="n">
        <v>0</v>
      </c>
      <c r="N15" s="729" t="n">
        <v>194.825606</v>
      </c>
      <c r="O15" s="729">
        <f>SUM(L15:N15)</f>
        <v/>
      </c>
      <c r="P15" s="729" t="n">
        <v>1521.715752</v>
      </c>
      <c r="Q15" s="729" t="n">
        <v>14101.410508</v>
      </c>
      <c r="R15" s="729" t="n">
        <v>201.494206</v>
      </c>
      <c r="S15" s="729">
        <f>SUM(P15:R15)</f>
        <v/>
      </c>
      <c r="T15" s="729" t="n">
        <v>1776.618655</v>
      </c>
      <c r="U15" s="729" t="n">
        <v>0</v>
      </c>
      <c r="V15" s="729" t="n">
        <v>64.972886</v>
      </c>
      <c r="W15" s="729">
        <f>SUM(T15:V15)</f>
        <v/>
      </c>
      <c r="X15" s="729" t="n">
        <v>2171.402323</v>
      </c>
      <c r="Y15" s="729" t="n">
        <v>0</v>
      </c>
      <c r="Z15" s="729" t="n">
        <v>15.631431</v>
      </c>
      <c r="AA15" s="729">
        <f>SUM(X15:Z15)</f>
        <v/>
      </c>
      <c r="AB15" s="729" t="n">
        <v>1305.1575</v>
      </c>
      <c r="AC15" s="729" t="n">
        <v>1178.4864</v>
      </c>
      <c r="AD15" s="729" t="n">
        <v>22.441342</v>
      </c>
      <c r="AE15" s="729">
        <f>SUM(AB15:AD15)</f>
        <v/>
      </c>
      <c r="AF15" s="729" t="n">
        <v>0</v>
      </c>
      <c r="AG15" s="729" t="n">
        <v>0</v>
      </c>
      <c r="AH15" s="729" t="n">
        <v>15.177921</v>
      </c>
      <c r="AI15" s="729">
        <f>SUM(AF15:AH15)</f>
        <v/>
      </c>
      <c r="AJ15" s="729" t="n">
        <v>2630.55</v>
      </c>
      <c r="AK15" s="744">
        <f>SUM(K15+O15+S15+W15+AA15+AE15+AI15+AJ15)</f>
        <v/>
      </c>
      <c r="AL15" s="364">
        <f>IF(F15=0,"",K15/(F15/((YEAR(E15)*12+MONTH(E15))-(YEAR(D15)*12+MONTH(D15))+1)))</f>
        <v/>
      </c>
      <c r="AM15" s="364">
        <f>G15/F15</f>
        <v/>
      </c>
      <c r="AN15" s="744">
        <f>F15-G15</f>
        <v/>
      </c>
      <c r="AO15" s="366">
        <f>SUM(F15:F18)</f>
        <v/>
      </c>
      <c r="AP15" s="367">
        <f>AP19</f>
        <v/>
      </c>
      <c r="AQ15" s="745">
        <f>AQ19</f>
        <v/>
      </c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  <c r="BN15" s="706" t="inlineStr"/>
      <c r="BO15" s="706" t="inlineStr"/>
      <c r="BP15" s="706" t="inlineStr"/>
      <c r="BQ15" s="706" t="inlineStr"/>
    </row>
    <row r="16" outlineLevel="1" ht="14.25" customFormat="1" customHeight="1" s="483">
      <c r="A16" s="733" t="n"/>
      <c r="B16" s="734" t="inlineStr">
        <is>
          <t>理财师091</t>
        </is>
      </c>
      <c r="C16" s="734" t="inlineStr">
        <is>
          <t>C3</t>
        </is>
      </c>
      <c r="D16" s="735" t="n">
        <v>45866</v>
      </c>
      <c r="E16" s="735" t="n">
        <v>46049</v>
      </c>
      <c r="F16" s="734" t="n">
        <v>4042.08</v>
      </c>
      <c r="G16" s="734" t="n">
        <v>1691.696497</v>
      </c>
      <c r="H16" s="734" t="n">
        <v>0</v>
      </c>
      <c r="I16" s="734" t="n">
        <v>0</v>
      </c>
      <c r="J16" s="734" t="n">
        <v>0</v>
      </c>
      <c r="K16" s="734">
        <f>SUM(H16:J16)</f>
        <v/>
      </c>
      <c r="L16" s="734" t="n">
        <v>0</v>
      </c>
      <c r="M16" s="734" t="n">
        <v>0</v>
      </c>
      <c r="N16" s="734" t="n">
        <v>10.748728</v>
      </c>
      <c r="O16" s="734">
        <f>SUM(L16:N16)</f>
        <v/>
      </c>
      <c r="P16" s="734" t="n">
        <v>0</v>
      </c>
      <c r="Q16" s="734" t="n">
        <v>0</v>
      </c>
      <c r="R16" s="734" t="n">
        <v>11.31433</v>
      </c>
      <c r="S16" s="734">
        <f>SUM(P16:R16)</f>
        <v/>
      </c>
      <c r="T16" s="734" t="n">
        <v>0</v>
      </c>
      <c r="U16" s="734" t="n">
        <v>0</v>
      </c>
      <c r="V16" s="734" t="n">
        <v>2.157894</v>
      </c>
      <c r="W16" s="734">
        <f>SUM(T16:V16)</f>
        <v/>
      </c>
      <c r="X16" s="734" t="n">
        <v>0</v>
      </c>
      <c r="Y16" s="734" t="n">
        <v>0</v>
      </c>
      <c r="Z16" s="734" t="n">
        <v>2.058637</v>
      </c>
      <c r="AA16" s="734">
        <f>SUM(X16:Z16)</f>
        <v/>
      </c>
      <c r="AB16" s="734" t="n">
        <v>0</v>
      </c>
      <c r="AC16" s="734" t="n">
        <v>0</v>
      </c>
      <c r="AD16" s="734" t="n">
        <v>3.23046</v>
      </c>
      <c r="AE16" s="734">
        <f>SUM(AB16:AD16)</f>
        <v/>
      </c>
      <c r="AF16" s="734" t="n">
        <v>25.0224</v>
      </c>
      <c r="AG16" s="734" t="n">
        <v>1050.9408</v>
      </c>
      <c r="AH16" s="734" t="n">
        <v>3.667668</v>
      </c>
      <c r="AI16" s="734">
        <f>SUM(AF16:AH16)</f>
        <v/>
      </c>
      <c r="AJ16" s="734" t="n">
        <v>125.112</v>
      </c>
      <c r="AK16" s="372">
        <f>SUM(K16+O16+S16+W16+AA16+AE16+AI16+AJ16)</f>
        <v/>
      </c>
      <c r="AL16" s="373">
        <f>IF(F16=0,"",K16/(F16/((YEAR(E16)*12+MONTH(E16))-(YEAR(D16)*12+MONTH(D16))+1)))</f>
        <v/>
      </c>
      <c r="AM16" s="373">
        <f>G16/F16</f>
        <v/>
      </c>
      <c r="AN16" s="736">
        <f>F16-G16</f>
        <v/>
      </c>
      <c r="AO16" s="733" t="n"/>
      <c r="AP16" s="733" t="n"/>
      <c r="AQ16" s="733" t="n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  <c r="BN16" s="706" t="inlineStr"/>
      <c r="BO16" s="706" t="inlineStr"/>
      <c r="BP16" s="706" t="inlineStr"/>
      <c r="BQ16" s="706" t="inlineStr"/>
    </row>
    <row r="17" outlineLevel="1" ht="14.25" customFormat="1" customHeight="1" s="483">
      <c r="A17" s="733" t="n"/>
      <c r="B17" s="734" t="inlineStr">
        <is>
          <t>理财师035</t>
        </is>
      </c>
      <c r="C17" s="734" t="inlineStr"/>
      <c r="D17" s="734" t="inlineStr"/>
      <c r="E17" s="734" t="inlineStr"/>
      <c r="F17" s="734" t="n">
        <v>0</v>
      </c>
      <c r="G17" s="734" t="n">
        <v>5623.483418</v>
      </c>
      <c r="H17" s="734" t="n">
        <v>0</v>
      </c>
      <c r="I17" s="734" t="n">
        <v>0</v>
      </c>
      <c r="J17" s="734" t="n">
        <v>0</v>
      </c>
      <c r="K17" s="734">
        <f>SUM(H17:J17)</f>
        <v/>
      </c>
      <c r="L17" s="734" t="n">
        <v>683.565792</v>
      </c>
      <c r="M17" s="734" t="n">
        <v>0</v>
      </c>
      <c r="N17" s="734" t="n">
        <v>24.884003</v>
      </c>
      <c r="O17" s="734">
        <f>SUM(L17:N17)</f>
        <v/>
      </c>
      <c r="P17" s="734" t="n">
        <v>412.205196</v>
      </c>
      <c r="Q17" s="734" t="n">
        <v>0</v>
      </c>
      <c r="R17" s="734" t="n">
        <v>61.849591</v>
      </c>
      <c r="S17" s="734">
        <f>SUM(P17:R17)</f>
        <v/>
      </c>
      <c r="T17" s="734" t="n">
        <v>539.9043</v>
      </c>
      <c r="U17" s="734" t="n">
        <v>1859.14872</v>
      </c>
      <c r="V17" s="734" t="n">
        <v>44.064709</v>
      </c>
      <c r="W17" s="734">
        <f>SUM(T17:V17)</f>
        <v/>
      </c>
      <c r="X17" s="734" t="n">
        <v>0</v>
      </c>
      <c r="Y17" s="734" t="n">
        <v>0</v>
      </c>
      <c r="Z17" s="734" t="n">
        <v>43.453355</v>
      </c>
      <c r="AA17" s="734">
        <f>SUM(X17:Z17)</f>
        <v/>
      </c>
      <c r="AB17" s="734" t="n">
        <v>0</v>
      </c>
      <c r="AC17" s="734" t="n">
        <v>1943.65548</v>
      </c>
      <c r="AD17" s="734" t="n">
        <v>10.752272</v>
      </c>
      <c r="AE17" s="734">
        <f>SUM(AB17:AD17)</f>
        <v/>
      </c>
      <c r="AF17" s="734" t="n">
        <v>0</v>
      </c>
      <c r="AG17" s="734" t="n">
        <v>0</v>
      </c>
      <c r="AH17" s="734" t="n">
        <v>0</v>
      </c>
      <c r="AI17" s="734">
        <f>SUM(AF17:AH17)</f>
        <v/>
      </c>
      <c r="AJ17" s="734" t="n">
        <v>0</v>
      </c>
      <c r="AK17" s="372">
        <f>SUM(K17+O17+S17+W17+AA17+AE17+AI17+AJ17)</f>
        <v/>
      </c>
      <c r="AL17" s="373">
        <f>IF(F17=0,"",K17/(F17/MAX(1,(YEAR(E17)*12+MONTH(E17))-(YEAR(D17)*12+MONTH(D17))+1)))</f>
        <v/>
      </c>
      <c r="AM17" s="373">
        <f>G17/F17</f>
        <v/>
      </c>
      <c r="AN17" s="736">
        <f>F17-G17</f>
        <v/>
      </c>
      <c r="AO17" s="733" t="n"/>
      <c r="AP17" s="733" t="n"/>
      <c r="AQ17" s="733" t="n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  <c r="BN17" s="706" t="inlineStr"/>
      <c r="BO17" s="706" t="inlineStr"/>
      <c r="BP17" s="706" t="inlineStr"/>
      <c r="BQ17" s="706" t="inlineStr"/>
    </row>
    <row r="18" outlineLevel="1" ht="14.25" customFormat="1" customHeight="1" s="483">
      <c r="A18" s="737" t="n"/>
      <c r="B18" s="734" t="inlineStr">
        <is>
          <t>理财师007</t>
        </is>
      </c>
      <c r="C18" s="734" t="inlineStr">
        <is>
          <t>私人财富管理专家PWA4-3</t>
        </is>
      </c>
      <c r="D18" s="735" t="n">
        <v>46204</v>
      </c>
      <c r="E18" s="735" t="n">
        <v>46387</v>
      </c>
      <c r="F18" s="734" t="n">
        <v>28561.17</v>
      </c>
      <c r="G18" s="734" t="n">
        <v>4313.142933</v>
      </c>
      <c r="H18" s="734" t="n">
        <v>289.839205</v>
      </c>
      <c r="I18" s="734" t="n">
        <v>0</v>
      </c>
      <c r="J18" s="734" t="n">
        <v>0</v>
      </c>
      <c r="K18" s="734">
        <f>SUM(H18:J18)</f>
        <v/>
      </c>
      <c r="L18" s="734" t="n">
        <v>3696.581357</v>
      </c>
      <c r="M18" s="734" t="n">
        <v>0</v>
      </c>
      <c r="N18" s="734" t="n">
        <v>326.722372</v>
      </c>
      <c r="O18" s="734">
        <f>SUM(L18:N18)</f>
        <v/>
      </c>
      <c r="P18" s="734" t="n">
        <v>4030.216259</v>
      </c>
      <c r="Q18" s="734" t="n">
        <v>0</v>
      </c>
      <c r="R18" s="734" t="n">
        <v>591.792457</v>
      </c>
      <c r="S18" s="734">
        <f>SUM(P18:R18)</f>
        <v/>
      </c>
      <c r="T18" s="734" t="n">
        <v>1274.903482</v>
      </c>
      <c r="U18" s="734" t="n">
        <v>3566.1951</v>
      </c>
      <c r="V18" s="734" t="n">
        <v>343.572179</v>
      </c>
      <c r="W18" s="734">
        <f>SUM(T18:V18)</f>
        <v/>
      </c>
      <c r="X18" s="734" t="n">
        <v>2660.12632</v>
      </c>
      <c r="Y18" s="734" t="n">
        <v>0</v>
      </c>
      <c r="Z18" s="734" t="n">
        <v>331.400492</v>
      </c>
      <c r="AA18" s="734">
        <f>SUM(X18:Z18)</f>
        <v/>
      </c>
      <c r="AB18" s="734" t="n">
        <v>3406.959578</v>
      </c>
      <c r="AC18" s="734" t="n">
        <v>14793.1056</v>
      </c>
      <c r="AD18" s="734" t="n">
        <v>606.358521</v>
      </c>
      <c r="AE18" s="734">
        <f>SUM(AB18:AD18)</f>
        <v/>
      </c>
      <c r="AF18" s="734" t="n">
        <v>3557.362586</v>
      </c>
      <c r="AG18" s="734" t="n">
        <v>0</v>
      </c>
      <c r="AH18" s="734" t="n">
        <v>301.023526</v>
      </c>
      <c r="AI18" s="734">
        <f>SUM(AF18:AH18)</f>
        <v/>
      </c>
      <c r="AJ18" s="734" t="n">
        <v>8988.571889000001</v>
      </c>
      <c r="AK18" s="372">
        <f>SUM(K18+O18+S18+W18+AA18+AE18+AI18+AJ18)</f>
        <v/>
      </c>
      <c r="AL18" s="373">
        <f>IF(F18=0,"",K18/(F18/((YEAR(E18)*12+MONTH(E18))-(YEAR(D18)*12+MONTH(D18))+1)))</f>
        <v/>
      </c>
      <c r="AM18" s="373">
        <f>G18/F18</f>
        <v/>
      </c>
      <c r="AN18" s="736">
        <f>F18-G18</f>
        <v/>
      </c>
      <c r="AO18" s="737" t="n"/>
      <c r="AP18" s="737" t="n"/>
      <c r="AQ18" s="737" t="n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  <c r="BN18" s="706" t="inlineStr"/>
      <c r="BO18" s="706" t="inlineStr"/>
      <c r="BP18" s="706" t="inlineStr"/>
      <c r="BQ18" s="706" t="inlineStr"/>
    </row>
    <row r="19" outlineLevel="1" ht="14.25" customFormat="1" customHeight="1" s="483">
      <c r="A19" s="738" t="inlineStr">
        <is>
          <t>合计</t>
        </is>
      </c>
      <c r="B19" s="739" t="n"/>
      <c r="C19" s="739" t="n"/>
      <c r="D19" s="739" t="n"/>
      <c r="E19" s="740" t="n"/>
      <c r="F19" s="379">
        <f>SUM(F15:F18)</f>
        <v/>
      </c>
      <c r="G19" s="738">
        <f>SUM(G15:G18)</f>
        <v/>
      </c>
      <c r="H19" s="738">
        <f>SUM(H15:H18)</f>
        <v/>
      </c>
      <c r="I19" s="738">
        <f>SUM(I15:I18)</f>
        <v/>
      </c>
      <c r="J19" s="738">
        <f>SUM(J15:J18)</f>
        <v/>
      </c>
      <c r="K19" s="738">
        <f>SUM(K15:K18)</f>
        <v/>
      </c>
      <c r="L19" s="738">
        <f>SUM(L15:L18)</f>
        <v/>
      </c>
      <c r="M19" s="738">
        <f>SUM(M15:M18)</f>
        <v/>
      </c>
      <c r="N19" s="738">
        <f>SUM(N15:N18)</f>
        <v/>
      </c>
      <c r="O19" s="738">
        <f>SUM(O15:O18)</f>
        <v/>
      </c>
      <c r="P19" s="738">
        <f>SUM(P15:P18)</f>
        <v/>
      </c>
      <c r="Q19" s="738">
        <f>SUM(Q15:Q18)</f>
        <v/>
      </c>
      <c r="R19" s="738">
        <f>SUM(R15:R18)</f>
        <v/>
      </c>
      <c r="S19" s="738">
        <f>SUM(S15:S18)</f>
        <v/>
      </c>
      <c r="T19" s="738">
        <f>SUM(T15:T18)</f>
        <v/>
      </c>
      <c r="U19" s="738">
        <f>SUM(U15:U18)</f>
        <v/>
      </c>
      <c r="V19" s="738">
        <f>SUM(V15:V18)</f>
        <v/>
      </c>
      <c r="W19" s="738">
        <f>SUM(W15:W18)</f>
        <v/>
      </c>
      <c r="X19" s="738">
        <f>SUM(X15:X18)</f>
        <v/>
      </c>
      <c r="Y19" s="738">
        <f>SUM(Y15:Y18)</f>
        <v/>
      </c>
      <c r="Z19" s="738">
        <f>SUM(Z15:Z18)</f>
        <v/>
      </c>
      <c r="AA19" s="738">
        <f>SUM(AA15:AA18)</f>
        <v/>
      </c>
      <c r="AB19" s="738">
        <f>SUM(AB15:AB18)</f>
        <v/>
      </c>
      <c r="AC19" s="738">
        <f>SUM(AC15:AC18)</f>
        <v/>
      </c>
      <c r="AD19" s="738">
        <f>SUM(AD15:AD18)</f>
        <v/>
      </c>
      <c r="AE19" s="738">
        <f>SUM(AE15:AE18)</f>
        <v/>
      </c>
      <c r="AF19" s="738">
        <f>SUM(AF15:AF18)</f>
        <v/>
      </c>
      <c r="AG19" s="738">
        <f>SUM(AG15:AG18)</f>
        <v/>
      </c>
      <c r="AH19" s="738">
        <f>SUM(AH15:AH18)</f>
        <v/>
      </c>
      <c r="AI19" s="738">
        <f>SUM(AI15:AI18)</f>
        <v/>
      </c>
      <c r="AJ19" s="738">
        <f>SUM(AJ15:AJ18)</f>
        <v/>
      </c>
      <c r="AK19" s="741">
        <f>SUM(K19+O19+S19+W19+AA19+AE19+AI19+AJ19)</f>
        <v/>
      </c>
      <c r="AL19" s="381">
        <f>IF(F19=0,"",K19/(F19/((YEAR(E15)*12+MONTH(E15))-(YEAR(D15)*12+MONTH(D15))+1)))</f>
        <v/>
      </c>
      <c r="AM19" s="382">
        <f>G19/F19</f>
        <v/>
      </c>
      <c r="AN19" s="741">
        <f>F19-G19</f>
        <v/>
      </c>
      <c r="AO19" s="383">
        <f>AO15</f>
        <v/>
      </c>
      <c r="AP19" s="381">
        <f>AK19/AO15</f>
        <v/>
      </c>
      <c r="AQ19" s="742">
        <f>AO15-AK19</f>
        <v/>
      </c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  <c r="BN19" s="713" t="inlineStr"/>
      <c r="BO19" s="713" t="inlineStr"/>
      <c r="BP19" s="713" t="inlineStr"/>
      <c r="BQ19" s="713" t="inlineStr"/>
    </row>
    <row r="20" outlineLevel="1" ht="14.25" customFormat="1" customHeight="1" s="483">
      <c r="A20" s="729" t="inlineStr">
        <is>
          <t>理财师016</t>
        </is>
      </c>
      <c r="B20" s="729" t="inlineStr">
        <is>
          <t>理财师028</t>
        </is>
      </c>
      <c r="C20" s="729" t="inlineStr">
        <is>
          <t>私人财富管理专家PWA4-5</t>
        </is>
      </c>
      <c r="D20" s="730" t="n">
        <v>46001</v>
      </c>
      <c r="E20" s="730" t="n">
        <v>46182</v>
      </c>
      <c r="F20" s="729" t="n">
        <v>23502</v>
      </c>
      <c r="G20" s="729" t="n">
        <v>337.57095</v>
      </c>
      <c r="H20" s="729" t="n">
        <v>0</v>
      </c>
      <c r="I20" s="729" t="n">
        <v>0</v>
      </c>
      <c r="J20" s="729" t="n">
        <v>0</v>
      </c>
      <c r="K20" s="729">
        <f>SUM(H20:J20)</f>
        <v/>
      </c>
      <c r="L20" s="729" t="n">
        <v>76.3815</v>
      </c>
      <c r="M20" s="729" t="n">
        <v>0</v>
      </c>
      <c r="N20" s="729" t="n">
        <v>19.558102</v>
      </c>
      <c r="O20" s="729">
        <f>SUM(L20:N20)</f>
        <v/>
      </c>
      <c r="P20" s="729" t="n">
        <v>488.8416</v>
      </c>
      <c r="Q20" s="729" t="n">
        <v>0</v>
      </c>
      <c r="R20" s="729" t="n">
        <v>90.34230599999999</v>
      </c>
      <c r="S20" s="729">
        <f>SUM(P20:R20)</f>
        <v/>
      </c>
      <c r="T20" s="729" t="n">
        <v>305.526</v>
      </c>
      <c r="U20" s="729" t="n">
        <v>0</v>
      </c>
      <c r="V20" s="729" t="n">
        <v>0</v>
      </c>
      <c r="W20" s="729">
        <f>SUM(T20:V20)</f>
        <v/>
      </c>
      <c r="X20" s="729" t="n">
        <v>0</v>
      </c>
      <c r="Y20" s="729" t="n">
        <v>0</v>
      </c>
      <c r="Z20" s="729" t="n">
        <v>0</v>
      </c>
      <c r="AA20" s="729">
        <f>SUM(X20:Z20)</f>
        <v/>
      </c>
      <c r="AB20" s="729" t="n">
        <v>0</v>
      </c>
      <c r="AC20" s="729" t="n">
        <v>0</v>
      </c>
      <c r="AD20" s="729" t="n">
        <v>32.04495</v>
      </c>
      <c r="AE20" s="729">
        <f>SUM(AB20:AD20)</f>
        <v/>
      </c>
      <c r="AF20" s="729" t="n">
        <v>0</v>
      </c>
      <c r="AG20" s="729" t="n">
        <v>0</v>
      </c>
      <c r="AH20" s="729" t="n">
        <v>0</v>
      </c>
      <c r="AI20" s="729">
        <f>SUM(AF20:AH20)</f>
        <v/>
      </c>
      <c r="AJ20" s="729" t="n">
        <v>0</v>
      </c>
      <c r="AK20" s="363">
        <f>SUM(K20+O20+S20+W20+AA20+AE20+AI20+AJ20)</f>
        <v/>
      </c>
      <c r="AL20" s="364">
        <f>IF(F20=0,"",K20/(F20/((YEAR(E20)*12+MONTH(E20))-(YEAR(D20)*12+MONTH(D20))+1)))</f>
        <v/>
      </c>
      <c r="AM20" s="364">
        <f>G20/F20</f>
        <v/>
      </c>
      <c r="AN20" s="731">
        <f>F20-G20</f>
        <v/>
      </c>
      <c r="AO20" s="366">
        <f>SUM(F20:F22)</f>
        <v/>
      </c>
      <c r="AP20" s="367">
        <f>AP23</f>
        <v/>
      </c>
      <c r="AQ20" s="745">
        <f>AQ23</f>
        <v/>
      </c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  <c r="BN20" s="706" t="inlineStr"/>
      <c r="BO20" s="706" t="inlineStr"/>
      <c r="BP20" s="706" t="inlineStr"/>
      <c r="BQ20" s="706" t="inlineStr"/>
    </row>
    <row r="21" outlineLevel="1" ht="14.25" customFormat="1" customHeight="1" s="483">
      <c r="A21" s="733" t="n"/>
      <c r="B21" s="734" t="inlineStr">
        <is>
          <t>理财师015</t>
        </is>
      </c>
      <c r="C21" s="734" t="inlineStr">
        <is>
          <t>私人财富管理顾问PWA1-3</t>
        </is>
      </c>
      <c r="D21" s="735" t="n">
        <v>46204</v>
      </c>
      <c r="E21" s="735" t="n">
        <v>46387</v>
      </c>
      <c r="F21" s="734" t="n">
        <v>5335.47</v>
      </c>
      <c r="G21" s="734" t="n">
        <v>2266.691958</v>
      </c>
      <c r="H21" s="734" t="n">
        <v>0</v>
      </c>
      <c r="I21" s="734" t="n">
        <v>0</v>
      </c>
      <c r="J21" s="734" t="n">
        <v>0</v>
      </c>
      <c r="K21" s="734">
        <f>SUM(H21:J21)</f>
        <v/>
      </c>
      <c r="L21" s="734" t="n">
        <v>0</v>
      </c>
      <c r="M21" s="734" t="n">
        <v>2212.9497</v>
      </c>
      <c r="N21" s="734" t="n">
        <v>53.742258</v>
      </c>
      <c r="O21" s="734">
        <f>SUM(L21:N21)</f>
        <v/>
      </c>
      <c r="P21" s="734" t="n">
        <v>42.846788</v>
      </c>
      <c r="Q21" s="734" t="n">
        <v>0</v>
      </c>
      <c r="R21" s="734" t="n">
        <v>56.785916</v>
      </c>
      <c r="S21" s="734">
        <f>SUM(P21:R21)</f>
        <v/>
      </c>
      <c r="T21" s="734" t="n">
        <v>494.115336</v>
      </c>
      <c r="U21" s="734" t="n">
        <v>0</v>
      </c>
      <c r="V21" s="734" t="n">
        <v>46.211266</v>
      </c>
      <c r="W21" s="734">
        <f>SUM(T21:V21)</f>
        <v/>
      </c>
      <c r="X21" s="734" t="n">
        <v>0</v>
      </c>
      <c r="Y21" s="734" t="n">
        <v>0</v>
      </c>
      <c r="Z21" s="734" t="n">
        <v>37.443523</v>
      </c>
      <c r="AA21" s="734">
        <f>SUM(X21:Z21)</f>
        <v/>
      </c>
      <c r="AB21" s="734" t="n">
        <v>198.1746</v>
      </c>
      <c r="AC21" s="734" t="n">
        <v>0</v>
      </c>
      <c r="AD21" s="734" t="n">
        <v>29.640215</v>
      </c>
      <c r="AE21" s="734">
        <f>SUM(AB21:AD21)</f>
        <v/>
      </c>
      <c r="AF21" s="734" t="n">
        <v>0.8469</v>
      </c>
      <c r="AG21" s="734" t="n">
        <v>4558.0158</v>
      </c>
      <c r="AH21" s="734" t="n">
        <v>19.389048</v>
      </c>
      <c r="AI21" s="734">
        <f>SUM(AF21:AH21)</f>
        <v/>
      </c>
      <c r="AJ21" s="734" t="n">
        <v>21.644177</v>
      </c>
      <c r="AK21" s="372">
        <f>SUM(K21+O21+S21+W21+AA21+AE21+AI21+AJ21)</f>
        <v/>
      </c>
      <c r="AL21" s="373">
        <f>IF(F21=0,"",K21/(F21/((YEAR(E21)*12+MONTH(E21))-(YEAR(D21)*12+MONTH(D21))+1)))</f>
        <v/>
      </c>
      <c r="AM21" s="373">
        <f>G21/F21</f>
        <v/>
      </c>
      <c r="AN21" s="736">
        <f>F21-G21</f>
        <v/>
      </c>
      <c r="AO21" s="733" t="n"/>
      <c r="AP21" s="733" t="n"/>
      <c r="AQ21" s="733" t="n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  <c r="BN21" s="706" t="inlineStr"/>
      <c r="BO21" s="706" t="inlineStr"/>
      <c r="BP21" s="706" t="inlineStr"/>
      <c r="BQ21" s="706" t="inlineStr"/>
    </row>
    <row r="22" outlineLevel="1" ht="14.25" customFormat="1" customHeight="1" s="483">
      <c r="A22" s="737" t="n"/>
      <c r="B22" s="734" t="inlineStr">
        <is>
          <t>理财师016</t>
        </is>
      </c>
      <c r="C22" s="734" t="inlineStr">
        <is>
          <t>私人财富管理资深顾问PWA2-5</t>
        </is>
      </c>
      <c r="D22" s="735" t="n">
        <v>46204</v>
      </c>
      <c r="E22" s="735" t="n">
        <v>46387</v>
      </c>
      <c r="F22" s="734" t="n">
        <v>9935.639999999999</v>
      </c>
      <c r="G22" s="734" t="n">
        <v>2946.105646</v>
      </c>
      <c r="H22" s="734" t="n">
        <v>0</v>
      </c>
      <c r="I22" s="734" t="n">
        <v>0</v>
      </c>
      <c r="J22" s="734" t="n">
        <v>0</v>
      </c>
      <c r="K22" s="734">
        <f>SUM(H22:J22)</f>
        <v/>
      </c>
      <c r="L22" s="734" t="n">
        <v>1489.781475</v>
      </c>
      <c r="M22" s="734" t="n">
        <v>1188.904234</v>
      </c>
      <c r="N22" s="734" t="n">
        <v>267.419938</v>
      </c>
      <c r="O22" s="734">
        <f>SUM(L22:N22)</f>
        <v/>
      </c>
      <c r="P22" s="734" t="n">
        <v>1356.21486</v>
      </c>
      <c r="Q22" s="734" t="n">
        <v>0</v>
      </c>
      <c r="R22" s="734" t="n">
        <v>318.635116</v>
      </c>
      <c r="S22" s="734">
        <f>SUM(P22:R22)</f>
        <v/>
      </c>
      <c r="T22" s="734" t="n">
        <v>2200.72469</v>
      </c>
      <c r="U22" s="734" t="n">
        <v>0</v>
      </c>
      <c r="V22" s="734" t="n">
        <v>130.270558</v>
      </c>
      <c r="W22" s="734">
        <f>SUM(T22:V22)</f>
        <v/>
      </c>
      <c r="X22" s="734" t="n">
        <v>1832.902273</v>
      </c>
      <c r="Y22" s="734" t="n">
        <v>0</v>
      </c>
      <c r="Z22" s="734" t="n">
        <v>114.994826</v>
      </c>
      <c r="AA22" s="734">
        <f>SUM(X22:Z22)</f>
        <v/>
      </c>
      <c r="AB22" s="734" t="n">
        <v>220.16475</v>
      </c>
      <c r="AC22" s="734" t="n">
        <v>0</v>
      </c>
      <c r="AD22" s="734" t="n">
        <v>158.674065</v>
      </c>
      <c r="AE22" s="734">
        <f>SUM(AB22:AD22)</f>
        <v/>
      </c>
      <c r="AF22" s="734" t="n">
        <v>3847.561596</v>
      </c>
      <c r="AG22" s="734" t="n">
        <v>0</v>
      </c>
      <c r="AH22" s="734" t="n">
        <v>39.036743</v>
      </c>
      <c r="AI22" s="734">
        <f>SUM(AF22:AH22)</f>
        <v/>
      </c>
      <c r="AJ22" s="734" t="n">
        <v>2540.064804</v>
      </c>
      <c r="AK22" s="372">
        <f>SUM(K22+O22+S22+W22+AA22+AE22+AI22+AJ22)</f>
        <v/>
      </c>
      <c r="AL22" s="373">
        <f>IF(F22=0,"",K22/(F22/((YEAR(E22)*12+MONTH(E22))-(YEAR(D22)*12+MONTH(D22))+1)))</f>
        <v/>
      </c>
      <c r="AM22" s="373">
        <f>G22/F22</f>
        <v/>
      </c>
      <c r="AN22" s="736">
        <f>F22-G22</f>
        <v/>
      </c>
      <c r="AO22" s="737" t="n"/>
      <c r="AP22" s="737" t="n"/>
      <c r="AQ22" s="737" t="n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  <c r="BN22" s="706" t="inlineStr"/>
      <c r="BO22" s="706" t="inlineStr"/>
      <c r="BP22" s="706" t="inlineStr"/>
      <c r="BQ22" s="706" t="inlineStr"/>
    </row>
    <row r="23" outlineLevel="1" ht="14.25" customFormat="1" customHeight="1" s="483">
      <c r="A23" s="738" t="inlineStr">
        <is>
          <t>合计</t>
        </is>
      </c>
      <c r="B23" s="739" t="n"/>
      <c r="C23" s="739" t="n"/>
      <c r="D23" s="739" t="n"/>
      <c r="E23" s="740" t="n"/>
      <c r="F23" s="379">
        <f>SUM(F20:F22)</f>
        <v/>
      </c>
      <c r="G23" s="738">
        <f>SUM(G20:G22)</f>
        <v/>
      </c>
      <c r="H23" s="738">
        <f>SUM(H20:H22)</f>
        <v/>
      </c>
      <c r="I23" s="738">
        <f>SUM(I20:I22)</f>
        <v/>
      </c>
      <c r="J23" s="738">
        <f>SUM(J20:J22)</f>
        <v/>
      </c>
      <c r="K23" s="738">
        <f>SUM(K20:K22)</f>
        <v/>
      </c>
      <c r="L23" s="738">
        <f>SUM(L20:L22)</f>
        <v/>
      </c>
      <c r="M23" s="738">
        <f>SUM(M20:M22)</f>
        <v/>
      </c>
      <c r="N23" s="738">
        <f>SUM(N20:N22)</f>
        <v/>
      </c>
      <c r="O23" s="738">
        <f>SUM(O20:O22)</f>
        <v/>
      </c>
      <c r="P23" s="738">
        <f>SUM(P20:P22)</f>
        <v/>
      </c>
      <c r="Q23" s="738">
        <f>SUM(Q20:Q22)</f>
        <v/>
      </c>
      <c r="R23" s="738">
        <f>SUM(R20:R22)</f>
        <v/>
      </c>
      <c r="S23" s="738">
        <f>SUM(S20:S22)</f>
        <v/>
      </c>
      <c r="T23" s="738">
        <f>SUM(T20:T22)</f>
        <v/>
      </c>
      <c r="U23" s="738">
        <f>SUM(U20:U22)</f>
        <v/>
      </c>
      <c r="V23" s="738">
        <f>SUM(V20:V22)</f>
        <v/>
      </c>
      <c r="W23" s="738">
        <f>SUM(W20:W22)</f>
        <v/>
      </c>
      <c r="X23" s="738">
        <f>SUM(X20:X22)</f>
        <v/>
      </c>
      <c r="Y23" s="738">
        <f>SUM(Y20:Y22)</f>
        <v/>
      </c>
      <c r="Z23" s="738">
        <f>SUM(Z20:Z22)</f>
        <v/>
      </c>
      <c r="AA23" s="738">
        <f>SUM(AA20:AA22)</f>
        <v/>
      </c>
      <c r="AB23" s="738">
        <f>SUM(AB20:AB22)</f>
        <v/>
      </c>
      <c r="AC23" s="738">
        <f>SUM(AC20:AC22)</f>
        <v/>
      </c>
      <c r="AD23" s="738">
        <f>SUM(AD20:AD22)</f>
        <v/>
      </c>
      <c r="AE23" s="738">
        <f>SUM(AE20:AE22)</f>
        <v/>
      </c>
      <c r="AF23" s="738">
        <f>SUM(AF20:AF22)</f>
        <v/>
      </c>
      <c r="AG23" s="738">
        <f>SUM(AG20:AG22)</f>
        <v/>
      </c>
      <c r="AH23" s="738">
        <f>SUM(AH20:AH22)</f>
        <v/>
      </c>
      <c r="AI23" s="738">
        <f>SUM(AI20:AI22)</f>
        <v/>
      </c>
      <c r="AJ23" s="738">
        <f>SUM(AJ20:AJ22)</f>
        <v/>
      </c>
      <c r="AK23" s="379">
        <f>SUM(K23+O23+S23+W23+AA23+AE23+AI23+AJ23)</f>
        <v/>
      </c>
      <c r="AL23" s="381">
        <f>IF(F23=0,"",K23/(F23/((YEAR(E20)*12+MONTH(E20))-(YEAR(D20)*12+MONTH(D20))+1)))</f>
        <v/>
      </c>
      <c r="AM23" s="382">
        <f>G23/F23</f>
        <v/>
      </c>
      <c r="AN23" s="743">
        <f>F23-G23</f>
        <v/>
      </c>
      <c r="AO23" s="383">
        <f>AO20</f>
        <v/>
      </c>
      <c r="AP23" s="381">
        <f>AK23/AO20</f>
        <v/>
      </c>
      <c r="AQ23" s="742">
        <f>AO20-AK23</f>
        <v/>
      </c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  <c r="BN23" s="713" t="inlineStr"/>
      <c r="BO23" s="713" t="inlineStr"/>
      <c r="BP23" s="713" t="inlineStr"/>
      <c r="BQ23" s="713" t="inlineStr"/>
    </row>
    <row r="24" outlineLevel="1" ht="14.25" customFormat="1" customHeight="1" s="483">
      <c r="A24" s="729" t="inlineStr">
        <is>
          <t>理财师002</t>
        </is>
      </c>
      <c r="B24" s="729" t="inlineStr">
        <is>
          <t>理财师001</t>
        </is>
      </c>
      <c r="C24" s="729" t="inlineStr">
        <is>
          <t>私人财富管理顾问PWA1-3</t>
        </is>
      </c>
      <c r="D24" s="730" t="n">
        <v>46204</v>
      </c>
      <c r="E24" s="730" t="n">
        <v>46387</v>
      </c>
      <c r="F24" s="729" t="n">
        <v>5423.67</v>
      </c>
      <c r="G24" s="729" t="n">
        <v>819.097789</v>
      </c>
      <c r="H24" s="729" t="n">
        <v>0</v>
      </c>
      <c r="I24" s="729" t="n">
        <v>0</v>
      </c>
      <c r="J24" s="729" t="n">
        <v>0</v>
      </c>
      <c r="K24" s="729">
        <f>SUM(H24:J24)</f>
        <v/>
      </c>
      <c r="L24" s="729" t="n">
        <v>134.3004</v>
      </c>
      <c r="M24" s="729" t="n">
        <v>0</v>
      </c>
      <c r="N24" s="729" t="n">
        <v>684.797389</v>
      </c>
      <c r="O24" s="729">
        <f>SUM(L24:N24)</f>
        <v/>
      </c>
      <c r="P24" s="729" t="n">
        <v>1035.385146</v>
      </c>
      <c r="Q24" s="729" t="n">
        <v>0</v>
      </c>
      <c r="R24" s="729" t="n">
        <v>717.905769</v>
      </c>
      <c r="S24" s="729">
        <f>SUM(P24:R24)</f>
        <v/>
      </c>
      <c r="T24" s="729" t="n">
        <v>121.826127</v>
      </c>
      <c r="U24" s="729" t="n">
        <v>0</v>
      </c>
      <c r="V24" s="729" t="n">
        <v>638.531805</v>
      </c>
      <c r="W24" s="729">
        <f>SUM(T24:V24)</f>
        <v/>
      </c>
      <c r="X24" s="729" t="n">
        <v>88.54274700000001</v>
      </c>
      <c r="Y24" s="729" t="n">
        <v>0</v>
      </c>
      <c r="Z24" s="729" t="n">
        <v>616.124389</v>
      </c>
      <c r="AA24" s="729">
        <f>SUM(X24:Z24)</f>
        <v/>
      </c>
      <c r="AB24" s="729" t="n">
        <v>50.830377</v>
      </c>
      <c r="AC24" s="729" t="n">
        <v>0</v>
      </c>
      <c r="AD24" s="729" t="n">
        <v>791.318135</v>
      </c>
      <c r="AE24" s="729">
        <f>SUM(AB24:AD24)</f>
        <v/>
      </c>
      <c r="AF24" s="729" t="n">
        <v>153.11976</v>
      </c>
      <c r="AG24" s="729" t="n">
        <v>0</v>
      </c>
      <c r="AH24" s="729" t="n">
        <v>560.548117</v>
      </c>
      <c r="AI24" s="729">
        <f>SUM(AF24:AH24)</f>
        <v/>
      </c>
      <c r="AJ24" s="729" t="n">
        <v>2029.518541</v>
      </c>
      <c r="AK24" s="744">
        <f>SUM(K24+O24+S24+W24+AA24+AE24+AI24+AJ24)</f>
        <v/>
      </c>
      <c r="AL24" s="364">
        <f>IF(F24=0,"",K24/(F24/((YEAR(E24)*12+MONTH(E24))-(YEAR(D24)*12+MONTH(D24))+1)))</f>
        <v/>
      </c>
      <c r="AM24" s="364">
        <f>G24/F24</f>
        <v/>
      </c>
      <c r="AN24" s="744">
        <f>F24-G24</f>
        <v/>
      </c>
      <c r="AO24" s="366">
        <f>SUM(F24:F26)</f>
        <v/>
      </c>
      <c r="AP24" s="367">
        <f>AP27</f>
        <v/>
      </c>
      <c r="AQ24" s="745">
        <f>AQ27</f>
        <v/>
      </c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  <c r="BN24" s="706" t="inlineStr"/>
      <c r="BO24" s="706" t="inlineStr"/>
      <c r="BP24" s="706" t="inlineStr"/>
      <c r="BQ24" s="706" t="inlineStr"/>
    </row>
    <row r="25" outlineLevel="1" ht="14.25" customFormat="1" customHeight="1" s="483">
      <c r="A25" s="733" t="n"/>
      <c r="B25" s="734" t="inlineStr">
        <is>
          <t>理财师027</t>
        </is>
      </c>
      <c r="C25" s="734" t="inlineStr">
        <is>
          <t>私人财富管理顾问PWA1-3</t>
        </is>
      </c>
      <c r="D25" s="735" t="n">
        <v>46125</v>
      </c>
      <c r="E25" s="735" t="n">
        <v>46326</v>
      </c>
      <c r="F25" s="734" t="n">
        <v>4774.516274</v>
      </c>
      <c r="G25" s="734" t="n">
        <v>5479.015851</v>
      </c>
      <c r="H25" s="734" t="n">
        <v>1340.079051</v>
      </c>
      <c r="I25" s="734" t="n">
        <v>3685.0554</v>
      </c>
      <c r="J25" s="734" t="n">
        <v>0</v>
      </c>
      <c r="K25" s="734">
        <f>SUM(H25:J25)</f>
        <v/>
      </c>
      <c r="L25" s="734" t="n">
        <v>106.8132</v>
      </c>
      <c r="M25" s="734" t="n">
        <v>0</v>
      </c>
      <c r="N25" s="734" t="n">
        <v>29.433754</v>
      </c>
      <c r="O25" s="734">
        <f>SUM(L25:N25)</f>
        <v/>
      </c>
      <c r="P25" s="734" t="n">
        <v>63.103793</v>
      </c>
      <c r="Q25" s="734" t="n">
        <v>0</v>
      </c>
      <c r="R25" s="734" t="n">
        <v>22.083459</v>
      </c>
      <c r="S25" s="734">
        <f>SUM(P25:R25)</f>
        <v/>
      </c>
      <c r="T25" s="734" t="n">
        <v>63.1797</v>
      </c>
      <c r="U25" s="734" t="n">
        <v>0</v>
      </c>
      <c r="V25" s="734" t="n">
        <v>19.121258</v>
      </c>
      <c r="W25" s="734">
        <f>SUM(T25:V25)</f>
        <v/>
      </c>
      <c r="X25" s="734" t="n">
        <v>135.387173</v>
      </c>
      <c r="Y25" s="734" t="n">
        <v>3685.0554</v>
      </c>
      <c r="Z25" s="734" t="n">
        <v>14.759064</v>
      </c>
      <c r="AA25" s="734">
        <f>SUM(X25:Z25)</f>
        <v/>
      </c>
      <c r="AB25" s="734" t="n">
        <v>0</v>
      </c>
      <c r="AC25" s="734" t="n">
        <v>0</v>
      </c>
      <c r="AD25" s="734" t="n">
        <v>2.181886</v>
      </c>
      <c r="AE25" s="734">
        <f>SUM(AB25:AD25)</f>
        <v/>
      </c>
      <c r="AF25" s="734" t="n">
        <v>0</v>
      </c>
      <c r="AG25" s="734" t="n">
        <v>0</v>
      </c>
      <c r="AH25" s="734" t="n">
        <v>1.481485</v>
      </c>
      <c r="AI25" s="734">
        <f>SUM(AF25:AH25)</f>
        <v/>
      </c>
      <c r="AJ25" s="734" t="n">
        <v>66.75825</v>
      </c>
      <c r="AK25" s="372">
        <f>SUM(K25+O25+S25+W25+AA25+AE25+AI25+AJ25)</f>
        <v/>
      </c>
      <c r="AL25" s="373">
        <f>IF(F25=0,"",K25/(F25/((YEAR(E25)*12+MONTH(E25))-(YEAR(D25)*12+MONTH(D25))+1)))</f>
        <v/>
      </c>
      <c r="AM25" s="373">
        <f>G25/F25</f>
        <v/>
      </c>
      <c r="AN25" s="736">
        <f>F25-G25</f>
        <v/>
      </c>
      <c r="AO25" s="733" t="n"/>
      <c r="AP25" s="733" t="n"/>
      <c r="AQ25" s="733" t="n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  <c r="BN25" s="706" t="inlineStr"/>
      <c r="BO25" s="706" t="inlineStr"/>
      <c r="BP25" s="706" t="inlineStr"/>
      <c r="BQ25" s="706" t="inlineStr"/>
    </row>
    <row r="26" outlineLevel="1" ht="14.25" customFormat="1" customHeight="1" s="483">
      <c r="A26" s="737" t="n"/>
      <c r="B26" s="734" t="inlineStr">
        <is>
          <t>理财师002</t>
        </is>
      </c>
      <c r="C26" s="734" t="inlineStr">
        <is>
          <t>首席私人财富管理专家PWA5-1</t>
        </is>
      </c>
      <c r="D26" s="735" t="n">
        <v>46204</v>
      </c>
      <c r="E26" s="735" t="n">
        <v>46387</v>
      </c>
      <c r="F26" s="734" t="n">
        <v>28479.5</v>
      </c>
      <c r="G26" s="734" t="n">
        <v>22563.501778</v>
      </c>
      <c r="H26" s="734" t="n">
        <v>19170.845891</v>
      </c>
      <c r="I26" s="734" t="n">
        <v>0</v>
      </c>
      <c r="J26" s="734" t="n">
        <v>0</v>
      </c>
      <c r="K26" s="734">
        <f>SUM(H26:J26)</f>
        <v/>
      </c>
      <c r="L26" s="734" t="n">
        <v>3163.841359</v>
      </c>
      <c r="M26" s="734" t="n">
        <v>0</v>
      </c>
      <c r="N26" s="734" t="n">
        <v>228.814528</v>
      </c>
      <c r="O26" s="734">
        <f>SUM(L26:N26)</f>
        <v/>
      </c>
      <c r="P26" s="734" t="n">
        <v>662.537684</v>
      </c>
      <c r="Q26" s="734" t="n">
        <v>0</v>
      </c>
      <c r="R26" s="734" t="n">
        <v>353.318319</v>
      </c>
      <c r="S26" s="734">
        <f>SUM(P26:R26)</f>
        <v/>
      </c>
      <c r="T26" s="734" t="n">
        <v>2227.154433</v>
      </c>
      <c r="U26" s="734" t="n">
        <v>0</v>
      </c>
      <c r="V26" s="734" t="n">
        <v>234.231608</v>
      </c>
      <c r="W26" s="734">
        <f>SUM(T26:V26)</f>
        <v/>
      </c>
      <c r="X26" s="734" t="n">
        <v>-6272.609198</v>
      </c>
      <c r="Y26" s="734" t="n">
        <v>0</v>
      </c>
      <c r="Z26" s="734" t="n">
        <v>210.102519</v>
      </c>
      <c r="AA26" s="734">
        <f>SUM(X26:Z26)</f>
        <v/>
      </c>
      <c r="AB26" s="734" t="n">
        <v>2164.476574</v>
      </c>
      <c r="AC26" s="734" t="n">
        <v>0</v>
      </c>
      <c r="AD26" s="734" t="n">
        <v>365.27682</v>
      </c>
      <c r="AE26" s="734">
        <f>SUM(AB26:AD26)</f>
        <v/>
      </c>
      <c r="AF26" s="734" t="n">
        <v>2346.171162</v>
      </c>
      <c r="AG26" s="734" t="n">
        <v>0</v>
      </c>
      <c r="AH26" s="734" t="n">
        <v>187.41719</v>
      </c>
      <c r="AI26" s="734">
        <f>SUM(AF26:AH26)</f>
        <v/>
      </c>
      <c r="AJ26" s="734" t="n">
        <v>24919.495747</v>
      </c>
      <c r="AK26" s="372">
        <f>SUM(K26+O26+S26+W26+AA26+AE26+AI26+AJ26)</f>
        <v/>
      </c>
      <c r="AL26" s="373">
        <f>IF(F26=0,"",K26/(F26/((YEAR(E26)*12+MONTH(E26))-(YEAR(D26)*12+MONTH(D26))+1)))</f>
        <v/>
      </c>
      <c r="AM26" s="373">
        <f>G26/F26</f>
        <v/>
      </c>
      <c r="AN26" s="736">
        <f>F26-G26</f>
        <v/>
      </c>
      <c r="AO26" s="737" t="n"/>
      <c r="AP26" s="737" t="n"/>
      <c r="AQ26" s="737" t="n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  <c r="BN26" s="706" t="inlineStr"/>
      <c r="BO26" s="706" t="inlineStr"/>
      <c r="BP26" s="706" t="inlineStr"/>
      <c r="BQ26" s="706" t="inlineStr"/>
    </row>
    <row r="27" outlineLevel="1" ht="14.25" customFormat="1" customHeight="1" s="483">
      <c r="A27" s="738" t="inlineStr">
        <is>
          <t>合计</t>
        </is>
      </c>
      <c r="B27" s="739" t="n"/>
      <c r="C27" s="739" t="n"/>
      <c r="D27" s="739" t="n"/>
      <c r="E27" s="740" t="n"/>
      <c r="F27" s="379">
        <f>SUM(F24:F26)</f>
        <v/>
      </c>
      <c r="G27" s="738">
        <f>SUM(G24:G26)</f>
        <v/>
      </c>
      <c r="H27" s="738">
        <f>SUM(H24:H26)</f>
        <v/>
      </c>
      <c r="I27" s="738">
        <f>SUM(I24:I26)</f>
        <v/>
      </c>
      <c r="J27" s="738">
        <f>SUM(J24:J26)</f>
        <v/>
      </c>
      <c r="K27" s="738">
        <f>SUM(K24:K26)</f>
        <v/>
      </c>
      <c r="L27" s="738">
        <f>SUM(L24:L26)</f>
        <v/>
      </c>
      <c r="M27" s="738">
        <f>SUM(M24:M26)</f>
        <v/>
      </c>
      <c r="N27" s="738">
        <f>SUM(N24:N26)</f>
        <v/>
      </c>
      <c r="O27" s="738">
        <f>SUM(O24:O26)</f>
        <v/>
      </c>
      <c r="P27" s="738">
        <f>SUM(P24:P26)</f>
        <v/>
      </c>
      <c r="Q27" s="738">
        <f>SUM(Q24:Q26)</f>
        <v/>
      </c>
      <c r="R27" s="738">
        <f>SUM(R24:R26)</f>
        <v/>
      </c>
      <c r="S27" s="738">
        <f>SUM(S24:S26)</f>
        <v/>
      </c>
      <c r="T27" s="738">
        <f>SUM(T24:T26)</f>
        <v/>
      </c>
      <c r="U27" s="738">
        <f>SUM(U24:U26)</f>
        <v/>
      </c>
      <c r="V27" s="738">
        <f>SUM(V24:V26)</f>
        <v/>
      </c>
      <c r="W27" s="738">
        <f>SUM(W24:W26)</f>
        <v/>
      </c>
      <c r="X27" s="738">
        <f>SUM(X24:X26)</f>
        <v/>
      </c>
      <c r="Y27" s="738">
        <f>SUM(Y24:Y26)</f>
        <v/>
      </c>
      <c r="Z27" s="738">
        <f>SUM(Z24:Z26)</f>
        <v/>
      </c>
      <c r="AA27" s="738">
        <f>SUM(AA24:AA26)</f>
        <v/>
      </c>
      <c r="AB27" s="738">
        <f>SUM(AB24:AB26)</f>
        <v/>
      </c>
      <c r="AC27" s="738">
        <f>SUM(AC24:AC26)</f>
        <v/>
      </c>
      <c r="AD27" s="738">
        <f>SUM(AD24:AD26)</f>
        <v/>
      </c>
      <c r="AE27" s="738">
        <f>SUM(AE24:AE26)</f>
        <v/>
      </c>
      <c r="AF27" s="738">
        <f>SUM(AF24:AF26)</f>
        <v/>
      </c>
      <c r="AG27" s="738">
        <f>SUM(AG24:AG26)</f>
        <v/>
      </c>
      <c r="AH27" s="738">
        <f>SUM(AH24:AH26)</f>
        <v/>
      </c>
      <c r="AI27" s="738">
        <f>SUM(AI24:AI26)</f>
        <v/>
      </c>
      <c r="AJ27" s="738">
        <f>SUM(AJ24:AJ26)</f>
        <v/>
      </c>
      <c r="AK27" s="379">
        <f>SUM(K27+O27+S27+W27+AA27+AE27+AI27+AJ27)</f>
        <v/>
      </c>
      <c r="AL27" s="381">
        <f>IF(F27=0,"",K27/(F27/((YEAR(E24)*12+MONTH(E24))-(YEAR(D24)*12+MONTH(D24))+1)))</f>
        <v/>
      </c>
      <c r="AM27" s="382">
        <f>G27/F27</f>
        <v/>
      </c>
      <c r="AN27" s="743">
        <f>F27-G27</f>
        <v/>
      </c>
      <c r="AO27" s="383">
        <f>AO24</f>
        <v/>
      </c>
      <c r="AP27" s="381">
        <f>AK27/AO24</f>
        <v/>
      </c>
      <c r="AQ27" s="742">
        <f>AO24-AK27</f>
        <v/>
      </c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  <c r="BN27" s="713" t="inlineStr"/>
      <c r="BO27" s="713" t="inlineStr"/>
      <c r="BP27" s="713" t="inlineStr"/>
      <c r="BQ27" s="713" t="inlineStr"/>
    </row>
    <row r="28" outlineLevel="1" ht="14.25" customFormat="1" customHeight="1" s="483">
      <c r="A28" s="729" t="inlineStr">
        <is>
          <t>理财师009</t>
        </is>
      </c>
      <c r="B28" s="729" t="inlineStr">
        <is>
          <t>理财师009</t>
        </is>
      </c>
      <c r="C28" s="729" t="inlineStr">
        <is>
          <t>私人财富管理专家PWA4-3</t>
        </is>
      </c>
      <c r="D28" s="730" t="n">
        <v>46204</v>
      </c>
      <c r="E28" s="730" t="n">
        <v>46387</v>
      </c>
      <c r="F28" s="729" t="n">
        <v>32232.2</v>
      </c>
      <c r="G28" s="729" t="n">
        <v>5421.542564</v>
      </c>
      <c r="H28" s="729" t="n">
        <v>0</v>
      </c>
      <c r="I28" s="729" t="n">
        <v>0</v>
      </c>
      <c r="J28" s="729" t="n">
        <v>0</v>
      </c>
      <c r="K28" s="729">
        <f>SUM(H28:J28)</f>
        <v/>
      </c>
      <c r="L28" s="729" t="n">
        <v>4913.9454</v>
      </c>
      <c r="M28" s="729" t="n">
        <v>0</v>
      </c>
      <c r="N28" s="729" t="n">
        <v>507.597164</v>
      </c>
      <c r="O28" s="729">
        <f>SUM(L28:N28)</f>
        <v/>
      </c>
      <c r="P28" s="729" t="n">
        <v>2106.18954</v>
      </c>
      <c r="Q28" s="729" t="n">
        <v>2057.0004</v>
      </c>
      <c r="R28" s="729" t="n">
        <v>965.0387030000001</v>
      </c>
      <c r="S28" s="729">
        <f>SUM(P28:R28)</f>
        <v/>
      </c>
      <c r="T28" s="729" t="n">
        <v>536.6088</v>
      </c>
      <c r="U28" s="729" t="n">
        <v>0</v>
      </c>
      <c r="V28" s="729" t="n">
        <v>722.01536</v>
      </c>
      <c r="W28" s="729">
        <f>SUM(T28:V28)</f>
        <v/>
      </c>
      <c r="X28" s="729" t="n">
        <v>1351.820914</v>
      </c>
      <c r="Y28" s="729" t="n">
        <v>20570.004</v>
      </c>
      <c r="Z28" s="729" t="n">
        <v>668.034433</v>
      </c>
      <c r="AA28" s="729">
        <f>SUM(X28:Z28)</f>
        <v/>
      </c>
      <c r="AB28" s="729" t="n">
        <v>3314.503374</v>
      </c>
      <c r="AC28" s="729" t="n">
        <v>0</v>
      </c>
      <c r="AD28" s="729" t="n">
        <v>713.569709</v>
      </c>
      <c r="AE28" s="729">
        <f>SUM(AB28:AD28)</f>
        <v/>
      </c>
      <c r="AF28" s="729" t="n">
        <v>4769.379014</v>
      </c>
      <c r="AG28" s="729" t="n">
        <v>0</v>
      </c>
      <c r="AH28" s="729" t="n">
        <v>228.136442</v>
      </c>
      <c r="AI28" s="729">
        <f>SUM(AF28:AH28)</f>
        <v/>
      </c>
      <c r="AJ28" s="729" t="n">
        <v>1069.968142</v>
      </c>
      <c r="AK28" s="744">
        <f>SUM(K28+O28+S28+W28+AA28+AE28+AI28+AJ28)</f>
        <v/>
      </c>
      <c r="AL28" s="364">
        <f>IF(F28=0,"",K28/(F28/((YEAR(E28)*12+MONTH(E28))-(YEAR(D28)*12+MONTH(D28))+1)))</f>
        <v/>
      </c>
      <c r="AM28" s="364">
        <f>G28/F28</f>
        <v/>
      </c>
      <c r="AN28" s="744">
        <f>F28-G28</f>
        <v/>
      </c>
      <c r="AO28" s="366">
        <f>SUM(F28:F29)</f>
        <v/>
      </c>
      <c r="AP28" s="367">
        <f>AP30</f>
        <v/>
      </c>
      <c r="AQ28" s="745">
        <f>AQ30</f>
        <v/>
      </c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  <c r="BN28" s="706" t="inlineStr"/>
      <c r="BO28" s="706" t="inlineStr"/>
      <c r="BP28" s="706" t="inlineStr"/>
      <c r="BQ28" s="706" t="inlineStr"/>
    </row>
    <row r="29" outlineLevel="1" ht="14.25" customFormat="1" customHeight="1" s="483">
      <c r="A29" s="737" t="n"/>
      <c r="B29" s="734" t="inlineStr">
        <is>
          <t>理财师010</t>
        </is>
      </c>
      <c r="C29" s="734" t="inlineStr">
        <is>
          <t>私人财富管理资深顾问PWA2-4</t>
        </is>
      </c>
      <c r="D29" s="735" t="n">
        <v>46204</v>
      </c>
      <c r="E29" s="735" t="n">
        <v>46387</v>
      </c>
      <c r="F29" s="734" t="n">
        <v>11764.72</v>
      </c>
      <c r="G29" s="734" t="n">
        <v>4102.10327</v>
      </c>
      <c r="H29" s="734" t="n">
        <v>834.617642</v>
      </c>
      <c r="I29" s="734" t="n">
        <v>0</v>
      </c>
      <c r="J29" s="734" t="n">
        <v>0</v>
      </c>
      <c r="K29" s="734">
        <f>SUM(H29:J29)</f>
        <v/>
      </c>
      <c r="L29" s="734" t="n">
        <v>305.355336</v>
      </c>
      <c r="M29" s="734" t="n">
        <v>2729.2122</v>
      </c>
      <c r="N29" s="734" t="n">
        <v>232.918092</v>
      </c>
      <c r="O29" s="734">
        <f>SUM(L29:N29)</f>
        <v/>
      </c>
      <c r="P29" s="734" t="n">
        <v>520.393558</v>
      </c>
      <c r="Q29" s="734" t="n">
        <v>1637.52732</v>
      </c>
      <c r="R29" s="734" t="n">
        <v>284.729185</v>
      </c>
      <c r="S29" s="734">
        <f>SUM(P29:R29)</f>
        <v/>
      </c>
      <c r="T29" s="734" t="n">
        <v>994.77807</v>
      </c>
      <c r="U29" s="734" t="n">
        <v>0</v>
      </c>
      <c r="V29" s="734" t="n">
        <v>185.511372</v>
      </c>
      <c r="W29" s="734">
        <f>SUM(T29:V29)</f>
        <v/>
      </c>
      <c r="X29" s="734" t="n">
        <v>949.2912</v>
      </c>
      <c r="Y29" s="734" t="n">
        <v>0</v>
      </c>
      <c r="Z29" s="734" t="n">
        <v>144.291309</v>
      </c>
      <c r="AA29" s="734">
        <f>SUM(X29:Z29)</f>
        <v/>
      </c>
      <c r="AB29" s="734" t="n">
        <v>2158.292651</v>
      </c>
      <c r="AC29" s="734" t="n">
        <v>8187.6366</v>
      </c>
      <c r="AD29" s="734" t="n">
        <v>194.447373</v>
      </c>
      <c r="AE29" s="734">
        <f>SUM(AB29:AD29)</f>
        <v/>
      </c>
      <c r="AF29" s="734" t="n">
        <v>474.6456</v>
      </c>
      <c r="AG29" s="734" t="n">
        <v>0</v>
      </c>
      <c r="AH29" s="734" t="n">
        <v>122.035472</v>
      </c>
      <c r="AI29" s="734">
        <f>SUM(AF29:AH29)</f>
        <v/>
      </c>
      <c r="AJ29" s="734" t="n">
        <v>1144.784607</v>
      </c>
      <c r="AK29" s="372">
        <f>SUM(K29+O29+S29+W29+AA29+AE29+AI29+AJ29)</f>
        <v/>
      </c>
      <c r="AL29" s="373">
        <f>IF(F29=0,"",K29/(F29/((YEAR(E29)*12+MONTH(E29))-(YEAR(D29)*12+MONTH(D29))+1)))</f>
        <v/>
      </c>
      <c r="AM29" s="373">
        <f>G29/F29</f>
        <v/>
      </c>
      <c r="AN29" s="736">
        <f>F29-G29</f>
        <v/>
      </c>
      <c r="AO29" s="737" t="n"/>
      <c r="AP29" s="737" t="n"/>
      <c r="AQ29" s="737" t="n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  <c r="BN29" s="706" t="inlineStr"/>
      <c r="BO29" s="706" t="inlineStr"/>
      <c r="BP29" s="706" t="inlineStr"/>
      <c r="BQ29" s="706" t="inlineStr"/>
    </row>
    <row r="30" outlineLevel="1" ht="14.25" customFormat="1" customHeight="1" s="483">
      <c r="A30" s="738" t="inlineStr">
        <is>
          <t>合计</t>
        </is>
      </c>
      <c r="B30" s="739" t="n"/>
      <c r="C30" s="739" t="n"/>
      <c r="D30" s="739" t="n"/>
      <c r="E30" s="740" t="n"/>
      <c r="F30" s="379">
        <f>SUM(F28:F29)</f>
        <v/>
      </c>
      <c r="G30" s="738">
        <f>SUM(G28:G29)</f>
        <v/>
      </c>
      <c r="H30" s="738">
        <f>SUM(H28:H29)</f>
        <v/>
      </c>
      <c r="I30" s="738">
        <f>SUM(I28:I29)</f>
        <v/>
      </c>
      <c r="J30" s="738">
        <f>SUM(J28:J29)</f>
        <v/>
      </c>
      <c r="K30" s="738">
        <f>SUM(K28:K29)</f>
        <v/>
      </c>
      <c r="L30" s="738">
        <f>SUM(L28:L29)</f>
        <v/>
      </c>
      <c r="M30" s="738">
        <f>SUM(M28:M29)</f>
        <v/>
      </c>
      <c r="N30" s="738">
        <f>SUM(N28:N29)</f>
        <v/>
      </c>
      <c r="O30" s="738">
        <f>SUM(O28:O29)</f>
        <v/>
      </c>
      <c r="P30" s="738">
        <f>SUM(P28:P29)</f>
        <v/>
      </c>
      <c r="Q30" s="738">
        <f>SUM(Q28:Q29)</f>
        <v/>
      </c>
      <c r="R30" s="738">
        <f>SUM(R28:R29)</f>
        <v/>
      </c>
      <c r="S30" s="738">
        <f>SUM(S28:S29)</f>
        <v/>
      </c>
      <c r="T30" s="738">
        <f>SUM(T28:T29)</f>
        <v/>
      </c>
      <c r="U30" s="738">
        <f>SUM(U28:U29)</f>
        <v/>
      </c>
      <c r="V30" s="738">
        <f>SUM(V28:V29)</f>
        <v/>
      </c>
      <c r="W30" s="738">
        <f>SUM(W28:W29)</f>
        <v/>
      </c>
      <c r="X30" s="738">
        <f>SUM(X28:X29)</f>
        <v/>
      </c>
      <c r="Y30" s="738">
        <f>SUM(Y28:Y29)</f>
        <v/>
      </c>
      <c r="Z30" s="738">
        <f>SUM(Z28:Z29)</f>
        <v/>
      </c>
      <c r="AA30" s="738">
        <f>SUM(AA28:AA29)</f>
        <v/>
      </c>
      <c r="AB30" s="738">
        <f>SUM(AB28:AB29)</f>
        <v/>
      </c>
      <c r="AC30" s="738">
        <f>SUM(AC28:AC29)</f>
        <v/>
      </c>
      <c r="AD30" s="738">
        <f>SUM(AD28:AD29)</f>
        <v/>
      </c>
      <c r="AE30" s="738">
        <f>SUM(AE28:AE29)</f>
        <v/>
      </c>
      <c r="AF30" s="738">
        <f>SUM(AF28:AF29)</f>
        <v/>
      </c>
      <c r="AG30" s="738">
        <f>SUM(AG28:AG29)</f>
        <v/>
      </c>
      <c r="AH30" s="738">
        <f>SUM(AH28:AH29)</f>
        <v/>
      </c>
      <c r="AI30" s="738">
        <f>SUM(AI28:AI29)</f>
        <v/>
      </c>
      <c r="AJ30" s="738">
        <f>SUM(AJ28:AJ29)</f>
        <v/>
      </c>
      <c r="AK30" s="379">
        <f>SUM(K30+O30+S30+W30+AA30+AE30+AI30+AJ30)</f>
        <v/>
      </c>
      <c r="AL30" s="381">
        <f>IF(F30=0,"",K30/(F30/((YEAR(E28)*12+MONTH(E28))-(YEAR(D28)*12+MONTH(D28))+1)))</f>
        <v/>
      </c>
      <c r="AM30" s="382">
        <f>G30/F30</f>
        <v/>
      </c>
      <c r="AN30" s="743">
        <f>F30-G30</f>
        <v/>
      </c>
      <c r="AO30" s="383">
        <f>AO28</f>
        <v/>
      </c>
      <c r="AP30" s="381">
        <f>AK30/AO28</f>
        <v/>
      </c>
      <c r="AQ30" s="742">
        <f>AO28-AK30</f>
        <v/>
      </c>
      <c r="AR30" s="713" t="inlineStr"/>
      <c r="AS30" s="713" t="inlineStr"/>
      <c r="AT30" s="713" t="inlineStr"/>
      <c r="AU30" s="713" t="inlineStr"/>
      <c r="AV30" s="713" t="inlineStr"/>
      <c r="AW30" s="713" t="inlineStr"/>
      <c r="AX30" s="713" t="inlineStr"/>
      <c r="AY30" s="713" t="inlineStr"/>
      <c r="AZ30" s="713" t="inlineStr"/>
      <c r="BA30" s="713" t="inlineStr"/>
      <c r="BB30" s="713" t="inlineStr"/>
      <c r="BC30" s="713" t="inlineStr"/>
      <c r="BD30" s="713" t="inlineStr"/>
      <c r="BE30" s="713" t="inlineStr"/>
      <c r="BF30" s="713" t="inlineStr"/>
      <c r="BG30" s="713" t="inlineStr"/>
      <c r="BH30" s="713" t="inlineStr"/>
      <c r="BI30" s="713" t="inlineStr"/>
      <c r="BJ30" s="713" t="inlineStr"/>
      <c r="BK30" s="713" t="inlineStr"/>
      <c r="BL30" s="713" t="inlineStr"/>
      <c r="BM30" s="713" t="inlineStr"/>
      <c r="BN30" s="713" t="inlineStr"/>
      <c r="BO30" s="713" t="inlineStr"/>
      <c r="BP30" s="713" t="inlineStr"/>
      <c r="BQ30" s="713" t="inlineStr"/>
    </row>
    <row r="31" outlineLevel="1" ht="14.25" customFormat="1" customHeight="1" s="483">
      <c r="A31" s="729" t="inlineStr">
        <is>
          <t>理财师020</t>
        </is>
      </c>
      <c r="B31" s="729" t="inlineStr">
        <is>
          <t>理财师032</t>
        </is>
      </c>
      <c r="C31" s="729" t="inlineStr">
        <is>
          <t>C3</t>
        </is>
      </c>
      <c r="D31" s="730" t="n">
        <v>46049</v>
      </c>
      <c r="E31" s="730" t="n">
        <v>46229</v>
      </c>
      <c r="F31" s="729" t="n">
        <v>7912.17</v>
      </c>
      <c r="G31" s="729" t="n">
        <v>10047.458061</v>
      </c>
      <c r="H31" s="729" t="n">
        <v>0</v>
      </c>
      <c r="I31" s="729" t="n">
        <v>0</v>
      </c>
      <c r="J31" s="729" t="n">
        <v>0</v>
      </c>
      <c r="K31" s="729">
        <f>SUM(H31:J31)</f>
        <v/>
      </c>
      <c r="L31" s="729" t="n">
        <v>1878.958678</v>
      </c>
      <c r="M31" s="729" t="n">
        <v>0</v>
      </c>
      <c r="N31" s="729" t="n">
        <v>168.696368</v>
      </c>
      <c r="O31" s="729">
        <f>SUM(L31:N31)</f>
        <v/>
      </c>
      <c r="P31" s="729" t="n">
        <v>2009.44</v>
      </c>
      <c r="Q31" s="729" t="n">
        <v>646.53732</v>
      </c>
      <c r="R31" s="729" t="n">
        <v>145.435162</v>
      </c>
      <c r="S31" s="729">
        <f>SUM(P31:R31)</f>
        <v/>
      </c>
      <c r="T31" s="729" t="n">
        <v>1610.465688</v>
      </c>
      <c r="U31" s="729" t="n">
        <v>110.192882</v>
      </c>
      <c r="V31" s="729" t="n">
        <v>40.927608</v>
      </c>
      <c r="W31" s="729">
        <f>SUM(T31:V31)</f>
        <v/>
      </c>
      <c r="X31" s="729" t="n">
        <v>1602.628872</v>
      </c>
      <c r="Y31" s="729" t="n">
        <v>0</v>
      </c>
      <c r="Z31" s="729" t="n">
        <v>47.95381</v>
      </c>
      <c r="AA31" s="729">
        <f>SUM(X31:Z31)</f>
        <v/>
      </c>
      <c r="AB31" s="729" t="n">
        <v>0</v>
      </c>
      <c r="AC31" s="729" t="n">
        <v>342.296351</v>
      </c>
      <c r="AD31" s="729" t="n">
        <v>116.811754</v>
      </c>
      <c r="AE31" s="729">
        <f>SUM(AB31:AD31)</f>
        <v/>
      </c>
      <c r="AF31" s="729" t="n">
        <v>440.8209</v>
      </c>
      <c r="AG31" s="729" t="n">
        <v>0</v>
      </c>
      <c r="AH31" s="729" t="n">
        <v>32.909035</v>
      </c>
      <c r="AI31" s="729">
        <f>SUM(AF31:AH31)</f>
        <v/>
      </c>
      <c r="AJ31" s="729" t="n">
        <v>1319.585129</v>
      </c>
      <c r="AK31" s="363">
        <f>SUM(K31+O31+S31+W31+AA31+AE31+AI31+AJ31)</f>
        <v/>
      </c>
      <c r="AL31" s="364">
        <f>IF(F31=0,"",K31/(F31/((YEAR(E31)*12+MONTH(E31))-(YEAR(D31)*12+MONTH(D31))+1)))</f>
        <v/>
      </c>
      <c r="AM31" s="364">
        <f>G31/F31</f>
        <v/>
      </c>
      <c r="AN31" s="731">
        <f>F31-G31</f>
        <v/>
      </c>
      <c r="AO31" s="366">
        <f>SUM(F31:F32)</f>
        <v/>
      </c>
      <c r="AP31" s="367">
        <f>AP33</f>
        <v/>
      </c>
      <c r="AQ31" s="745">
        <f>AQ33</f>
        <v/>
      </c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  <c r="BN31" s="706" t="inlineStr"/>
      <c r="BO31" s="706" t="inlineStr"/>
      <c r="BP31" s="706" t="inlineStr"/>
      <c r="BQ31" s="706" t="inlineStr"/>
    </row>
    <row r="32" outlineLevel="1" ht="14.25" customFormat="1" customHeight="1" s="483">
      <c r="A32" s="737" t="n"/>
      <c r="B32" s="734" t="inlineStr">
        <is>
          <t>理财师020</t>
        </is>
      </c>
      <c r="C32" s="734" t="inlineStr">
        <is>
          <t>首席私人财富管理专家PWA5-1</t>
        </is>
      </c>
      <c r="D32" s="735" t="n">
        <v>46204</v>
      </c>
      <c r="E32" s="735" t="n">
        <v>46387</v>
      </c>
      <c r="F32" s="734" t="n">
        <v>42178.5</v>
      </c>
      <c r="G32" s="734" t="n">
        <v>4748.079285</v>
      </c>
      <c r="H32" s="734" t="n">
        <v>0</v>
      </c>
      <c r="I32" s="734" t="n">
        <v>0</v>
      </c>
      <c r="J32" s="734" t="n">
        <v>0</v>
      </c>
      <c r="K32" s="734">
        <f>SUM(H32:J32)</f>
        <v/>
      </c>
      <c r="L32" s="734" t="n">
        <v>1888.180808</v>
      </c>
      <c r="M32" s="734" t="n">
        <v>2400.703812</v>
      </c>
      <c r="N32" s="734" t="n">
        <v>459.194666</v>
      </c>
      <c r="O32" s="734">
        <f>SUM(L32:N32)</f>
        <v/>
      </c>
      <c r="P32" s="734" t="n">
        <v>7288.783433</v>
      </c>
      <c r="Q32" s="734" t="n">
        <v>601.58592</v>
      </c>
      <c r="R32" s="734" t="n">
        <v>605.597413</v>
      </c>
      <c r="S32" s="734">
        <f>SUM(P32:R32)</f>
        <v/>
      </c>
      <c r="T32" s="734" t="n">
        <v>8333.122670999999</v>
      </c>
      <c r="U32" s="734" t="n">
        <v>0</v>
      </c>
      <c r="V32" s="734" t="n">
        <v>367.634218</v>
      </c>
      <c r="W32" s="734">
        <f>SUM(T32:V32)</f>
        <v/>
      </c>
      <c r="X32" s="734" t="n">
        <v>1259.210798</v>
      </c>
      <c r="Y32" s="734" t="n">
        <v>3101.9274</v>
      </c>
      <c r="Z32" s="734" t="n">
        <v>318.667286</v>
      </c>
      <c r="AA32" s="734">
        <f>SUM(X32:Z32)</f>
        <v/>
      </c>
      <c r="AB32" s="734" t="n">
        <v>10803.329409</v>
      </c>
      <c r="AC32" s="734" t="n">
        <v>0</v>
      </c>
      <c r="AD32" s="734" t="n">
        <v>396.373158</v>
      </c>
      <c r="AE32" s="734">
        <f>SUM(AB32:AD32)</f>
        <v/>
      </c>
      <c r="AF32" s="734" t="n">
        <v>6594.535422</v>
      </c>
      <c r="AG32" s="734" t="n">
        <v>0</v>
      </c>
      <c r="AH32" s="734" t="n">
        <v>271.914403</v>
      </c>
      <c r="AI32" s="734">
        <f>SUM(AF32:AH32)</f>
        <v/>
      </c>
      <c r="AJ32" s="734" t="n">
        <v>9115.509121999999</v>
      </c>
      <c r="AK32" s="746">
        <f>SUM(K32+O32+S32+W32+AA32+AE32+AI32+AJ32)</f>
        <v/>
      </c>
      <c r="AL32" s="373">
        <f>IF(F32=0,"",K32/(F32/((YEAR(E32)*12+MONTH(E32))-(YEAR(D32)*12+MONTH(D32))+1)))</f>
        <v/>
      </c>
      <c r="AM32" s="373">
        <f>G32/F32</f>
        <v/>
      </c>
      <c r="AN32" s="746">
        <f>F32-G32</f>
        <v/>
      </c>
      <c r="AO32" s="737" t="n"/>
      <c r="AP32" s="737" t="n"/>
      <c r="AQ32" s="737" t="n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  <c r="BN32" s="706" t="inlineStr"/>
      <c r="BO32" s="706" t="inlineStr"/>
      <c r="BP32" s="706" t="inlineStr"/>
      <c r="BQ32" s="706" t="inlineStr"/>
    </row>
    <row r="33" outlineLevel="1" ht="14.25" customFormat="1" customHeight="1" s="483">
      <c r="A33" s="738" t="inlineStr">
        <is>
          <t>合计</t>
        </is>
      </c>
      <c r="B33" s="739" t="n"/>
      <c r="C33" s="739" t="n"/>
      <c r="D33" s="739" t="n"/>
      <c r="E33" s="740" t="n"/>
      <c r="F33" s="379">
        <f>SUM(F31:F32)</f>
        <v/>
      </c>
      <c r="G33" s="738">
        <f>SUM(G31:G32)</f>
        <v/>
      </c>
      <c r="H33" s="738">
        <f>SUM(H31:H32)</f>
        <v/>
      </c>
      <c r="I33" s="738">
        <f>SUM(I31:I32)</f>
        <v/>
      </c>
      <c r="J33" s="738">
        <f>SUM(J31:J32)</f>
        <v/>
      </c>
      <c r="K33" s="738">
        <f>SUM(K31:K32)</f>
        <v/>
      </c>
      <c r="L33" s="738">
        <f>SUM(L31:L32)</f>
        <v/>
      </c>
      <c r="M33" s="738">
        <f>SUM(M31:M32)</f>
        <v/>
      </c>
      <c r="N33" s="738">
        <f>SUM(N31:N32)</f>
        <v/>
      </c>
      <c r="O33" s="738">
        <f>SUM(O31:O32)</f>
        <v/>
      </c>
      <c r="P33" s="738">
        <f>SUM(P31:P32)</f>
        <v/>
      </c>
      <c r="Q33" s="738">
        <f>SUM(Q31:Q32)</f>
        <v/>
      </c>
      <c r="R33" s="738">
        <f>SUM(R31:R32)</f>
        <v/>
      </c>
      <c r="S33" s="738">
        <f>SUM(S31:S32)</f>
        <v/>
      </c>
      <c r="T33" s="738">
        <f>SUM(T31:T32)</f>
        <v/>
      </c>
      <c r="U33" s="738">
        <f>SUM(U31:U32)</f>
        <v/>
      </c>
      <c r="V33" s="738">
        <f>SUM(V31:V32)</f>
        <v/>
      </c>
      <c r="W33" s="738">
        <f>SUM(W31:W32)</f>
        <v/>
      </c>
      <c r="X33" s="738">
        <f>SUM(X31:X32)</f>
        <v/>
      </c>
      <c r="Y33" s="738">
        <f>SUM(Y31:Y32)</f>
        <v/>
      </c>
      <c r="Z33" s="738">
        <f>SUM(Z31:Z32)</f>
        <v/>
      </c>
      <c r="AA33" s="738">
        <f>SUM(AA31:AA32)</f>
        <v/>
      </c>
      <c r="AB33" s="738">
        <f>SUM(AB31:AB32)</f>
        <v/>
      </c>
      <c r="AC33" s="738">
        <f>SUM(AC31:AC32)</f>
        <v/>
      </c>
      <c r="AD33" s="738">
        <f>SUM(AD31:AD32)</f>
        <v/>
      </c>
      <c r="AE33" s="738">
        <f>SUM(AE31:AE32)</f>
        <v/>
      </c>
      <c r="AF33" s="738">
        <f>SUM(AF31:AF32)</f>
        <v/>
      </c>
      <c r="AG33" s="738">
        <f>SUM(AG31:AG32)</f>
        <v/>
      </c>
      <c r="AH33" s="738">
        <f>SUM(AH31:AH32)</f>
        <v/>
      </c>
      <c r="AI33" s="738">
        <f>SUM(AI31:AI32)</f>
        <v/>
      </c>
      <c r="AJ33" s="738">
        <f>SUM(AJ31:AJ32)</f>
        <v/>
      </c>
      <c r="AK33" s="379">
        <f>SUM(K33+O33+S33+W33+AA33+AE33+AI33+AJ33)</f>
        <v/>
      </c>
      <c r="AL33" s="381">
        <f>IF(F33=0,"",K33/(F33/((YEAR(E31)*12+MONTH(E31))-(YEAR(D31)*12+MONTH(D31))+1)))</f>
        <v/>
      </c>
      <c r="AM33" s="382">
        <f>G33/F33</f>
        <v/>
      </c>
      <c r="AN33" s="743">
        <f>F33-G33</f>
        <v/>
      </c>
      <c r="AO33" s="383">
        <f>AO31</f>
        <v/>
      </c>
      <c r="AP33" s="381">
        <f>AK33/AO31</f>
        <v/>
      </c>
      <c r="AQ33" s="742">
        <f>AO31-AK33</f>
        <v/>
      </c>
      <c r="AR33" s="713" t="inlineStr"/>
      <c r="AS33" s="713" t="inlineStr"/>
      <c r="AT33" s="713" t="inlineStr"/>
      <c r="AU33" s="713" t="inlineStr"/>
      <c r="AV33" s="713" t="inlineStr"/>
      <c r="AW33" s="713" t="inlineStr"/>
      <c r="AX33" s="713" t="inlineStr"/>
      <c r="AY33" s="713" t="inlineStr"/>
      <c r="AZ33" s="713" t="inlineStr"/>
      <c r="BA33" s="713" t="inlineStr"/>
      <c r="BB33" s="713" t="inlineStr"/>
      <c r="BC33" s="713" t="inlineStr"/>
      <c r="BD33" s="713" t="inlineStr"/>
      <c r="BE33" s="713" t="inlineStr"/>
      <c r="BF33" s="713" t="inlineStr"/>
      <c r="BG33" s="713" t="inlineStr"/>
      <c r="BH33" s="713" t="inlineStr"/>
      <c r="BI33" s="713" t="inlineStr"/>
      <c r="BJ33" s="713" t="inlineStr"/>
      <c r="BK33" s="713" t="inlineStr"/>
      <c r="BL33" s="713" t="inlineStr"/>
      <c r="BM33" s="713" t="inlineStr"/>
      <c r="BN33" s="713" t="inlineStr"/>
      <c r="BO33" s="713" t="inlineStr"/>
      <c r="BP33" s="713" t="inlineStr"/>
      <c r="BQ33" s="713" t="inlineStr"/>
    </row>
    <row r="34" outlineLevel="1" ht="14.25" customFormat="1" customHeight="1" s="483">
      <c r="A34" s="729" t="inlineStr">
        <is>
          <t>理财师005</t>
        </is>
      </c>
      <c r="B34" s="729" t="inlineStr">
        <is>
          <t>理财师030</t>
        </is>
      </c>
      <c r="C34" s="729" t="inlineStr">
        <is>
          <t>私人财富管理顾问PWA1-1</t>
        </is>
      </c>
      <c r="D34" s="730" t="n">
        <v>46195</v>
      </c>
      <c r="E34" s="730" t="n">
        <v>46377</v>
      </c>
      <c r="F34" s="729" t="n">
        <v>7461.34</v>
      </c>
      <c r="G34" s="729" t="n">
        <v>153.986741</v>
      </c>
      <c r="H34" s="729" t="n">
        <v>0</v>
      </c>
      <c r="I34" s="729" t="n">
        <v>0</v>
      </c>
      <c r="J34" s="729" t="n">
        <v>0</v>
      </c>
      <c r="K34" s="729">
        <f>SUM(H34:J34)</f>
        <v/>
      </c>
      <c r="L34" s="729" t="n">
        <v>0</v>
      </c>
      <c r="M34" s="729" t="n">
        <v>0</v>
      </c>
      <c r="N34" s="729" t="n">
        <v>15.372437</v>
      </c>
      <c r="O34" s="729">
        <f>SUM(L34:N34)</f>
        <v/>
      </c>
      <c r="P34" s="729" t="n">
        <v>247.0689</v>
      </c>
      <c r="Q34" s="729" t="n">
        <v>0</v>
      </c>
      <c r="R34" s="729" t="n">
        <v>1.353804</v>
      </c>
      <c r="S34" s="729">
        <f>SUM(P34:R34)</f>
        <v/>
      </c>
      <c r="T34" s="729" t="n">
        <v>0</v>
      </c>
      <c r="U34" s="729" t="n">
        <v>0</v>
      </c>
      <c r="V34" s="729" t="n">
        <v>0</v>
      </c>
      <c r="W34" s="729">
        <f>SUM(T34:V34)</f>
        <v/>
      </c>
      <c r="X34" s="729" t="n">
        <v>0</v>
      </c>
      <c r="Y34" s="729" t="n">
        <v>0</v>
      </c>
      <c r="Z34" s="729" t="n">
        <v>0</v>
      </c>
      <c r="AA34" s="729">
        <f>SUM(X34:Z34)</f>
        <v/>
      </c>
      <c r="AB34" s="729" t="n">
        <v>0</v>
      </c>
      <c r="AC34" s="729" t="n">
        <v>0</v>
      </c>
      <c r="AD34" s="729" t="n">
        <v>0</v>
      </c>
      <c r="AE34" s="729">
        <f>SUM(AB34:AD34)</f>
        <v/>
      </c>
      <c r="AF34" s="729" t="n">
        <v>0</v>
      </c>
      <c r="AG34" s="729" t="n">
        <v>0</v>
      </c>
      <c r="AH34" s="729" t="n">
        <v>0</v>
      </c>
      <c r="AI34" s="729">
        <f>SUM(AF34:AH34)</f>
        <v/>
      </c>
      <c r="AJ34" s="729" t="n">
        <v>0</v>
      </c>
      <c r="AK34" s="363">
        <f>SUM(K34+O34+S34+W34+AA34+AE34+AI34+AJ34)</f>
        <v/>
      </c>
      <c r="AL34" s="364">
        <f>IF(F34=0,"",K34/(F34/((YEAR(E34)*12+MONTH(E34))-(YEAR(D34)*12+MONTH(D34))+1)))</f>
        <v/>
      </c>
      <c r="AM34" s="364">
        <f>G34/F34</f>
        <v/>
      </c>
      <c r="AN34" s="731">
        <f>F34-G34</f>
        <v/>
      </c>
      <c r="AO34" s="366">
        <f>SUM(F34:F36)</f>
        <v/>
      </c>
      <c r="AP34" s="367">
        <f>AP37</f>
        <v/>
      </c>
      <c r="AQ34" s="745">
        <f>AQ37</f>
        <v/>
      </c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  <c r="BN34" s="706" t="inlineStr"/>
      <c r="BO34" s="706" t="inlineStr"/>
      <c r="BP34" s="706" t="inlineStr"/>
      <c r="BQ34" s="706" t="inlineStr"/>
    </row>
    <row r="35" outlineLevel="1" ht="14.25" customFormat="1" customHeight="1" s="483">
      <c r="A35" s="733" t="n"/>
      <c r="B35" s="734" t="inlineStr">
        <is>
          <t>理财师026</t>
        </is>
      </c>
      <c r="C35" s="734" t="inlineStr">
        <is>
          <t>观察期PWA0-1</t>
        </is>
      </c>
      <c r="D35" s="735" t="n">
        <v>46113</v>
      </c>
      <c r="E35" s="735" t="n">
        <v>46203</v>
      </c>
      <c r="F35" s="734" t="n">
        <v>1943.13</v>
      </c>
      <c r="G35" s="734" t="n">
        <v>465.481988</v>
      </c>
      <c r="H35" s="734" t="n">
        <v>0</v>
      </c>
      <c r="I35" s="734" t="n">
        <v>0</v>
      </c>
      <c r="J35" s="734" t="n">
        <v>0</v>
      </c>
      <c r="K35" s="734">
        <f>SUM(H35:J35)</f>
        <v/>
      </c>
      <c r="L35" s="734" t="n">
        <v>0</v>
      </c>
      <c r="M35" s="734" t="n">
        <v>0</v>
      </c>
      <c r="N35" s="734" t="n">
        <v>18.717729</v>
      </c>
      <c r="O35" s="734">
        <f>SUM(L35:N35)</f>
        <v/>
      </c>
      <c r="P35" s="734" t="n">
        <v>288.6936</v>
      </c>
      <c r="Q35" s="734" t="n">
        <v>0</v>
      </c>
      <c r="R35" s="734" t="n">
        <v>29.573753</v>
      </c>
      <c r="S35" s="734">
        <f>SUM(P35:R35)</f>
        <v/>
      </c>
      <c r="T35" s="734" t="n">
        <v>114.611359</v>
      </c>
      <c r="U35" s="734" t="n">
        <v>0</v>
      </c>
      <c r="V35" s="734" t="n">
        <v>18.055825</v>
      </c>
      <c r="W35" s="734">
        <f>SUM(T35:V35)</f>
        <v/>
      </c>
      <c r="X35" s="734" t="n">
        <v>0</v>
      </c>
      <c r="Y35" s="734" t="n">
        <v>0</v>
      </c>
      <c r="Z35" s="734" t="n">
        <v>14.547451</v>
      </c>
      <c r="AA35" s="734">
        <f>SUM(X35:Z35)</f>
        <v/>
      </c>
      <c r="AB35" s="734" t="n">
        <v>809.929895</v>
      </c>
      <c r="AC35" s="734" t="n">
        <v>0</v>
      </c>
      <c r="AD35" s="734" t="n">
        <v>47.501776</v>
      </c>
      <c r="AE35" s="734">
        <f>SUM(AB35:AD35)</f>
        <v/>
      </c>
      <c r="AF35" s="734" t="n">
        <v>176.20858</v>
      </c>
      <c r="AG35" s="734" t="n">
        <v>0</v>
      </c>
      <c r="AH35" s="734" t="n">
        <v>11.404098</v>
      </c>
      <c r="AI35" s="734">
        <f>SUM(AF35:AH35)</f>
        <v/>
      </c>
      <c r="AJ35" s="734" t="n">
        <v>12.282809</v>
      </c>
      <c r="AK35" s="746">
        <f>SUM(K35+O35+S35+W35+AA35+AE35+AI35+AJ35)</f>
        <v/>
      </c>
      <c r="AL35" s="373">
        <f>IF(F35=0,"",K35/(F35/((YEAR(E35)*12+MONTH(E35))-(YEAR(D35)*12+MONTH(D35))+1)))</f>
        <v/>
      </c>
      <c r="AM35" s="373">
        <f>G35/F35</f>
        <v/>
      </c>
      <c r="AN35" s="746">
        <f>F35-G35</f>
        <v/>
      </c>
      <c r="AO35" s="733" t="n"/>
      <c r="AP35" s="733" t="n"/>
      <c r="AQ35" s="733" t="n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  <c r="BN35" s="706" t="inlineStr"/>
      <c r="BO35" s="706" t="inlineStr"/>
      <c r="BP35" s="706" t="inlineStr"/>
      <c r="BQ35" s="706" t="inlineStr"/>
    </row>
    <row r="36" outlineLevel="1" ht="14.25" customFormat="1" customHeight="1" s="483">
      <c r="A36" s="737" t="n"/>
      <c r="B36" s="734" t="inlineStr">
        <is>
          <t>理财师005</t>
        </is>
      </c>
      <c r="C36" s="734" t="inlineStr">
        <is>
          <t>私人财富管理资深顾问PWA2-5</t>
        </is>
      </c>
      <c r="D36" s="735" t="n">
        <v>46204</v>
      </c>
      <c r="E36" s="735" t="n">
        <v>46387</v>
      </c>
      <c r="F36" s="734" t="n">
        <v>13123.44</v>
      </c>
      <c r="G36" s="734" t="n">
        <v>1806.454594</v>
      </c>
      <c r="H36" s="734" t="n">
        <v>0</v>
      </c>
      <c r="I36" s="734" t="n">
        <v>0</v>
      </c>
      <c r="J36" s="734" t="n">
        <v>0</v>
      </c>
      <c r="K36" s="734">
        <f>SUM(H36:J36)</f>
        <v/>
      </c>
      <c r="L36" s="734" t="n">
        <v>1292.819304</v>
      </c>
      <c r="M36" s="734" t="n">
        <v>0</v>
      </c>
      <c r="N36" s="734" t="n">
        <v>513.6352900000001</v>
      </c>
      <c r="O36" s="734">
        <f>SUM(L36:N36)</f>
        <v/>
      </c>
      <c r="P36" s="734" t="n">
        <v>3750.483593</v>
      </c>
      <c r="Q36" s="734" t="n">
        <v>0</v>
      </c>
      <c r="R36" s="734" t="n">
        <v>577.821105</v>
      </c>
      <c r="S36" s="734">
        <f>SUM(P36:R36)</f>
        <v/>
      </c>
      <c r="T36" s="734" t="n">
        <v>907.591957</v>
      </c>
      <c r="U36" s="734" t="n">
        <v>0</v>
      </c>
      <c r="V36" s="734" t="n">
        <v>364.243787</v>
      </c>
      <c r="W36" s="734">
        <f>SUM(T36:V36)</f>
        <v/>
      </c>
      <c r="X36" s="734" t="n">
        <v>1870.349984</v>
      </c>
      <c r="Y36" s="734" t="n">
        <v>2312.474666</v>
      </c>
      <c r="Z36" s="734" t="n">
        <v>319.48223</v>
      </c>
      <c r="AA36" s="734">
        <f>SUM(X36:Z36)</f>
        <v/>
      </c>
      <c r="AB36" s="734" t="n">
        <v>731.292658</v>
      </c>
      <c r="AC36" s="734" t="n">
        <v>1925.150771</v>
      </c>
      <c r="AD36" s="734" t="n">
        <v>383.775324</v>
      </c>
      <c r="AE36" s="734">
        <f>SUM(AB36:AD36)</f>
        <v/>
      </c>
      <c r="AF36" s="734" t="n">
        <v>1738.204897</v>
      </c>
      <c r="AG36" s="734" t="n">
        <v>0</v>
      </c>
      <c r="AH36" s="734" t="n">
        <v>284.706769</v>
      </c>
      <c r="AI36" s="734">
        <f>SUM(AF36:AH36)</f>
        <v/>
      </c>
      <c r="AJ36" s="734" t="n">
        <v>1538.392041</v>
      </c>
      <c r="AK36" s="372">
        <f>SUM(K36+O36+S36+W36+AA36+AE36+AI36+AJ36)</f>
        <v/>
      </c>
      <c r="AL36" s="373">
        <f>IF(F36=0,"",K36/(F36/((YEAR(E36)*12+MONTH(E36))-(YEAR(D36)*12+MONTH(D36))+1)))</f>
        <v/>
      </c>
      <c r="AM36" s="373">
        <f>G36/F36</f>
        <v/>
      </c>
      <c r="AN36" s="736">
        <f>F36-G36</f>
        <v/>
      </c>
      <c r="AO36" s="737" t="n"/>
      <c r="AP36" s="737" t="n"/>
      <c r="AQ36" s="737" t="n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  <c r="BN36" s="706" t="inlineStr"/>
      <c r="BO36" s="706" t="inlineStr"/>
      <c r="BP36" s="706" t="inlineStr"/>
      <c r="BQ36" s="706" t="inlineStr"/>
    </row>
    <row r="37" outlineLevel="1" ht="14.25" customFormat="1" customHeight="1" s="483">
      <c r="A37" s="738" t="inlineStr">
        <is>
          <t>合计</t>
        </is>
      </c>
      <c r="B37" s="739" t="n"/>
      <c r="C37" s="739" t="n"/>
      <c r="D37" s="739" t="n"/>
      <c r="E37" s="740" t="n"/>
      <c r="F37" s="379">
        <f>SUM(F34:F36)</f>
        <v/>
      </c>
      <c r="G37" s="738">
        <f>SUM(G34:G36)</f>
        <v/>
      </c>
      <c r="H37" s="738">
        <f>SUM(H34:H36)</f>
        <v/>
      </c>
      <c r="I37" s="738">
        <f>SUM(I34:I36)</f>
        <v/>
      </c>
      <c r="J37" s="738">
        <f>SUM(J34:J36)</f>
        <v/>
      </c>
      <c r="K37" s="738">
        <f>SUM(K34:K36)</f>
        <v/>
      </c>
      <c r="L37" s="738">
        <f>SUM(L34:L36)</f>
        <v/>
      </c>
      <c r="M37" s="738">
        <f>SUM(M34:M36)</f>
        <v/>
      </c>
      <c r="N37" s="738">
        <f>SUM(N34:N36)</f>
        <v/>
      </c>
      <c r="O37" s="738">
        <f>SUM(O34:O36)</f>
        <v/>
      </c>
      <c r="P37" s="738">
        <f>SUM(P34:P36)</f>
        <v/>
      </c>
      <c r="Q37" s="738">
        <f>SUM(Q34:Q36)</f>
        <v/>
      </c>
      <c r="R37" s="738">
        <f>SUM(R34:R36)</f>
        <v/>
      </c>
      <c r="S37" s="738">
        <f>SUM(S34:S36)</f>
        <v/>
      </c>
      <c r="T37" s="738">
        <f>SUM(T34:T36)</f>
        <v/>
      </c>
      <c r="U37" s="738">
        <f>SUM(U34:U36)</f>
        <v/>
      </c>
      <c r="V37" s="738">
        <f>SUM(V34:V36)</f>
        <v/>
      </c>
      <c r="W37" s="738">
        <f>SUM(W34:W36)</f>
        <v/>
      </c>
      <c r="X37" s="738">
        <f>SUM(X34:X36)</f>
        <v/>
      </c>
      <c r="Y37" s="738">
        <f>SUM(Y34:Y36)</f>
        <v/>
      </c>
      <c r="Z37" s="738">
        <f>SUM(Z34:Z36)</f>
        <v/>
      </c>
      <c r="AA37" s="738">
        <f>SUM(AA34:AA36)</f>
        <v/>
      </c>
      <c r="AB37" s="738">
        <f>SUM(AB34:AB36)</f>
        <v/>
      </c>
      <c r="AC37" s="738">
        <f>SUM(AC34:AC36)</f>
        <v/>
      </c>
      <c r="AD37" s="738">
        <f>SUM(AD34:AD36)</f>
        <v/>
      </c>
      <c r="AE37" s="738">
        <f>SUM(AE34:AE36)</f>
        <v/>
      </c>
      <c r="AF37" s="738">
        <f>SUM(AF34:AF36)</f>
        <v/>
      </c>
      <c r="AG37" s="738">
        <f>SUM(AG34:AG36)</f>
        <v/>
      </c>
      <c r="AH37" s="738">
        <f>SUM(AH34:AH36)</f>
        <v/>
      </c>
      <c r="AI37" s="738">
        <f>SUM(AI34:AI36)</f>
        <v/>
      </c>
      <c r="AJ37" s="738">
        <f>SUM(AJ34:AJ36)</f>
        <v/>
      </c>
      <c r="AK37" s="379">
        <f>SUM(K37+O37+S37+W37+AA37+AE37+AI37+AJ37)</f>
        <v/>
      </c>
      <c r="AL37" s="381">
        <f>IF(F37=0,"",K37/(F37/((YEAR(E34)*12+MONTH(E34))-(YEAR(D34)*12+MONTH(D34))+1)))</f>
        <v/>
      </c>
      <c r="AM37" s="382">
        <f>G37/F37</f>
        <v/>
      </c>
      <c r="AN37" s="743">
        <f>F37-G37</f>
        <v/>
      </c>
      <c r="AO37" s="383">
        <f>AO34</f>
        <v/>
      </c>
      <c r="AP37" s="381">
        <f>AK37/AO34</f>
        <v/>
      </c>
      <c r="AQ37" s="742">
        <f>AO34-AK37</f>
        <v/>
      </c>
      <c r="AR37" s="713" t="inlineStr"/>
      <c r="AS37" s="713" t="inlineStr"/>
      <c r="AT37" s="713" t="inlineStr"/>
      <c r="AU37" s="713" t="inlineStr"/>
      <c r="AV37" s="713" t="inlineStr"/>
      <c r="AW37" s="713" t="inlineStr"/>
      <c r="AX37" s="713" t="inlineStr"/>
      <c r="AY37" s="713" t="inlineStr"/>
      <c r="AZ37" s="713" t="inlineStr"/>
      <c r="BA37" s="713" t="inlineStr"/>
      <c r="BB37" s="713" t="inlineStr"/>
      <c r="BC37" s="713" t="inlineStr"/>
      <c r="BD37" s="713" t="inlineStr"/>
      <c r="BE37" s="713" t="inlineStr"/>
      <c r="BF37" s="713" t="inlineStr"/>
      <c r="BG37" s="713" t="inlineStr"/>
      <c r="BH37" s="713" t="inlineStr"/>
      <c r="BI37" s="713" t="inlineStr"/>
      <c r="BJ37" s="713" t="inlineStr"/>
      <c r="BK37" s="713" t="inlineStr"/>
      <c r="BL37" s="713" t="inlineStr"/>
      <c r="BM37" s="713" t="inlineStr"/>
      <c r="BN37" s="713" t="inlineStr"/>
      <c r="BO37" s="713" t="inlineStr"/>
      <c r="BP37" s="713" t="inlineStr"/>
      <c r="BQ37" s="713" t="inlineStr"/>
    </row>
    <row r="38" outlineLevel="1" ht="14.25" customFormat="1" customHeight="1" s="483">
      <c r="A38" s="729" t="inlineStr">
        <is>
          <t>理财师008</t>
        </is>
      </c>
      <c r="B38" s="729" t="inlineStr">
        <is>
          <t>理财师011</t>
        </is>
      </c>
      <c r="C38" s="729" t="inlineStr">
        <is>
          <t>私人财富管理顾问PWA1-2</t>
        </is>
      </c>
      <c r="D38" s="730" t="n">
        <v>46204</v>
      </c>
      <c r="E38" s="730" t="n">
        <v>46387</v>
      </c>
      <c r="F38" s="729" t="n">
        <v>3484.06</v>
      </c>
      <c r="G38" s="729" t="n">
        <v>408.740456</v>
      </c>
      <c r="H38" s="729" t="n">
        <v>0</v>
      </c>
      <c r="I38" s="729" t="n">
        <v>0</v>
      </c>
      <c r="J38" s="729" t="n">
        <v>0</v>
      </c>
      <c r="K38" s="729">
        <f>SUM(H38:J38)</f>
        <v/>
      </c>
      <c r="L38" s="729" t="n">
        <v>84.068866</v>
      </c>
      <c r="M38" s="729" t="n">
        <v>323.29674</v>
      </c>
      <c r="N38" s="729" t="n">
        <v>1.37485</v>
      </c>
      <c r="O38" s="729">
        <f>SUM(L38:N38)</f>
        <v/>
      </c>
      <c r="P38" s="729" t="n">
        <v>564.94934</v>
      </c>
      <c r="Q38" s="729" t="n">
        <v>0</v>
      </c>
      <c r="R38" s="729" t="n">
        <v>82.099047</v>
      </c>
      <c r="S38" s="729">
        <f>SUM(P38:R38)</f>
        <v/>
      </c>
      <c r="T38" s="729" t="n">
        <v>0</v>
      </c>
      <c r="U38" s="729" t="n">
        <v>3092.4036</v>
      </c>
      <c r="V38" s="729" t="n">
        <v>61.007408</v>
      </c>
      <c r="W38" s="729">
        <f>SUM(T38:V38)</f>
        <v/>
      </c>
      <c r="X38" s="729" t="n">
        <v>178.04748</v>
      </c>
      <c r="Y38" s="729" t="n">
        <v>0</v>
      </c>
      <c r="Z38" s="729" t="n">
        <v>32.11807</v>
      </c>
      <c r="AA38" s="729">
        <f>SUM(X38:Z38)</f>
        <v/>
      </c>
      <c r="AB38" s="729" t="n">
        <v>47.229437</v>
      </c>
      <c r="AC38" s="729" t="n">
        <v>0</v>
      </c>
      <c r="AD38" s="729" t="n">
        <v>24.120644</v>
      </c>
      <c r="AE38" s="729">
        <f>SUM(AB38:AD38)</f>
        <v/>
      </c>
      <c r="AF38" s="729" t="n">
        <v>524.574731</v>
      </c>
      <c r="AG38" s="729" t="n">
        <v>0</v>
      </c>
      <c r="AH38" s="729" t="n">
        <v>1.216481</v>
      </c>
      <c r="AI38" s="729">
        <f>SUM(AF38:AH38)</f>
        <v/>
      </c>
      <c r="AJ38" s="729" t="n">
        <v>0</v>
      </c>
      <c r="AK38" s="744">
        <f>SUM(K38+O38+S38+W38+AA38+AE38+AI38+AJ38)</f>
        <v/>
      </c>
      <c r="AL38" s="364">
        <f>IF(F38=0,"",K38/(F38/((YEAR(E38)*12+MONTH(E38))-(YEAR(D38)*12+MONTH(D38))+1)))</f>
        <v/>
      </c>
      <c r="AM38" s="364">
        <f>G38/F38</f>
        <v/>
      </c>
      <c r="AN38" s="744">
        <f>F38-G38</f>
        <v/>
      </c>
      <c r="AO38" s="366">
        <f>SUM(F38:F39)</f>
        <v/>
      </c>
      <c r="AP38" s="367">
        <f>AP40</f>
        <v/>
      </c>
      <c r="AQ38" s="745">
        <f>AQ40</f>
        <v/>
      </c>
      <c r="AR38" s="706" t="inlineStr"/>
      <c r="AS38" s="706" t="inlineStr"/>
      <c r="AT38" s="706" t="inlineStr"/>
      <c r="AU38" s="706" t="inlineStr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  <c r="BN38" s="706" t="inlineStr"/>
      <c r="BO38" s="706" t="inlineStr"/>
      <c r="BP38" s="706" t="inlineStr"/>
      <c r="BQ38" s="706" t="inlineStr"/>
    </row>
    <row r="39" outlineLevel="1" ht="14.25" customFormat="1" customHeight="1" s="483">
      <c r="A39" s="737" t="n"/>
      <c r="B39" s="734" t="inlineStr">
        <is>
          <t>理财师008</t>
        </is>
      </c>
      <c r="C39" s="734" t="inlineStr">
        <is>
          <t>私人财富管理专家PWA4-3</t>
        </is>
      </c>
      <c r="D39" s="735" t="n">
        <v>46204</v>
      </c>
      <c r="E39" s="735" t="n">
        <v>46387</v>
      </c>
      <c r="F39" s="734" t="n">
        <v>25727.57</v>
      </c>
      <c r="G39" s="734" t="n">
        <v>1774.926845</v>
      </c>
      <c r="H39" s="734" t="n">
        <v>0</v>
      </c>
      <c r="I39" s="734" t="n">
        <v>0</v>
      </c>
      <c r="J39" s="734" t="n">
        <v>0</v>
      </c>
      <c r="K39" s="734">
        <f>SUM(H39:J39)</f>
        <v/>
      </c>
      <c r="L39" s="734" t="n">
        <v>1531.095078</v>
      </c>
      <c r="M39" s="734" t="n">
        <v>0</v>
      </c>
      <c r="N39" s="734" t="n">
        <v>243.831766</v>
      </c>
      <c r="O39" s="734">
        <f>SUM(L39:N39)</f>
        <v/>
      </c>
      <c r="P39" s="734" t="n">
        <v>3874.376797</v>
      </c>
      <c r="Q39" s="734" t="n">
        <v>253.81824</v>
      </c>
      <c r="R39" s="734" t="n">
        <v>421.509645</v>
      </c>
      <c r="S39" s="734">
        <f>SUM(P39:R39)</f>
        <v/>
      </c>
      <c r="T39" s="734" t="n">
        <v>5263.972173</v>
      </c>
      <c r="U39" s="734" t="n">
        <v>1110.4548</v>
      </c>
      <c r="V39" s="734" t="n">
        <v>271.92657</v>
      </c>
      <c r="W39" s="734">
        <f>SUM(T39:V39)</f>
        <v/>
      </c>
      <c r="X39" s="734" t="n">
        <v>3533.62581</v>
      </c>
      <c r="Y39" s="734" t="n">
        <v>2435.06874</v>
      </c>
      <c r="Z39" s="734" t="n">
        <v>188.462147</v>
      </c>
      <c r="AA39" s="734">
        <f>SUM(X39:Z39)</f>
        <v/>
      </c>
      <c r="AB39" s="734" t="n">
        <v>9546.464904</v>
      </c>
      <c r="AC39" s="734" t="n">
        <v>0</v>
      </c>
      <c r="AD39" s="734" t="n">
        <v>401.214551</v>
      </c>
      <c r="AE39" s="734">
        <f>SUM(AB39:AD39)</f>
        <v/>
      </c>
      <c r="AF39" s="734" t="n">
        <v>1081.878995</v>
      </c>
      <c r="AG39" s="734" t="n">
        <v>523.50012</v>
      </c>
      <c r="AH39" s="734" t="n">
        <v>135.589522</v>
      </c>
      <c r="AI39" s="734">
        <f>SUM(AF39:AH39)</f>
        <v/>
      </c>
      <c r="AJ39" s="734" t="n">
        <v>1873.958877</v>
      </c>
      <c r="AK39" s="372">
        <f>SUM(K39+O39+S39+W39+AA39+AE39+AI39+AJ39)</f>
        <v/>
      </c>
      <c r="AL39" s="373">
        <f>IF(F39=0,"",K39/(F39/((YEAR(E39)*12+MONTH(E39))-(YEAR(D39)*12+MONTH(D39))+1)))</f>
        <v/>
      </c>
      <c r="AM39" s="373">
        <f>G39/F39</f>
        <v/>
      </c>
      <c r="AN39" s="736">
        <f>F39-G39</f>
        <v/>
      </c>
      <c r="AO39" s="737" t="n"/>
      <c r="AP39" s="737" t="n"/>
      <c r="AQ39" s="737" t="n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  <c r="BN39" s="706" t="inlineStr"/>
      <c r="BO39" s="706" t="inlineStr"/>
      <c r="BP39" s="706" t="inlineStr"/>
      <c r="BQ39" s="706" t="inlineStr"/>
    </row>
    <row r="40" outlineLevel="1" ht="14.25" customFormat="1" customHeight="1" s="483">
      <c r="A40" s="738" t="inlineStr">
        <is>
          <t>合计</t>
        </is>
      </c>
      <c r="B40" s="739" t="n"/>
      <c r="C40" s="739" t="n"/>
      <c r="D40" s="739" t="n"/>
      <c r="E40" s="740" t="n"/>
      <c r="F40" s="379">
        <f>SUM(F38:F39)</f>
        <v/>
      </c>
      <c r="G40" s="738">
        <f>SUM(G38:G39)</f>
        <v/>
      </c>
      <c r="H40" s="738">
        <f>SUM(H38:H39)</f>
        <v/>
      </c>
      <c r="I40" s="738">
        <f>SUM(I38:I39)</f>
        <v/>
      </c>
      <c r="J40" s="738">
        <f>SUM(J38:J39)</f>
        <v/>
      </c>
      <c r="K40" s="738">
        <f>SUM(K38:K39)</f>
        <v/>
      </c>
      <c r="L40" s="738">
        <f>SUM(L38:L39)</f>
        <v/>
      </c>
      <c r="M40" s="738">
        <f>SUM(M38:M39)</f>
        <v/>
      </c>
      <c r="N40" s="738">
        <f>SUM(N38:N39)</f>
        <v/>
      </c>
      <c r="O40" s="738">
        <f>SUM(O38:O39)</f>
        <v/>
      </c>
      <c r="P40" s="738">
        <f>SUM(P38:P39)</f>
        <v/>
      </c>
      <c r="Q40" s="738">
        <f>SUM(Q38:Q39)</f>
        <v/>
      </c>
      <c r="R40" s="738">
        <f>SUM(R38:R39)</f>
        <v/>
      </c>
      <c r="S40" s="738">
        <f>SUM(S38:S39)</f>
        <v/>
      </c>
      <c r="T40" s="738">
        <f>SUM(T38:T39)</f>
        <v/>
      </c>
      <c r="U40" s="738">
        <f>SUM(U38:U39)</f>
        <v/>
      </c>
      <c r="V40" s="738">
        <f>SUM(V38:V39)</f>
        <v/>
      </c>
      <c r="W40" s="738">
        <f>SUM(W38:W39)</f>
        <v/>
      </c>
      <c r="X40" s="738">
        <f>SUM(X38:X39)</f>
        <v/>
      </c>
      <c r="Y40" s="738">
        <f>SUM(Y38:Y39)</f>
        <v/>
      </c>
      <c r="Z40" s="738">
        <f>SUM(Z38:Z39)</f>
        <v/>
      </c>
      <c r="AA40" s="738">
        <f>SUM(AA38:AA39)</f>
        <v/>
      </c>
      <c r="AB40" s="738">
        <f>SUM(AB38:AB39)</f>
        <v/>
      </c>
      <c r="AC40" s="738">
        <f>SUM(AC38:AC39)</f>
        <v/>
      </c>
      <c r="AD40" s="738">
        <f>SUM(AD38:AD39)</f>
        <v/>
      </c>
      <c r="AE40" s="738">
        <f>SUM(AE38:AE39)</f>
        <v/>
      </c>
      <c r="AF40" s="738">
        <f>SUM(AF38:AF39)</f>
        <v/>
      </c>
      <c r="AG40" s="738">
        <f>SUM(AG38:AG39)</f>
        <v/>
      </c>
      <c r="AH40" s="738">
        <f>SUM(AH38:AH39)</f>
        <v/>
      </c>
      <c r="AI40" s="738">
        <f>SUM(AI38:AI39)</f>
        <v/>
      </c>
      <c r="AJ40" s="738">
        <f>SUM(AJ38:AJ39)</f>
        <v/>
      </c>
      <c r="AK40" s="379">
        <f>SUM(K40+O40+S40+W40+AA40+AE40+AI40+AJ40)</f>
        <v/>
      </c>
      <c r="AL40" s="381">
        <f>IF(F40=0,"",K40/(F40/((YEAR(E38)*12+MONTH(E38))-(YEAR(D38)*12+MONTH(D38))+1)))</f>
        <v/>
      </c>
      <c r="AM40" s="382">
        <f>G40/F40</f>
        <v/>
      </c>
      <c r="AN40" s="743">
        <f>F40-G40</f>
        <v/>
      </c>
      <c r="AO40" s="383">
        <f>AO38</f>
        <v/>
      </c>
      <c r="AP40" s="381">
        <f>AK40/AO38</f>
        <v/>
      </c>
      <c r="AQ40" s="742">
        <f>AO38-AK40</f>
        <v/>
      </c>
      <c r="AR40" s="713" t="inlineStr"/>
      <c r="AS40" s="713" t="inlineStr"/>
      <c r="AT40" s="713" t="inlineStr"/>
      <c r="AU40" s="713" t="inlineStr"/>
      <c r="AV40" s="713" t="inlineStr"/>
      <c r="AW40" s="713" t="inlineStr"/>
      <c r="AX40" s="713" t="inlineStr"/>
      <c r="AY40" s="713" t="inlineStr"/>
      <c r="AZ40" s="713" t="inlineStr"/>
      <c r="BA40" s="713" t="inlineStr"/>
      <c r="BB40" s="713" t="inlineStr"/>
      <c r="BC40" s="713" t="inlineStr"/>
      <c r="BD40" s="713" t="inlineStr"/>
      <c r="BE40" s="713" t="inlineStr"/>
      <c r="BF40" s="713" t="inlineStr"/>
      <c r="BG40" s="713" t="inlineStr"/>
      <c r="BH40" s="713" t="inlineStr"/>
      <c r="BI40" s="713" t="inlineStr"/>
      <c r="BJ40" s="713" t="inlineStr"/>
      <c r="BK40" s="713" t="inlineStr"/>
      <c r="BL40" s="713" t="inlineStr"/>
      <c r="BM40" s="713" t="inlineStr"/>
      <c r="BN40" s="713" t="inlineStr"/>
      <c r="BO40" s="713" t="inlineStr"/>
      <c r="BP40" s="713" t="inlineStr"/>
      <c r="BQ40" s="713" t="inlineStr"/>
    </row>
    <row r="41" outlineLevel="1" ht="14.25" customFormat="1" customHeight="1" s="483">
      <c r="A41" s="729" t="inlineStr">
        <is>
          <t>理财师004</t>
        </is>
      </c>
      <c r="B41" s="729" t="inlineStr">
        <is>
          <t>理财师006</t>
        </is>
      </c>
      <c r="C41" s="729" t="inlineStr">
        <is>
          <t>私人财富管理专家PWA4-5</t>
        </is>
      </c>
      <c r="D41" s="730" t="n">
        <v>46204</v>
      </c>
      <c r="E41" s="730" t="n">
        <v>46387</v>
      </c>
      <c r="F41" s="729" t="n">
        <v>17235</v>
      </c>
      <c r="G41" s="729" t="n">
        <v>5380.076715</v>
      </c>
      <c r="H41" s="729" t="n">
        <v>992.988433</v>
      </c>
      <c r="I41" s="729" t="n">
        <v>0</v>
      </c>
      <c r="J41" s="729" t="n">
        <v>0</v>
      </c>
      <c r="K41" s="729">
        <f>SUM(H41:J41)</f>
        <v/>
      </c>
      <c r="L41" s="729" t="n">
        <v>2476.143832</v>
      </c>
      <c r="M41" s="729" t="n">
        <v>1523.574</v>
      </c>
      <c r="N41" s="729" t="n">
        <v>387.37045</v>
      </c>
      <c r="O41" s="729">
        <f>SUM(L41:N41)</f>
        <v/>
      </c>
      <c r="P41" s="729" t="n">
        <v>2686.912949</v>
      </c>
      <c r="Q41" s="729" t="n">
        <v>384.193382</v>
      </c>
      <c r="R41" s="729" t="n">
        <v>712.728125</v>
      </c>
      <c r="S41" s="729">
        <f>SUM(P41:R41)</f>
        <v/>
      </c>
      <c r="T41" s="729" t="n">
        <v>3250.598551</v>
      </c>
      <c r="U41" s="729" t="n">
        <v>241.63794</v>
      </c>
      <c r="V41" s="729" t="n">
        <v>443.427462</v>
      </c>
      <c r="W41" s="729">
        <f>SUM(T41:V41)</f>
        <v/>
      </c>
      <c r="X41" s="729" t="n">
        <v>1492.14231</v>
      </c>
      <c r="Y41" s="729" t="n">
        <v>0</v>
      </c>
      <c r="Z41" s="729" t="n">
        <v>381.121236</v>
      </c>
      <c r="AA41" s="729">
        <f>SUM(X41:Z41)</f>
        <v/>
      </c>
      <c r="AB41" s="729" t="n">
        <v>2747.788321</v>
      </c>
      <c r="AC41" s="729" t="n">
        <v>0</v>
      </c>
      <c r="AD41" s="729" t="n">
        <v>613.27548</v>
      </c>
      <c r="AE41" s="729">
        <f>SUM(AB41:AD41)</f>
        <v/>
      </c>
      <c r="AF41" s="729" t="n">
        <v>1566.390968</v>
      </c>
      <c r="AG41" s="729" t="n">
        <v>1037.679365</v>
      </c>
      <c r="AH41" s="729" t="n">
        <v>313.732955</v>
      </c>
      <c r="AI41" s="729">
        <f>SUM(AF41:AH41)</f>
        <v/>
      </c>
      <c r="AJ41" s="729" t="n">
        <v>4335.866577</v>
      </c>
      <c r="AK41" s="744">
        <f>SUM(K41+O41+S41+W41+AA41+AE41+AI41+AJ41)</f>
        <v/>
      </c>
      <c r="AL41" s="364">
        <f>IF(F41=0,"",K41/(F41/((YEAR(E41)*12+MONTH(E41))-(YEAR(D41)*12+MONTH(D41))+1)))</f>
        <v/>
      </c>
      <c r="AM41" s="364">
        <f>G41/F41</f>
        <v/>
      </c>
      <c r="AN41" s="744">
        <f>F41-G41</f>
        <v/>
      </c>
      <c r="AO41" s="366">
        <f>SUM(F41:F46)</f>
        <v/>
      </c>
      <c r="AP41" s="367">
        <f>AP47</f>
        <v/>
      </c>
      <c r="AQ41" s="745">
        <f>AQ47</f>
        <v/>
      </c>
      <c r="AR41" s="706" t="inlineStr"/>
      <c r="AS41" s="706" t="inlineStr"/>
      <c r="AT41" s="706" t="inlineStr"/>
      <c r="AU41" s="706" t="inlineStr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  <c r="BN41" s="706" t="inlineStr"/>
      <c r="BO41" s="706" t="inlineStr"/>
      <c r="BP41" s="706" t="inlineStr"/>
      <c r="BQ41" s="706" t="inlineStr"/>
    </row>
    <row r="42" outlineLevel="1" ht="14.25" customFormat="1" customHeight="1" s="483">
      <c r="A42" s="733" t="n"/>
      <c r="B42" s="734" t="inlineStr">
        <is>
          <t>理财师003</t>
        </is>
      </c>
      <c r="C42" s="734" t="inlineStr">
        <is>
          <t>私人财富管理专家PWA4-1</t>
        </is>
      </c>
      <c r="D42" s="735" t="n">
        <v>46204</v>
      </c>
      <c r="E42" s="735" t="n">
        <v>46387</v>
      </c>
      <c r="F42" s="734" t="n">
        <v>27907.62</v>
      </c>
      <c r="G42" s="734" t="n">
        <v>5390.670868</v>
      </c>
      <c r="H42" s="734" t="n">
        <v>1620.073502</v>
      </c>
      <c r="I42" s="734" t="n">
        <v>0</v>
      </c>
      <c r="J42" s="734" t="n">
        <v>0</v>
      </c>
      <c r="K42" s="734">
        <f>SUM(H42:J42)</f>
        <v/>
      </c>
      <c r="L42" s="734" t="n">
        <v>2152.648612</v>
      </c>
      <c r="M42" s="734" t="n">
        <v>0</v>
      </c>
      <c r="N42" s="734" t="n">
        <v>1617.948754</v>
      </c>
      <c r="O42" s="734">
        <f>SUM(L42:N42)</f>
        <v/>
      </c>
      <c r="P42" s="734" t="n">
        <v>3023.349137</v>
      </c>
      <c r="Q42" s="734" t="n">
        <v>0</v>
      </c>
      <c r="R42" s="734" t="n">
        <v>2172.888255</v>
      </c>
      <c r="S42" s="734">
        <f>SUM(P42:R42)</f>
        <v/>
      </c>
      <c r="T42" s="734" t="n">
        <v>2530.119274</v>
      </c>
      <c r="U42" s="734" t="n">
        <v>2029.71366</v>
      </c>
      <c r="V42" s="734" t="n">
        <v>1772.582909</v>
      </c>
      <c r="W42" s="734">
        <f>SUM(T42:V42)</f>
        <v/>
      </c>
      <c r="X42" s="734" t="n">
        <v>567.268131</v>
      </c>
      <c r="Y42" s="734" t="n">
        <v>0</v>
      </c>
      <c r="Z42" s="734" t="n">
        <v>1666.262563</v>
      </c>
      <c r="AA42" s="734">
        <f>SUM(X42:Z42)</f>
        <v/>
      </c>
      <c r="AB42" s="734" t="n">
        <v>1550.383391</v>
      </c>
      <c r="AC42" s="734" t="n">
        <v>0</v>
      </c>
      <c r="AD42" s="734" t="n">
        <v>2273.498356</v>
      </c>
      <c r="AE42" s="734">
        <f>SUM(AB42:AD42)</f>
        <v/>
      </c>
      <c r="AF42" s="734" t="n">
        <v>1396.194268</v>
      </c>
      <c r="AG42" s="734" t="n">
        <v>0</v>
      </c>
      <c r="AH42" s="734" t="n">
        <v>1388.558583</v>
      </c>
      <c r="AI42" s="734">
        <f>SUM(AF42:AH42)</f>
        <v/>
      </c>
      <c r="AJ42" s="734" t="n">
        <v>7202.586607</v>
      </c>
      <c r="AK42" s="372">
        <f>SUM(K42+O42+S42+W42+AA42+AE42+AI42+AJ42)</f>
        <v/>
      </c>
      <c r="AL42" s="373">
        <f>IF(F42=0,"",K42/(F42/((YEAR(E42)*12+MONTH(E42))-(YEAR(D42)*12+MONTH(D42))+1)))</f>
        <v/>
      </c>
      <c r="AM42" s="373">
        <f>G42/F42</f>
        <v/>
      </c>
      <c r="AN42" s="736">
        <f>F42-G42</f>
        <v/>
      </c>
      <c r="AO42" s="733" t="n"/>
      <c r="AP42" s="733" t="n"/>
      <c r="AQ42" s="733" t="n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  <c r="BN42" s="706" t="inlineStr"/>
      <c r="BO42" s="706" t="inlineStr"/>
      <c r="BP42" s="706" t="inlineStr"/>
      <c r="BQ42" s="706" t="inlineStr"/>
    </row>
    <row r="43" outlineLevel="1" ht="14.25" customFormat="1" customHeight="1" s="483">
      <c r="A43" s="733" t="n"/>
      <c r="B43" s="734" t="inlineStr">
        <is>
          <t>理财师029</t>
        </is>
      </c>
      <c r="C43" s="734" t="inlineStr">
        <is>
          <t>私人财富管理专家PWA4-3</t>
        </is>
      </c>
      <c r="D43" s="735" t="n">
        <v>46150</v>
      </c>
      <c r="E43" s="735" t="n">
        <v>46333</v>
      </c>
      <c r="F43" s="734" t="n">
        <v>16404.52</v>
      </c>
      <c r="G43" s="734" t="n">
        <v>913.611119</v>
      </c>
      <c r="H43" s="734" t="n">
        <v>0</v>
      </c>
      <c r="I43" s="734" t="n">
        <v>0</v>
      </c>
      <c r="J43" s="734" t="n">
        <v>0</v>
      </c>
      <c r="K43" s="734">
        <f>SUM(H43:J43)</f>
        <v/>
      </c>
      <c r="L43" s="734" t="n">
        <v>82.18470000000001</v>
      </c>
      <c r="M43" s="734" t="n">
        <v>0</v>
      </c>
      <c r="N43" s="734" t="n">
        <v>63.309731</v>
      </c>
      <c r="O43" s="734">
        <f>SUM(L43:N43)</f>
        <v/>
      </c>
      <c r="P43" s="734" t="n">
        <v>644.8338</v>
      </c>
      <c r="Q43" s="734" t="n">
        <v>64.736256</v>
      </c>
      <c r="R43" s="734" t="n">
        <v>38.329254</v>
      </c>
      <c r="S43" s="734">
        <f>SUM(P43:R43)</f>
        <v/>
      </c>
      <c r="T43" s="734" t="n">
        <v>0</v>
      </c>
      <c r="U43" s="734" t="n">
        <v>0</v>
      </c>
      <c r="V43" s="734" t="n">
        <v>20.217377</v>
      </c>
      <c r="W43" s="734">
        <f>SUM(T43:V43)</f>
        <v/>
      </c>
      <c r="X43" s="734" t="n">
        <v>410.9235</v>
      </c>
      <c r="Y43" s="734" t="n">
        <v>0</v>
      </c>
      <c r="Z43" s="734" t="n">
        <v>4.340061</v>
      </c>
      <c r="AA43" s="734">
        <f>SUM(X43:Z43)</f>
        <v/>
      </c>
      <c r="AB43" s="734" t="n">
        <v>0</v>
      </c>
      <c r="AC43" s="734" t="n">
        <v>0</v>
      </c>
      <c r="AD43" s="734" t="n">
        <v>5.058234</v>
      </c>
      <c r="AE43" s="734">
        <f>SUM(AB43:AD43)</f>
        <v/>
      </c>
      <c r="AF43" s="734" t="n">
        <v>0</v>
      </c>
      <c r="AG43" s="734" t="n">
        <v>0</v>
      </c>
      <c r="AH43" s="734" t="n">
        <v>1.127915</v>
      </c>
      <c r="AI43" s="734">
        <f>SUM(AF43:AH43)</f>
        <v/>
      </c>
      <c r="AJ43" s="734" t="n">
        <v>0</v>
      </c>
      <c r="AK43" s="372">
        <f>SUM(K43+O43+S43+W43+AA43+AE43+AI43+AJ43)</f>
        <v/>
      </c>
      <c r="AL43" s="373">
        <f>IF(F43=0,"",K43/(F43/((YEAR(E43)*12+MONTH(E43))-(YEAR(D43)*12+MONTH(D43))+1)))</f>
        <v/>
      </c>
      <c r="AM43" s="373">
        <f>G43/F43</f>
        <v/>
      </c>
      <c r="AN43" s="736">
        <f>F43-G43</f>
        <v/>
      </c>
      <c r="AO43" s="733" t="n"/>
      <c r="AP43" s="733" t="n"/>
      <c r="AQ43" s="733" t="n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  <c r="BN43" s="706" t="inlineStr"/>
      <c r="BO43" s="706" t="inlineStr"/>
      <c r="BP43" s="706" t="inlineStr"/>
      <c r="BQ43" s="706" t="inlineStr"/>
    </row>
    <row r="44" outlineLevel="1" ht="14.25" customFormat="1" customHeight="1" s="483">
      <c r="A44" s="733" t="n"/>
      <c r="B44" s="734" t="inlineStr">
        <is>
          <t>理财师004</t>
        </is>
      </c>
      <c r="C44" s="734" t="inlineStr"/>
      <c r="D44" s="734" t="inlineStr"/>
      <c r="E44" s="734" t="inlineStr"/>
      <c r="F44" s="734" t="n">
        <v>0</v>
      </c>
      <c r="G44" s="734" t="n">
        <v>0</v>
      </c>
      <c r="H44" s="734" t="n">
        <v>0</v>
      </c>
      <c r="I44" s="734" t="n">
        <v>0</v>
      </c>
      <c r="J44" s="734" t="n">
        <v>0</v>
      </c>
      <c r="K44" s="734">
        <f>SUM(H44:J44)</f>
        <v/>
      </c>
      <c r="L44" s="734" t="n">
        <v>2341.58054</v>
      </c>
      <c r="M44" s="734" t="n">
        <v>0</v>
      </c>
      <c r="N44" s="734" t="n">
        <v>678.829965</v>
      </c>
      <c r="O44" s="734">
        <f>SUM(L44:N44)</f>
        <v/>
      </c>
      <c r="P44" s="734" t="n">
        <v>485.207489</v>
      </c>
      <c r="Q44" s="734" t="n">
        <v>0</v>
      </c>
      <c r="R44" s="734" t="n">
        <v>647.4247319999999</v>
      </c>
      <c r="S44" s="734">
        <f>SUM(P44:R44)</f>
        <v/>
      </c>
      <c r="T44" s="734" t="n">
        <v>2310.349392</v>
      </c>
      <c r="U44" s="734" t="n">
        <v>0</v>
      </c>
      <c r="V44" s="734" t="n">
        <v>578.575409</v>
      </c>
      <c r="W44" s="734">
        <f>SUM(T44:V44)</f>
        <v/>
      </c>
      <c r="X44" s="734" t="n">
        <v>753.431552</v>
      </c>
      <c r="Y44" s="734" t="n">
        <v>0</v>
      </c>
      <c r="Z44" s="734" t="n">
        <v>578.295302</v>
      </c>
      <c r="AA44" s="734">
        <f>SUM(X44:Z44)</f>
        <v/>
      </c>
      <c r="AB44" s="734" t="n">
        <v>1958.298381</v>
      </c>
      <c r="AC44" s="734" t="n">
        <v>0</v>
      </c>
      <c r="AD44" s="734" t="n">
        <v>652.1048489999999</v>
      </c>
      <c r="AE44" s="734">
        <f>SUM(AB44:AD44)</f>
        <v/>
      </c>
      <c r="AF44" s="734" t="n">
        <v>2837.047697</v>
      </c>
      <c r="AG44" s="734" t="n">
        <v>0</v>
      </c>
      <c r="AH44" s="734" t="n">
        <v>460.81999</v>
      </c>
      <c r="AI44" s="734">
        <f>SUM(AF44:AH44)</f>
        <v/>
      </c>
      <c r="AJ44" s="734" t="n">
        <v>2541.530781</v>
      </c>
      <c r="AK44" s="372">
        <f>SUM(K44+O44+S44+W44+AA44+AE44+AI44+AJ44)</f>
        <v/>
      </c>
      <c r="AL44" s="373">
        <f>IF(F44=0,"",K44/(F44/MAX(1,(YEAR(E44)*12+MONTH(E44))-(YEAR(D44)*12+MONTH(D44))+1)))</f>
        <v/>
      </c>
      <c r="AM44" s="373">
        <f>G44/F44</f>
        <v/>
      </c>
      <c r="AN44" s="736">
        <f>F44-G44</f>
        <v/>
      </c>
      <c r="AO44" s="733" t="n"/>
      <c r="AP44" s="733" t="n"/>
      <c r="AQ44" s="733" t="n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  <c r="BN44" s="706" t="inlineStr"/>
      <c r="BO44" s="706" t="inlineStr"/>
      <c r="BP44" s="706" t="inlineStr"/>
      <c r="BQ44" s="706" t="inlineStr"/>
    </row>
    <row r="45" outlineLevel="1" ht="14.25" customFormat="1" customHeight="1" s="483">
      <c r="A45" s="733" t="n"/>
      <c r="B45" s="734" t="inlineStr">
        <is>
          <t>理财师012</t>
        </is>
      </c>
      <c r="C45" s="734" t="inlineStr">
        <is>
          <t>首席私人财富管理专家PWA5-1</t>
        </is>
      </c>
      <c r="D45" s="735" t="n">
        <v>46204</v>
      </c>
      <c r="E45" s="735" t="n">
        <v>46387</v>
      </c>
      <c r="F45" s="734" t="n">
        <v>39973.5</v>
      </c>
      <c r="G45" s="734" t="n">
        <v>6749.710553</v>
      </c>
      <c r="H45" s="734" t="n">
        <v>285.803695</v>
      </c>
      <c r="I45" s="734" t="n">
        <v>0</v>
      </c>
      <c r="J45" s="734" t="n">
        <v>0</v>
      </c>
      <c r="K45" s="734">
        <f>SUM(H45:J45)</f>
        <v/>
      </c>
      <c r="L45" s="734" t="n">
        <v>5566.490327</v>
      </c>
      <c r="M45" s="734" t="n">
        <v>0</v>
      </c>
      <c r="N45" s="734" t="n">
        <v>897.416531</v>
      </c>
      <c r="O45" s="734">
        <f>SUM(L45:N45)</f>
        <v/>
      </c>
      <c r="P45" s="734" t="n">
        <v>5710.083829</v>
      </c>
      <c r="Q45" s="734" t="n">
        <v>0</v>
      </c>
      <c r="R45" s="734" t="n">
        <v>4494.277957</v>
      </c>
      <c r="S45" s="734">
        <f>SUM(P45:R45)</f>
        <v/>
      </c>
      <c r="T45" s="734" t="n">
        <v>5099.256359</v>
      </c>
      <c r="U45" s="734" t="n">
        <v>0</v>
      </c>
      <c r="V45" s="734" t="n">
        <v>2165.674642</v>
      </c>
      <c r="W45" s="734">
        <f>SUM(T45:V45)</f>
        <v/>
      </c>
      <c r="X45" s="734" t="n">
        <v>937.141286</v>
      </c>
      <c r="Y45" s="734" t="n">
        <v>0</v>
      </c>
      <c r="Z45" s="734" t="n">
        <v>1775.786688</v>
      </c>
      <c r="AA45" s="734">
        <f>SUM(X45:Z45)</f>
        <v/>
      </c>
      <c r="AB45" s="734" t="n">
        <v>3160.387028</v>
      </c>
      <c r="AC45" s="734" t="n">
        <v>0</v>
      </c>
      <c r="AD45" s="734" t="n">
        <v>3880.484178</v>
      </c>
      <c r="AE45" s="734">
        <f>SUM(AB45:AD45)</f>
        <v/>
      </c>
      <c r="AF45" s="734" t="n">
        <v>3065.24731</v>
      </c>
      <c r="AG45" s="734" t="n">
        <v>0</v>
      </c>
      <c r="AH45" s="734" t="n">
        <v>1466.609142</v>
      </c>
      <c r="AI45" s="734">
        <f>SUM(AF45:AH45)</f>
        <v/>
      </c>
      <c r="AJ45" s="734" t="n">
        <v>4881.758761</v>
      </c>
      <c r="AK45" s="372">
        <f>SUM(K45+O45+S45+W45+AA45+AE45+AI45+AJ45)</f>
        <v/>
      </c>
      <c r="AL45" s="373">
        <f>IF(F45=0,"",K45/(F45/((YEAR(E45)*12+MONTH(E45))-(YEAR(D45)*12+MONTH(D45))+1)))</f>
        <v/>
      </c>
      <c r="AM45" s="373">
        <f>G45/F45</f>
        <v/>
      </c>
      <c r="AN45" s="736">
        <f>F45-G45</f>
        <v/>
      </c>
      <c r="AO45" s="733" t="n"/>
      <c r="AP45" s="733" t="n"/>
      <c r="AQ45" s="733" t="n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  <c r="BN45" s="706" t="inlineStr"/>
      <c r="BO45" s="706" t="inlineStr"/>
      <c r="BP45" s="706" t="inlineStr"/>
      <c r="BQ45" s="706" t="inlineStr"/>
    </row>
    <row r="46" outlineLevel="1" ht="14.25" customFormat="1" customHeight="1" s="483">
      <c r="A46" s="737" t="n"/>
      <c r="B46" s="734" t="inlineStr">
        <is>
          <t>理财师031</t>
        </is>
      </c>
      <c r="C46" s="734" t="inlineStr">
        <is>
          <t>私人财富管理总监PWA3-1</t>
        </is>
      </c>
      <c r="D46" s="735" t="n">
        <v>46244</v>
      </c>
      <c r="E46" s="735" t="n">
        <v>46427</v>
      </c>
      <c r="F46" s="734" t="n">
        <v>14903.6</v>
      </c>
      <c r="G46" s="734" t="n">
        <v>0</v>
      </c>
      <c r="H46" s="734" t="n">
        <v>0</v>
      </c>
      <c r="I46" s="734" t="n">
        <v>0</v>
      </c>
      <c r="J46" s="734" t="n">
        <v>0</v>
      </c>
      <c r="K46" s="734">
        <f>SUM(H46:J46)</f>
        <v/>
      </c>
      <c r="L46" s="734" t="n">
        <v>86.0985</v>
      </c>
      <c r="M46" s="734" t="n">
        <v>0</v>
      </c>
      <c r="N46" s="734" t="n">
        <v>0</v>
      </c>
      <c r="O46" s="734">
        <f>SUM(L46:N46)</f>
        <v/>
      </c>
      <c r="P46" s="734" t="n">
        <v>213.405454</v>
      </c>
      <c r="Q46" s="734" t="n">
        <v>0</v>
      </c>
      <c r="R46" s="734" t="n">
        <v>9.135904</v>
      </c>
      <c r="S46" s="734">
        <f>SUM(P46:R46)</f>
        <v/>
      </c>
      <c r="T46" s="734" t="n">
        <v>1006.091686</v>
      </c>
      <c r="U46" s="734" t="n">
        <v>0</v>
      </c>
      <c r="V46" s="734" t="n">
        <v>0</v>
      </c>
      <c r="W46" s="734">
        <f>SUM(T46:V46)</f>
        <v/>
      </c>
      <c r="X46" s="734" t="n">
        <v>73.317948</v>
      </c>
      <c r="Y46" s="734" t="n">
        <v>0</v>
      </c>
      <c r="Z46" s="734" t="n">
        <v>0</v>
      </c>
      <c r="AA46" s="734">
        <f>SUM(X46:Z46)</f>
        <v/>
      </c>
      <c r="AB46" s="734" t="n">
        <v>0</v>
      </c>
      <c r="AC46" s="734" t="n">
        <v>0</v>
      </c>
      <c r="AD46" s="734" t="n">
        <v>0</v>
      </c>
      <c r="AE46" s="734">
        <f>SUM(AB46:AD46)</f>
        <v/>
      </c>
      <c r="AF46" s="734" t="n">
        <v>0</v>
      </c>
      <c r="AG46" s="734" t="n">
        <v>0</v>
      </c>
      <c r="AH46" s="734" t="n">
        <v>0</v>
      </c>
      <c r="AI46" s="734">
        <f>SUM(AF46:AH46)</f>
        <v/>
      </c>
      <c r="AJ46" s="734" t="n">
        <v>0</v>
      </c>
      <c r="AK46" s="734">
        <f>SUM(K46+O46+S46+W46+AA46+AE46+AI46+AJ46)</f>
        <v/>
      </c>
      <c r="AL46" s="373">
        <f>IF(F46=0,"",K46/(F46/((YEAR(E46)*12+MONTH(E46))-(YEAR(D46)*12+MONTH(D46))+1)))</f>
        <v/>
      </c>
      <c r="AM46" s="373">
        <f>G46/F46</f>
        <v/>
      </c>
      <c r="AN46" s="734">
        <f>F46-G46</f>
        <v/>
      </c>
      <c r="AO46" s="737" t="n"/>
      <c r="AP46" s="737" t="n"/>
      <c r="AQ46" s="737" t="n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  <c r="BN46" s="706" t="inlineStr"/>
      <c r="BO46" s="706" t="inlineStr"/>
      <c r="BP46" s="706" t="inlineStr"/>
      <c r="BQ46" s="706" t="inlineStr"/>
    </row>
    <row r="47" outlineLevel="1" ht="14.25" customFormat="1" customHeight="1" s="483">
      <c r="A47" s="738" t="inlineStr">
        <is>
          <t>合计</t>
        </is>
      </c>
      <c r="B47" s="739" t="n"/>
      <c r="C47" s="739" t="n"/>
      <c r="D47" s="739" t="n"/>
      <c r="E47" s="740" t="n"/>
      <c r="F47" s="379">
        <f>SUM(F41:F46)</f>
        <v/>
      </c>
      <c r="G47" s="738">
        <f>SUM(G41:G46)</f>
        <v/>
      </c>
      <c r="H47" s="738">
        <f>SUM(H41:H46)</f>
        <v/>
      </c>
      <c r="I47" s="738">
        <f>SUM(I41:I46)</f>
        <v/>
      </c>
      <c r="J47" s="738">
        <f>SUM(J41:J46)</f>
        <v/>
      </c>
      <c r="K47" s="738">
        <f>SUM(K41:K46)</f>
        <v/>
      </c>
      <c r="L47" s="738">
        <f>SUM(L41:L46)</f>
        <v/>
      </c>
      <c r="M47" s="738">
        <f>SUM(M41:M46)</f>
        <v/>
      </c>
      <c r="N47" s="738">
        <f>SUM(N41:N46)</f>
        <v/>
      </c>
      <c r="O47" s="738">
        <f>SUM(O41:O46)</f>
        <v/>
      </c>
      <c r="P47" s="738">
        <f>SUM(P41:P46)</f>
        <v/>
      </c>
      <c r="Q47" s="738">
        <f>SUM(Q41:Q46)</f>
        <v/>
      </c>
      <c r="R47" s="738">
        <f>SUM(R41:R46)</f>
        <v/>
      </c>
      <c r="S47" s="738">
        <f>SUM(S41:S46)</f>
        <v/>
      </c>
      <c r="T47" s="738">
        <f>SUM(T41:T46)</f>
        <v/>
      </c>
      <c r="U47" s="738">
        <f>SUM(U41:U46)</f>
        <v/>
      </c>
      <c r="V47" s="738">
        <f>SUM(V41:V46)</f>
        <v/>
      </c>
      <c r="W47" s="738">
        <f>SUM(W41:W46)</f>
        <v/>
      </c>
      <c r="X47" s="738">
        <f>SUM(X41:X46)</f>
        <v/>
      </c>
      <c r="Y47" s="738">
        <f>SUM(Y41:Y46)</f>
        <v/>
      </c>
      <c r="Z47" s="738">
        <f>SUM(Z41:Z46)</f>
        <v/>
      </c>
      <c r="AA47" s="738">
        <f>SUM(AA41:AA46)</f>
        <v/>
      </c>
      <c r="AB47" s="738">
        <f>SUM(AB41:AB46)</f>
        <v/>
      </c>
      <c r="AC47" s="738">
        <f>SUM(AC41:AC46)</f>
        <v/>
      </c>
      <c r="AD47" s="738">
        <f>SUM(AD41:AD46)</f>
        <v/>
      </c>
      <c r="AE47" s="738">
        <f>SUM(AE41:AE46)</f>
        <v/>
      </c>
      <c r="AF47" s="738">
        <f>SUM(AF41:AF46)</f>
        <v/>
      </c>
      <c r="AG47" s="738">
        <f>SUM(AG41:AG46)</f>
        <v/>
      </c>
      <c r="AH47" s="738">
        <f>SUM(AH41:AH46)</f>
        <v/>
      </c>
      <c r="AI47" s="738">
        <f>SUM(AI41:AI46)</f>
        <v/>
      </c>
      <c r="AJ47" s="738">
        <f>SUM(AJ41:AJ46)</f>
        <v/>
      </c>
      <c r="AK47" s="738">
        <f>SUM(K47+O47+S47+W47+AA47+AE47+AI47+AJ47)</f>
        <v/>
      </c>
      <c r="AL47" s="381">
        <f>IF(F47=0,"",K47/(F47/((YEAR(E41)*12+MONTH(E41))-(YEAR(D41)*12+MONTH(D41))+1)))</f>
        <v/>
      </c>
      <c r="AM47" s="382">
        <f>G47/F47</f>
        <v/>
      </c>
      <c r="AN47" s="738">
        <f>F47-G47</f>
        <v/>
      </c>
      <c r="AO47" s="383">
        <f>AO41</f>
        <v/>
      </c>
      <c r="AP47" s="381">
        <f>AK47/AO41</f>
        <v/>
      </c>
      <c r="AQ47" s="742">
        <f>AO41-AK47</f>
        <v/>
      </c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  <c r="BN47" s="713" t="inlineStr"/>
      <c r="BO47" s="713" t="inlineStr"/>
      <c r="BP47" s="713" t="inlineStr"/>
      <c r="BQ47" s="713" t="inlineStr"/>
    </row>
    <row r="48" ht="14.25" customFormat="1" customHeight="1" s="483">
      <c r="A48" s="747" t="inlineStr">
        <is>
          <t>合计</t>
        </is>
      </c>
      <c r="B48" s="748" t="n"/>
      <c r="C48" s="748" t="n"/>
      <c r="D48" s="748" t="n"/>
      <c r="E48" s="749" t="n"/>
      <c r="F48" s="750">
        <f>F9+F14+F19+F23+F27+F30+F33+F37+F40+F47</f>
        <v/>
      </c>
      <c r="G48" s="750">
        <f>G9+G14+G19+G23+G27+G30+G33+G37+G40+G47</f>
        <v/>
      </c>
      <c r="H48" s="751">
        <f>H9+H14+H19+H23+H27+H30+H33+H37+H40+H47</f>
        <v/>
      </c>
      <c r="I48" s="751">
        <f>I9+I14+I19+I23+I27+I30+I33+I37+I40+I47</f>
        <v/>
      </c>
      <c r="J48" s="751">
        <f>J9+J14+J19+J23+J27+J30+J33+J37+J40+J47</f>
        <v/>
      </c>
      <c r="K48" s="751">
        <f>K9+K14+K19+K23+K27+K30+K33+K37+K40+K47</f>
        <v/>
      </c>
      <c r="L48" s="751">
        <f>L9+L14+L19+L23+L27+L30+L33+L37+L40+L47</f>
        <v/>
      </c>
      <c r="M48" s="751">
        <f>M9+M14+M19+M23+M27+M30+M33+M37+M40+M47</f>
        <v/>
      </c>
      <c r="N48" s="751">
        <f>N9+N14+N19+N23+N27+N30+N33+N37+N40+N47</f>
        <v/>
      </c>
      <c r="O48" s="751">
        <f>O9+O14+O19+O23+O27+O30+O33+O37+O40+O47</f>
        <v/>
      </c>
      <c r="P48" s="750">
        <f>P9+P14+P19+P23+P27+P30+P33+P37+P40+P47</f>
        <v/>
      </c>
      <c r="Q48" s="750">
        <f>Q9+Q14+Q19+Q23+Q27+Q30+Q33+Q37+Q40+Q47</f>
        <v/>
      </c>
      <c r="R48" s="750">
        <f>R9+R14+R19+R23+R27+R30+R33+R37+R40+R47</f>
        <v/>
      </c>
      <c r="S48" s="750">
        <f>S9+S14+S19+S23+S27+S30+S33+S37+S40+S47</f>
        <v/>
      </c>
      <c r="T48" s="750">
        <f>T9+T14+T19+T23+T27+T30+T33+T37+T40+T47</f>
        <v/>
      </c>
      <c r="U48" s="750">
        <f>U9+U14+U19+U23+U27+U30+U33+U37+U40+U47</f>
        <v/>
      </c>
      <c r="V48" s="750">
        <f>V9+V14+V19+V23+V27+V30+V33+V37+V40+V47</f>
        <v/>
      </c>
      <c r="W48" s="750">
        <f>W9+W14+W19+W23+W27+W30+W33+W37+W40+W47</f>
        <v/>
      </c>
      <c r="X48" s="750">
        <f>X9+X14+X19+X23+X27+X30+X33+X37+X40+X47</f>
        <v/>
      </c>
      <c r="Y48" s="750">
        <f>Y9+Y14+Y19+Y23+Y27+Y30+Y33+Y37+Y40+Y47</f>
        <v/>
      </c>
      <c r="Z48" s="750">
        <f>Z9+Z14+Z19+Z23+Z27+Z30+Z33+Z37+Z40+Z47</f>
        <v/>
      </c>
      <c r="AA48" s="750">
        <f>AA9+AA14+AA19+AA23+AA27+AA30+AA33+AA37+AA40+AA47</f>
        <v/>
      </c>
      <c r="AB48" s="750">
        <f>AB9+AB14+AB19+AB23+AB27+AB30+AB33+AB37+AB40+AB47</f>
        <v/>
      </c>
      <c r="AC48" s="751">
        <f>AC9+AC14+AC19+AC23+AC27+AC30+AC33+AC37+AC40+AC47</f>
        <v/>
      </c>
      <c r="AD48" s="751">
        <f>AD9+AD14+AD19+AD23+AD27+AD30+AD33+AD37+AD40+AD47</f>
        <v/>
      </c>
      <c r="AE48" s="751">
        <f>AE9+AE14+AE19+AE23+AE27+AE30+AE33+AE37+AE40+AE47</f>
        <v/>
      </c>
      <c r="AF48" s="751">
        <f>AF9+AF14+AF19+AF23+AF27+AF30+AF33+AF37+AF40+AF47</f>
        <v/>
      </c>
      <c r="AG48" s="751">
        <f>AG9+AG14+AG19+AG23+AG27+AG30+AG33+AG37+AG40+AG47</f>
        <v/>
      </c>
      <c r="AH48" s="751">
        <f>AH9+AH14+AH19+AH23+AH27+AH30+AH33+AH37+AH40+AH47</f>
        <v/>
      </c>
      <c r="AI48" s="751">
        <f>AI9+AI14+AI19+AI23+AI27+AI30+AI33+AI37+AI40+AI47</f>
        <v/>
      </c>
      <c r="AJ48" s="751">
        <f>AJ9+AJ14+AJ19+AJ23+AJ27+AJ30+AJ33+AJ37+AJ40+AJ47</f>
        <v/>
      </c>
      <c r="AK48" s="394">
        <f>AK9+AK14+AK19+AK23+AK27+AK30+AK33+AK37+AK40+AK47</f>
        <v/>
      </c>
      <c r="AL48" s="395">
        <f>K48/(F48/((YEAR(E4)*12+MONTH(E4))-(YEAR(D4)*12+MONTH(D4))+1))</f>
        <v/>
      </c>
      <c r="AM48" s="395">
        <f>G48/F48</f>
        <v/>
      </c>
      <c r="AN48" s="752">
        <f>F48-G48</f>
        <v/>
      </c>
      <c r="AO48" s="397">
        <f>AO9+AO14+AO19+AO23+AO27+AO30+AO33+AO37+AO40+AO47</f>
        <v/>
      </c>
      <c r="AP48" s="398">
        <f>AK48/AO48</f>
        <v/>
      </c>
      <c r="AQ48" s="751">
        <f>AO48-AK48</f>
        <v/>
      </c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3" t="inlineStr"/>
      <c r="BN48" s="723" t="inlineStr"/>
      <c r="BO48" s="723" t="inlineStr"/>
      <c r="BP48" s="723" t="inlineStr"/>
      <c r="BQ48" s="727" t="inlineStr"/>
    </row>
    <row r="49" ht="14.25" customFormat="1" customHeight="1" s="483">
      <c r="AN49" s="633" t="inlineStr">
        <is>
          <t>公司目标</t>
        </is>
      </c>
      <c r="AO49" s="633" t="n">
        <v>938570.569899</v>
      </c>
      <c r="AP49" s="252">
        <f>IF(AO49&lt;&gt;0,AK48/AO49,"")</f>
        <v/>
      </c>
      <c r="AQ49" s="663">
        <f>AO49-AK48</f>
        <v/>
      </c>
    </row>
    <row r="50" ht="35.1" customFormat="1" customHeight="1" s="483"/>
    <row r="51" ht="24" customFormat="1" customHeight="1" s="483"/>
  </sheetData>
  <mergeCells count="95">
    <mergeCell ref="A48:E48"/>
    <mergeCell ref="A20:A22"/>
    <mergeCell ref="A4:A8"/>
    <mergeCell ref="U2:U3"/>
    <mergeCell ref="AO4:AO8"/>
    <mergeCell ref="AQ24:AQ26"/>
    <mergeCell ref="A37:E37"/>
    <mergeCell ref="A2:A3"/>
    <mergeCell ref="A24:A26"/>
    <mergeCell ref="C2:C3"/>
    <mergeCell ref="E2:E3"/>
    <mergeCell ref="W2:W3"/>
    <mergeCell ref="AO1:AP1"/>
    <mergeCell ref="A23:E23"/>
    <mergeCell ref="AA2:AA3"/>
    <mergeCell ref="AO10:AO13"/>
    <mergeCell ref="AC2:AC3"/>
    <mergeCell ref="AQ10:AQ13"/>
    <mergeCell ref="A10:A13"/>
    <mergeCell ref="AM2:AM3"/>
    <mergeCell ref="AO2:AO3"/>
    <mergeCell ref="AO41:AO46"/>
    <mergeCell ref="V2:V3"/>
    <mergeCell ref="X2:X3"/>
    <mergeCell ref="AO20:AO22"/>
    <mergeCell ref="AO34:AO36"/>
    <mergeCell ref="AQ34:AQ36"/>
    <mergeCell ref="AQ4:AQ8"/>
    <mergeCell ref="N2:N3"/>
    <mergeCell ref="F2:F3"/>
    <mergeCell ref="P2:P3"/>
    <mergeCell ref="H2:H3"/>
    <mergeCell ref="AO28:AO29"/>
    <mergeCell ref="AP10:AP13"/>
    <mergeCell ref="AF2:AF3"/>
    <mergeCell ref="AO15:AO18"/>
    <mergeCell ref="K2:K3"/>
    <mergeCell ref="AH2:AH3"/>
    <mergeCell ref="AO38:AO39"/>
    <mergeCell ref="AQ38:AQ39"/>
    <mergeCell ref="O2:O3"/>
    <mergeCell ref="Q2:Q3"/>
    <mergeCell ref="A14:E14"/>
    <mergeCell ref="AI2:AI3"/>
    <mergeCell ref="AK2:AK3"/>
    <mergeCell ref="AO31:AO32"/>
    <mergeCell ref="AP20:AP22"/>
    <mergeCell ref="AQ15:AQ18"/>
    <mergeCell ref="AQ31:AQ32"/>
    <mergeCell ref="AO24:AO26"/>
    <mergeCell ref="A40:E40"/>
    <mergeCell ref="S2:S3"/>
    <mergeCell ref="B2:B3"/>
    <mergeCell ref="D2:D3"/>
    <mergeCell ref="A41:A46"/>
    <mergeCell ref="A34:A36"/>
    <mergeCell ref="Z2:Z3"/>
    <mergeCell ref="AQ41:AQ46"/>
    <mergeCell ref="AB2:AB3"/>
    <mergeCell ref="T2:T3"/>
    <mergeCell ref="AD2:AD3"/>
    <mergeCell ref="AN2:AN3"/>
    <mergeCell ref="AP2:AP3"/>
    <mergeCell ref="AP4:AP8"/>
    <mergeCell ref="A47:E47"/>
    <mergeCell ref="A9:E9"/>
    <mergeCell ref="A38:A39"/>
    <mergeCell ref="AP41:AP46"/>
    <mergeCell ref="AP34:AP36"/>
    <mergeCell ref="A15:A18"/>
    <mergeCell ref="A31:A32"/>
    <mergeCell ref="G2:G3"/>
    <mergeCell ref="I2:I3"/>
    <mergeCell ref="AP28:AP29"/>
    <mergeCell ref="A30:E30"/>
    <mergeCell ref="M2:M3"/>
    <mergeCell ref="AE2:AE3"/>
    <mergeCell ref="AG2:AG3"/>
    <mergeCell ref="Y2:Y3"/>
    <mergeCell ref="AQ2:AQ3"/>
    <mergeCell ref="AP38:AP39"/>
    <mergeCell ref="A27:E27"/>
    <mergeCell ref="AP15:AP18"/>
    <mergeCell ref="AP31:AP32"/>
    <mergeCell ref="AQ20:AQ22"/>
    <mergeCell ref="A33:E33"/>
    <mergeCell ref="AP24:AP26"/>
    <mergeCell ref="R2:R3"/>
    <mergeCell ref="J2:J3"/>
    <mergeCell ref="AQ28:AQ29"/>
    <mergeCell ref="L2:L3"/>
    <mergeCell ref="A28:A29"/>
    <mergeCell ref="A19:E19"/>
    <mergeCell ref="AJ2:AJ3"/>
    <mergeCell ref="AL2:AL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Q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2"/>
    <col hidden="1" width="13" customWidth="1" style="533" min="13" max="13"/>
    <col hidden="1" width="13" customWidth="1" style="533" min="14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5"/>
    <col hidden="1" width="13" customWidth="1" style="483" min="26" max="26"/>
    <col width="13.9286" customWidth="1" style="533" min="27" max="27"/>
    <col hidden="1" width="12.7857" customWidth="1" style="483" min="28" max="28"/>
    <col hidden="1" width="13" customWidth="1" style="483" min="29" max="29"/>
    <col hidden="1" width="13" customWidth="1" style="483" min="30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6"/>
    <col width="13.2143" customWidth="1" style="533" min="37" max="37"/>
    <col width="6.57143" customWidth="1" style="533" min="38" max="38"/>
    <col width="18.5714" customWidth="1" style="533" min="39" max="39"/>
    <col width="10.6429" customWidth="1" style="533" min="40" max="40"/>
    <col width="17.3571" customWidth="1" style="533" min="41" max="41"/>
    <col width="11.4286" customWidth="1" style="533" min="42" max="42"/>
    <col width="13.9286" customWidth="1" style="533" min="43" max="43"/>
    <col width="9" customWidth="1" style="533" min="44" max="45"/>
    <col width="12.3571" customWidth="1" style="533" min="46" max="46"/>
    <col width="9" customWidth="1" style="533" min="47" max="69"/>
  </cols>
  <sheetData>
    <row r="1" ht="20.25" customFormat="1" customHeight="1" s="483">
      <c r="A1" s="754" t="inlineStr">
        <is>
          <t>私人财富管理部折标销售进度表-截止20260821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649" t="inlineStr"/>
      <c r="AL1" s="649" t="inlineStr"/>
      <c r="AM1" s="649" t="inlineStr"/>
      <c r="AN1" s="649" t="inlineStr"/>
      <c r="AO1" s="552" t="inlineStr">
        <is>
          <t>上半年时间进度</t>
        </is>
      </c>
      <c r="AQ1" s="70">
        <f>AV7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传统202608</t>
        </is>
      </c>
      <c r="I2" s="541" t="inlineStr">
        <is>
          <t>保险202608</t>
        </is>
      </c>
      <c r="J2" s="541" t="inlineStr">
        <is>
          <t>管理费202608</t>
        </is>
      </c>
      <c r="K2" s="669" t="inlineStr">
        <is>
          <t>2026年
8月折标</t>
        </is>
      </c>
      <c r="L2" s="541" t="inlineStr">
        <is>
          <t>传统202607</t>
        </is>
      </c>
      <c r="M2" s="541" t="inlineStr">
        <is>
          <t>保险202607</t>
        </is>
      </c>
      <c r="N2" s="541" t="inlineStr">
        <is>
          <t>管理费202607</t>
        </is>
      </c>
      <c r="O2" s="669" t="inlineStr">
        <is>
          <t>2026年
7月折标</t>
        </is>
      </c>
      <c r="P2" s="541" t="inlineStr">
        <is>
          <t>传统202606</t>
        </is>
      </c>
      <c r="Q2" s="541" t="inlineStr">
        <is>
          <t>保险202606</t>
        </is>
      </c>
      <c r="R2" s="541" t="inlineStr">
        <is>
          <t>管理费202606</t>
        </is>
      </c>
      <c r="S2" s="669" t="inlineStr">
        <is>
          <t>2026年
6月折标</t>
        </is>
      </c>
      <c r="T2" s="541" t="inlineStr">
        <is>
          <t>传统202605</t>
        </is>
      </c>
      <c r="U2" s="541" t="inlineStr">
        <is>
          <t>保险202605</t>
        </is>
      </c>
      <c r="V2" s="541" t="inlineStr">
        <is>
          <t>管理费202605</t>
        </is>
      </c>
      <c r="W2" s="669" t="inlineStr">
        <is>
          <t>2026年
5月折标</t>
        </is>
      </c>
      <c r="X2" s="541" t="inlineStr">
        <is>
          <t>传统202604</t>
        </is>
      </c>
      <c r="Y2" s="541" t="inlineStr">
        <is>
          <t>保险202604</t>
        </is>
      </c>
      <c r="Z2" s="541" t="inlineStr">
        <is>
          <t>管理费202604</t>
        </is>
      </c>
      <c r="AA2" s="669" t="inlineStr">
        <is>
          <t>2026年
4月折标</t>
        </is>
      </c>
      <c r="AB2" s="541" t="inlineStr">
        <is>
          <t>传统202603</t>
        </is>
      </c>
      <c r="AC2" s="541" t="inlineStr">
        <is>
          <t>保险202603</t>
        </is>
      </c>
      <c r="AD2" s="541" t="inlineStr">
        <is>
          <t>管理费202603</t>
        </is>
      </c>
      <c r="AE2" s="669" t="inlineStr">
        <is>
          <t>2026年
3月折标</t>
        </is>
      </c>
      <c r="AF2" s="541" t="inlineStr">
        <is>
          <t>传统202602</t>
        </is>
      </c>
      <c r="AG2" s="541" t="inlineStr">
        <is>
          <t>保险202602</t>
        </is>
      </c>
      <c r="AH2" s="541" t="inlineStr">
        <is>
          <t>管理费202602</t>
        </is>
      </c>
      <c r="AI2" s="669" t="inlineStr">
        <is>
          <t>2026年
2月折标</t>
        </is>
      </c>
      <c r="AJ2" s="669" t="inlineStr">
        <is>
          <t>2026年
1月折标</t>
        </is>
      </c>
      <c r="AK2" s="670" t="inlineStr">
        <is>
          <t>2026年YTD折标</t>
        </is>
      </c>
      <c r="AL2" s="671" t="inlineStr">
        <is>
          <t>月度
完成率</t>
        </is>
      </c>
      <c r="AM2" s="666" t="inlineStr">
        <is>
          <t>考核期完成率（累计）</t>
        </is>
      </c>
      <c r="AN2" s="560" t="inlineStr">
        <is>
          <t>考核期差距</t>
        </is>
      </c>
      <c r="AO2" s="561" t="inlineStr">
        <is>
          <t>财富中心
上半年年任务</t>
        </is>
      </c>
      <c r="AP2" s="79" t="inlineStr">
        <is>
          <t>财富中心
上半年任务完成率</t>
        </is>
      </c>
      <c r="AQ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</row>
    <row r="4" outlineLevel="1" ht="14.25" customFormat="1" customHeight="1" s="483">
      <c r="A4" s="729" t="inlineStr">
        <is>
          <t>理财师018</t>
        </is>
      </c>
      <c r="B4" s="729" t="inlineStr">
        <is>
          <t>理财师021</t>
        </is>
      </c>
      <c r="C4" s="729" t="inlineStr">
        <is>
          <t>私人财富管理总监PWA3-4</t>
        </is>
      </c>
      <c r="D4" s="730" t="n">
        <v>46204</v>
      </c>
      <c r="E4" s="730" t="n">
        <v>46387</v>
      </c>
      <c r="F4" s="729" t="n">
        <v>14498.13</v>
      </c>
      <c r="G4" s="729" t="n">
        <v>2700.412368</v>
      </c>
      <c r="H4" s="729" t="n">
        <v>84.3921</v>
      </c>
      <c r="I4" s="729" t="n">
        <v>0</v>
      </c>
      <c r="J4" s="729" t="n">
        <v>0</v>
      </c>
      <c r="K4" s="729">
        <f>SUM(H4:J4)</f>
        <v/>
      </c>
      <c r="L4" s="729" t="n">
        <v>1874.489194</v>
      </c>
      <c r="M4" s="729" t="n">
        <v>0</v>
      </c>
      <c r="N4" s="729" t="n">
        <v>741.531073</v>
      </c>
      <c r="O4" s="729">
        <f>SUM(L4:N4)</f>
        <v/>
      </c>
      <c r="P4" s="729" t="n">
        <v>927.52544</v>
      </c>
      <c r="Q4" s="729" t="n">
        <v>0</v>
      </c>
      <c r="R4" s="729" t="n">
        <v>1433.561147</v>
      </c>
      <c r="S4" s="729">
        <f>SUM(P4:R4)</f>
        <v/>
      </c>
      <c r="T4" s="729" t="n">
        <v>1183.338361</v>
      </c>
      <c r="U4" s="729" t="n">
        <v>0</v>
      </c>
      <c r="V4" s="729" t="n">
        <v>634.456086</v>
      </c>
      <c r="W4" s="729">
        <f>SUM(T4:V4)</f>
        <v/>
      </c>
      <c r="X4" s="729" t="n">
        <v>3203.368286</v>
      </c>
      <c r="Y4" s="729" t="n">
        <v>0</v>
      </c>
      <c r="Z4" s="729" t="n">
        <v>538.668767</v>
      </c>
      <c r="AA4" s="729">
        <f>SUM(X4:Z4)</f>
        <v/>
      </c>
      <c r="AB4" s="729" t="n">
        <v>8704.796721000001</v>
      </c>
      <c r="AC4" s="729" t="n">
        <v>0</v>
      </c>
      <c r="AD4" s="729" t="n">
        <v>1253.999839</v>
      </c>
      <c r="AE4" s="729">
        <f>SUM(AB4:AD4)</f>
        <v/>
      </c>
      <c r="AF4" s="729" t="n">
        <v>1402.304143</v>
      </c>
      <c r="AG4" s="729" t="n">
        <v>742.65048</v>
      </c>
      <c r="AH4" s="729" t="n">
        <v>433.535601</v>
      </c>
      <c r="AI4" s="729">
        <f>SUM(AF4:AH4)</f>
        <v/>
      </c>
      <c r="AJ4" s="729" t="n">
        <v>3464.9959</v>
      </c>
      <c r="AK4" s="363">
        <f>SUM(K4+O4+S4+W4+AA4+AE4+AI4+AJ4)</f>
        <v/>
      </c>
      <c r="AL4" s="364">
        <f>IF(F4=0,"",K4/(F4/((YEAR(E4)*12+MONTH(E4))-(YEAR(D4)*12+MONTH(D4))+1)))</f>
        <v/>
      </c>
      <c r="AM4" s="364">
        <f>G4/F4</f>
        <v/>
      </c>
      <c r="AN4" s="731">
        <f>F4-G4</f>
        <v/>
      </c>
      <c r="AO4" s="366">
        <f>SUM(F4:F8)</f>
        <v/>
      </c>
      <c r="AP4" s="367">
        <f>AP9</f>
        <v/>
      </c>
      <c r="AQ4" s="732">
        <f>AQ9</f>
        <v/>
      </c>
      <c r="AR4" s="706" t="inlineStr"/>
      <c r="AS4" s="706" t="inlineStr"/>
      <c r="AT4" s="706" t="inlineStr">
        <is>
          <t>开始日期</t>
        </is>
      </c>
      <c r="AU4" s="706" t="inlineStr">
        <is>
          <t>结束日期</t>
        </is>
      </c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  <c r="BN4" s="706" t="inlineStr"/>
      <c r="BO4" s="706" t="inlineStr"/>
      <c r="BP4" s="706" t="inlineStr"/>
      <c r="BQ4" s="706" t="inlineStr"/>
    </row>
    <row r="5" outlineLevel="1" ht="14.25" customFormat="1" customHeight="1" s="483">
      <c r="A5" s="733" t="n"/>
      <c r="B5" s="734" t="inlineStr">
        <is>
          <t>理财师017</t>
        </is>
      </c>
      <c r="C5" s="734" t="inlineStr">
        <is>
          <t>私人财富管理资深顾问PWA2-5</t>
        </is>
      </c>
      <c r="D5" s="735" t="n">
        <v>46204</v>
      </c>
      <c r="E5" s="735" t="n">
        <v>46387</v>
      </c>
      <c r="F5" s="734" t="n">
        <v>16727.04</v>
      </c>
      <c r="G5" s="734" t="n">
        <v>855.897341</v>
      </c>
      <c r="H5" s="734" t="n">
        <v>39.53664</v>
      </c>
      <c r="I5" s="734" t="n">
        <v>0</v>
      </c>
      <c r="J5" s="734" t="n">
        <v>0</v>
      </c>
      <c r="K5" s="734">
        <f>SUM(H5:J5)</f>
        <v/>
      </c>
      <c r="L5" s="734" t="n">
        <v>547.582464</v>
      </c>
      <c r="M5" s="734" t="n">
        <v>0</v>
      </c>
      <c r="N5" s="734" t="n">
        <v>268.778237</v>
      </c>
      <c r="O5" s="734">
        <f>SUM(L5:N5)</f>
        <v/>
      </c>
      <c r="P5" s="734" t="n">
        <v>832.638851</v>
      </c>
      <c r="Q5" s="734" t="n">
        <v>3261.7728</v>
      </c>
      <c r="R5" s="734" t="n">
        <v>555.368737</v>
      </c>
      <c r="S5" s="734">
        <f>SUM(P5:R5)</f>
        <v/>
      </c>
      <c r="T5" s="734" t="n">
        <v>593.9975920000001</v>
      </c>
      <c r="U5" s="734" t="n">
        <v>0</v>
      </c>
      <c r="V5" s="734" t="n">
        <v>382.045052</v>
      </c>
      <c r="W5" s="734">
        <f>SUM(T5:V5)</f>
        <v/>
      </c>
      <c r="X5" s="734" t="n">
        <v>249.800095</v>
      </c>
      <c r="Y5" s="734" t="n">
        <v>5040.9216</v>
      </c>
      <c r="Z5" s="734" t="n">
        <v>342.801462</v>
      </c>
      <c r="AA5" s="734">
        <f>SUM(X5:Z5)</f>
        <v/>
      </c>
      <c r="AB5" s="734" t="n">
        <v>1613.445926</v>
      </c>
      <c r="AC5" s="734" t="n">
        <v>0</v>
      </c>
      <c r="AD5" s="734" t="n">
        <v>488.407071</v>
      </c>
      <c r="AE5" s="734">
        <f>SUM(AB5:AD5)</f>
        <v/>
      </c>
      <c r="AF5" s="734" t="n">
        <v>454.800547</v>
      </c>
      <c r="AG5" s="734" t="n">
        <v>0</v>
      </c>
      <c r="AH5" s="734" t="n">
        <v>289.117436</v>
      </c>
      <c r="AI5" s="734">
        <f>SUM(AF5:AH5)</f>
        <v/>
      </c>
      <c r="AJ5" s="734" t="n">
        <v>3311.566531</v>
      </c>
      <c r="AK5" s="372">
        <f>SUM(K5+O5+S5+W5+AA5+AE5+AI5+AJ5)</f>
        <v/>
      </c>
      <c r="AL5" s="373">
        <f>IF(F5=0,"",K5/(F5/((YEAR(E5)*12+MONTH(E5))-(YEAR(D5)*12+MONTH(D5))+1)))</f>
        <v/>
      </c>
      <c r="AM5" s="373">
        <f>G5/F5</f>
        <v/>
      </c>
      <c r="AN5" s="736">
        <f>F5-G5</f>
        <v/>
      </c>
      <c r="AO5" s="733" t="n"/>
      <c r="AP5" s="733" t="n"/>
      <c r="AQ5" s="733" t="n"/>
      <c r="AR5" s="706" t="inlineStr"/>
      <c r="AS5" s="706" t="inlineStr"/>
      <c r="AT5" s="328" t="n">
        <v>46023</v>
      </c>
      <c r="AU5" s="328" t="n">
        <v>46203</v>
      </c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  <c r="BN5" s="706" t="inlineStr"/>
      <c r="BO5" s="706" t="inlineStr"/>
      <c r="BP5" s="706" t="inlineStr"/>
      <c r="BQ5" s="706" t="inlineStr"/>
    </row>
    <row r="6" outlineLevel="1" ht="14.25" customFormat="1" customHeight="1" s="483">
      <c r="A6" s="733" t="n"/>
      <c r="B6" s="734" t="inlineStr">
        <is>
          <t>理财师018</t>
        </is>
      </c>
      <c r="C6" s="734" t="inlineStr">
        <is>
          <t>首席私人财富管理专家PWA5-1</t>
        </is>
      </c>
      <c r="D6" s="735" t="n">
        <v>46174</v>
      </c>
      <c r="E6" s="735" t="n">
        <v>46387</v>
      </c>
      <c r="F6" s="734" t="n">
        <v>54670.7161</v>
      </c>
      <c r="G6" s="734" t="n">
        <v>49177.822557</v>
      </c>
      <c r="H6" s="734" t="n">
        <v>1506.48434</v>
      </c>
      <c r="I6" s="734" t="n">
        <v>0</v>
      </c>
      <c r="J6" s="734" t="n">
        <v>0</v>
      </c>
      <c r="K6" s="734">
        <f>SUM(H6:J6)</f>
        <v/>
      </c>
      <c r="L6" s="734" t="n">
        <v>11371.418899</v>
      </c>
      <c r="M6" s="734" t="n">
        <v>28777.196448</v>
      </c>
      <c r="N6" s="734" t="n">
        <v>2367.643353</v>
      </c>
      <c r="O6" s="734">
        <f>SUM(L6:N6)</f>
        <v/>
      </c>
      <c r="P6" s="734" t="n">
        <v>1893.590051</v>
      </c>
      <c r="Q6" s="734" t="n">
        <v>0</v>
      </c>
      <c r="R6" s="734" t="n">
        <v>3261.489465</v>
      </c>
      <c r="S6" s="734">
        <f>SUM(P6:R6)</f>
        <v/>
      </c>
      <c r="T6" s="734" t="n">
        <v>15009.556327</v>
      </c>
      <c r="U6" s="734" t="n">
        <v>0</v>
      </c>
      <c r="V6" s="734" t="n">
        <v>1609.578423</v>
      </c>
      <c r="W6" s="734">
        <f>SUM(T6:V6)</f>
        <v/>
      </c>
      <c r="X6" s="734" t="n">
        <v>3788.477067</v>
      </c>
      <c r="Y6" s="734" t="n">
        <v>0</v>
      </c>
      <c r="Z6" s="734" t="n">
        <v>1122.243766</v>
      </c>
      <c r="AA6" s="734">
        <f>SUM(X6:Z6)</f>
        <v/>
      </c>
      <c r="AB6" s="734" t="n">
        <v>1444.66245</v>
      </c>
      <c r="AC6" s="734" t="n">
        <v>0</v>
      </c>
      <c r="AD6" s="734" t="n">
        <v>1063.763858</v>
      </c>
      <c r="AE6" s="734">
        <f>SUM(AB6:AD6)</f>
        <v/>
      </c>
      <c r="AF6" s="734" t="n">
        <v>9688.821542</v>
      </c>
      <c r="AG6" s="734" t="n">
        <v>0</v>
      </c>
      <c r="AH6" s="734" t="n">
        <v>606.6776630000001</v>
      </c>
      <c r="AI6" s="734">
        <f>SUM(AF6:AH6)</f>
        <v/>
      </c>
      <c r="AJ6" s="734" t="n">
        <v>13116.995922</v>
      </c>
      <c r="AK6" s="372">
        <f>SUM(K6+O6+S6+W6+AA6+AE6+AI6+AJ6)</f>
        <v/>
      </c>
      <c r="AL6" s="373">
        <f>IF(F6=0,"",K6/(F6/((YEAR(E6)*12+MONTH(E6))-(YEAR(D6)*12+MONTH(D6))+1)))</f>
        <v/>
      </c>
      <c r="AM6" s="373">
        <f>G6/F6</f>
        <v/>
      </c>
      <c r="AN6" s="736">
        <f>F6-G6</f>
        <v/>
      </c>
      <c r="AO6" s="733" t="n"/>
      <c r="AP6" s="733" t="n"/>
      <c r="AQ6" s="733" t="n"/>
      <c r="AR6" s="706" t="inlineStr"/>
      <c r="AS6" s="706" t="inlineStr"/>
      <c r="AT6" s="706" t="inlineStr">
        <is>
          <t>计算日期</t>
        </is>
      </c>
      <c r="AU6" s="706">
        <f>W5-V5</f>
        <v/>
      </c>
      <c r="AV6" s="706" t="inlineStr">
        <is>
          <t>时间进度</t>
        </is>
      </c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  <c r="BN6" s="706" t="inlineStr"/>
      <c r="BO6" s="706" t="inlineStr"/>
      <c r="BP6" s="706" t="inlineStr"/>
      <c r="BQ6" s="706" t="inlineStr"/>
    </row>
    <row r="7" outlineLevel="1" ht="14.25" customFormat="1" customHeight="1" s="483">
      <c r="A7" s="733" t="n"/>
      <c r="B7" s="734" t="inlineStr">
        <is>
          <t>理财师019</t>
        </is>
      </c>
      <c r="C7" s="734" t="inlineStr">
        <is>
          <t>观察期PWA0-1</t>
        </is>
      </c>
      <c r="D7" s="735" t="n">
        <v>46204</v>
      </c>
      <c r="E7" s="735" t="n">
        <v>46387</v>
      </c>
      <c r="F7" s="734" t="n">
        <v>3595.62</v>
      </c>
      <c r="G7" s="734" t="n">
        <v>785.714744</v>
      </c>
      <c r="H7" s="734" t="n">
        <v>0</v>
      </c>
      <c r="I7" s="734" t="n">
        <v>567.5943</v>
      </c>
      <c r="J7" s="734" t="n">
        <v>0</v>
      </c>
      <c r="K7" s="734">
        <f>SUM(H7:J7)</f>
        <v/>
      </c>
      <c r="L7" s="734" t="n">
        <v>191.980425</v>
      </c>
      <c r="M7" s="734" t="n">
        <v>0</v>
      </c>
      <c r="N7" s="734" t="n">
        <v>26.140019</v>
      </c>
      <c r="O7" s="734">
        <f>SUM(L7:N7)</f>
        <v/>
      </c>
      <c r="P7" s="734" t="n">
        <v>125.538504</v>
      </c>
      <c r="Q7" s="734" t="n">
        <v>0</v>
      </c>
      <c r="R7" s="734" t="n">
        <v>202.092562</v>
      </c>
      <c r="S7" s="734">
        <f>SUM(P7:R7)</f>
        <v/>
      </c>
      <c r="T7" s="734" t="n">
        <v>66.7758</v>
      </c>
      <c r="U7" s="734" t="n">
        <v>0</v>
      </c>
      <c r="V7" s="734" t="n">
        <v>22.323011</v>
      </c>
      <c r="W7" s="734">
        <f>SUM(T7:V7)</f>
        <v/>
      </c>
      <c r="X7" s="734" t="n">
        <v>133.5516</v>
      </c>
      <c r="Y7" s="734" t="n">
        <v>0</v>
      </c>
      <c r="Z7" s="734" t="n">
        <v>22.107856</v>
      </c>
      <c r="AA7" s="734">
        <f>SUM(X7:Z7)</f>
        <v/>
      </c>
      <c r="AB7" s="734" t="n">
        <v>500.150742</v>
      </c>
      <c r="AC7" s="734" t="n">
        <v>0</v>
      </c>
      <c r="AD7" s="734" t="n">
        <v>157.397938</v>
      </c>
      <c r="AE7" s="734">
        <f>SUM(AB7:AD7)</f>
        <v/>
      </c>
      <c r="AF7" s="734" t="n">
        <v>267.1032</v>
      </c>
      <c r="AG7" s="734" t="n">
        <v>0</v>
      </c>
      <c r="AH7" s="734" t="n">
        <v>25.494675</v>
      </c>
      <c r="AI7" s="734">
        <f>SUM(AF7:AH7)</f>
        <v/>
      </c>
      <c r="AJ7" s="734" t="n">
        <v>2351.885696</v>
      </c>
      <c r="AK7" s="372">
        <f>SUM(K7+O7+S7+W7+AA7+AE7+AI7+AJ7)</f>
        <v/>
      </c>
      <c r="AL7" s="373">
        <f>IF(F7=0,"",K7/(F7/((YEAR(E7)*12+MONTH(E7))-(YEAR(D7)*12+MONTH(D7))+1)))</f>
        <v/>
      </c>
      <c r="AM7" s="373">
        <f>G7/F7</f>
        <v/>
      </c>
      <c r="AN7" s="736">
        <f>F7-G7</f>
        <v/>
      </c>
      <c r="AO7" s="733" t="n"/>
      <c r="AP7" s="733" t="n"/>
      <c r="AQ7" s="733" t="n"/>
      <c r="AR7" s="706" t="inlineStr"/>
      <c r="AS7" s="706" t="inlineStr"/>
      <c r="AT7" s="709" t="n">
        <v>46255</v>
      </c>
      <c r="AU7" s="330">
        <f>AU5-AT5+1</f>
        <v/>
      </c>
      <c r="AV7" s="331">
        <f>(AT7-AT5+1)/AU7</f>
        <v/>
      </c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  <c r="BN7" s="706" t="inlineStr"/>
      <c r="BO7" s="706" t="inlineStr"/>
      <c r="BP7" s="706" t="inlineStr"/>
      <c r="BQ7" s="706" t="inlineStr"/>
    </row>
    <row r="8" outlineLevel="1" ht="14.25" customFormat="1" customHeight="1" s="483">
      <c r="A8" s="737" t="n"/>
      <c r="B8" s="734" t="inlineStr">
        <is>
          <t>理财师025</t>
        </is>
      </c>
      <c r="C8" s="734" t="inlineStr">
        <is>
          <t>私人财富管理专家PWA4-5</t>
        </is>
      </c>
      <c r="D8" s="735" t="n">
        <v>46097</v>
      </c>
      <c r="E8" s="735" t="n">
        <v>46295</v>
      </c>
      <c r="F8" s="734" t="n">
        <v>34622.728767</v>
      </c>
      <c r="G8" s="734" t="n">
        <v>8011.777807</v>
      </c>
      <c r="H8" s="734" t="n">
        <v>0</v>
      </c>
      <c r="I8" s="734" t="n">
        <v>0</v>
      </c>
      <c r="J8" s="734" t="n">
        <v>0</v>
      </c>
      <c r="K8" s="734">
        <f>SUM(H8:J8)</f>
        <v/>
      </c>
      <c r="L8" s="734" t="n">
        <v>257.985</v>
      </c>
      <c r="M8" s="734" t="n">
        <v>7079.164538</v>
      </c>
      <c r="N8" s="734" t="n">
        <v>74.758757</v>
      </c>
      <c r="O8" s="734">
        <f>SUM(L8:N8)</f>
        <v/>
      </c>
      <c r="P8" s="734" t="n">
        <v>95.21789800000001</v>
      </c>
      <c r="Q8" s="734" t="n">
        <v>264.17664</v>
      </c>
      <c r="R8" s="734" t="n">
        <v>67.830038</v>
      </c>
      <c r="S8" s="734">
        <f>SUM(P8:R8)</f>
        <v/>
      </c>
      <c r="T8" s="734" t="n">
        <v>130.02444</v>
      </c>
      <c r="U8" s="734" t="n">
        <v>0</v>
      </c>
      <c r="V8" s="734" t="n">
        <v>16.066547</v>
      </c>
      <c r="W8" s="734">
        <f>SUM(T8:V8)</f>
        <v/>
      </c>
      <c r="X8" s="734" t="n">
        <v>0</v>
      </c>
      <c r="Y8" s="734" t="n">
        <v>0</v>
      </c>
      <c r="Z8" s="734" t="n">
        <v>12.779778</v>
      </c>
      <c r="AA8" s="734">
        <f>SUM(X8:Z8)</f>
        <v/>
      </c>
      <c r="AB8" s="734" t="n">
        <v>0</v>
      </c>
      <c r="AC8" s="734" t="n">
        <v>25509.5568</v>
      </c>
      <c r="AD8" s="734" t="n">
        <v>13.774172</v>
      </c>
      <c r="AE8" s="734">
        <f>SUM(AB8:AD8)</f>
        <v/>
      </c>
      <c r="AF8" s="734" t="n">
        <v>41.2776</v>
      </c>
      <c r="AG8" s="734" t="n">
        <v>0</v>
      </c>
      <c r="AH8" s="734" t="n">
        <v>18.646322</v>
      </c>
      <c r="AI8" s="734">
        <f>SUM(AF8:AH8)</f>
        <v/>
      </c>
      <c r="AJ8" s="734" t="n">
        <v>683.02396</v>
      </c>
      <c r="AK8" s="372">
        <f>SUM(K8+O8+S8+W8+AA8+AE8+AI8+AJ8)</f>
        <v/>
      </c>
      <c r="AL8" s="373">
        <f>IF(F8=0,"",K8/(F8/((YEAR(E8)*12+MONTH(E8))-(YEAR(D8)*12+MONTH(D8))+1)))</f>
        <v/>
      </c>
      <c r="AM8" s="373">
        <f>G8/F8</f>
        <v/>
      </c>
      <c r="AN8" s="736">
        <f>F8-G8</f>
        <v/>
      </c>
      <c r="AO8" s="737" t="n"/>
      <c r="AP8" s="737" t="n"/>
      <c r="AQ8" s="737" t="n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  <c r="BN8" s="706" t="inlineStr"/>
      <c r="BO8" s="706" t="inlineStr"/>
      <c r="BP8" s="706" t="inlineStr"/>
      <c r="BQ8" s="706" t="inlineStr"/>
    </row>
    <row r="9" outlineLevel="1" ht="14.25" customFormat="1" customHeight="1" s="483">
      <c r="A9" s="738" t="inlineStr">
        <is>
          <t>合计</t>
        </is>
      </c>
      <c r="B9" s="739" t="n"/>
      <c r="C9" s="739" t="n"/>
      <c r="D9" s="739" t="n"/>
      <c r="E9" s="740" t="n"/>
      <c r="F9" s="379">
        <f>SUM(F4:F8)</f>
        <v/>
      </c>
      <c r="G9" s="738">
        <f>SUM(G4:G8)</f>
        <v/>
      </c>
      <c r="H9" s="738">
        <f>SUM(H4:H8)</f>
        <v/>
      </c>
      <c r="I9" s="738">
        <f>SUM(I4:I8)</f>
        <v/>
      </c>
      <c r="J9" s="738">
        <f>SUM(J4:J8)</f>
        <v/>
      </c>
      <c r="K9" s="738">
        <f>SUM(K4:K8)</f>
        <v/>
      </c>
      <c r="L9" s="738">
        <f>SUM(L4:L8)</f>
        <v/>
      </c>
      <c r="M9" s="738">
        <f>SUM(M4:M8)</f>
        <v/>
      </c>
      <c r="N9" s="738">
        <f>SUM(N4:N8)</f>
        <v/>
      </c>
      <c r="O9" s="738">
        <f>SUM(O4:O8)</f>
        <v/>
      </c>
      <c r="P9" s="738">
        <f>SUM(P4:P8)</f>
        <v/>
      </c>
      <c r="Q9" s="738">
        <f>SUM(Q4:Q8)</f>
        <v/>
      </c>
      <c r="R9" s="738">
        <f>SUM(R4:R8)</f>
        <v/>
      </c>
      <c r="S9" s="738">
        <f>SUM(S4:S8)</f>
        <v/>
      </c>
      <c r="T9" s="738">
        <f>SUM(T4:T8)</f>
        <v/>
      </c>
      <c r="U9" s="738">
        <f>SUM(U4:U8)</f>
        <v/>
      </c>
      <c r="V9" s="738">
        <f>SUM(V4:V8)</f>
        <v/>
      </c>
      <c r="W9" s="738">
        <f>SUM(W4:W8)</f>
        <v/>
      </c>
      <c r="X9" s="738">
        <f>SUM(X4:X8)</f>
        <v/>
      </c>
      <c r="Y9" s="738">
        <f>SUM(Y4:Y8)</f>
        <v/>
      </c>
      <c r="Z9" s="738">
        <f>SUM(Z4:Z8)</f>
        <v/>
      </c>
      <c r="AA9" s="738">
        <f>SUM(AA4:AA8)</f>
        <v/>
      </c>
      <c r="AB9" s="738">
        <f>SUM(AB4:AB8)</f>
        <v/>
      </c>
      <c r="AC9" s="738">
        <f>SUM(AC4:AC8)</f>
        <v/>
      </c>
      <c r="AD9" s="738">
        <f>SUM(AD4:AD8)</f>
        <v/>
      </c>
      <c r="AE9" s="738">
        <f>SUM(AE4:AE8)</f>
        <v/>
      </c>
      <c r="AF9" s="738">
        <f>SUM(AF4:AF8)</f>
        <v/>
      </c>
      <c r="AG9" s="738">
        <f>SUM(AG4:AG8)</f>
        <v/>
      </c>
      <c r="AH9" s="738">
        <f>SUM(AH4:AH8)</f>
        <v/>
      </c>
      <c r="AI9" s="738">
        <f>SUM(AI4:AI8)</f>
        <v/>
      </c>
      <c r="AJ9" s="738">
        <f>SUM(AJ4:AJ8)</f>
        <v/>
      </c>
      <c r="AK9" s="741">
        <f>SUM(K9+O9+S9+W9+AA9+AE9+AI9+AJ9)</f>
        <v/>
      </c>
      <c r="AL9" s="381">
        <f>IF(F9=0,"",K9/(F9/((YEAR(E4)*12+MONTH(E4))-(YEAR(D4)*12+MONTH(D4))+1)))</f>
        <v/>
      </c>
      <c r="AM9" s="382">
        <f>G9/F9</f>
        <v/>
      </c>
      <c r="AN9" s="741">
        <f>F9-G9</f>
        <v/>
      </c>
      <c r="AO9" s="383">
        <f>AO4</f>
        <v/>
      </c>
      <c r="AP9" s="381">
        <f>AK9/AO4</f>
        <v/>
      </c>
      <c r="AQ9" s="742">
        <f>AO4-AK9</f>
        <v/>
      </c>
      <c r="AR9" s="713" t="inlineStr"/>
      <c r="AS9" s="713" t="inlineStr"/>
      <c r="AT9" s="340" t="n">
        <v>46136</v>
      </c>
      <c r="AU9" s="713" t="inlineStr"/>
      <c r="AV9" s="341">
        <f>(AD10-DATE(YEAR(AD10),1,1)+1)/AE9</f>
        <v/>
      </c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  <c r="BN9" s="713" t="inlineStr"/>
      <c r="BO9" s="713" t="inlineStr"/>
      <c r="BP9" s="713" t="inlineStr"/>
      <c r="BQ9" s="713" t="inlineStr"/>
    </row>
    <row r="10" outlineLevel="1" ht="14.25" customFormat="1" customHeight="1" s="483">
      <c r="A10" s="729" t="inlineStr">
        <is>
          <t>理财师014</t>
        </is>
      </c>
      <c r="B10" s="729" t="inlineStr">
        <is>
          <t>理财师014</t>
        </is>
      </c>
      <c r="C10" s="729" t="inlineStr">
        <is>
          <t>私人财富管理专家PWA4-5</t>
        </is>
      </c>
      <c r="D10" s="730" t="n">
        <v>46204</v>
      </c>
      <c r="E10" s="730" t="n">
        <v>46387</v>
      </c>
      <c r="F10" s="729" t="n">
        <v>18162</v>
      </c>
      <c r="G10" s="729" t="n">
        <v>3276.951815</v>
      </c>
      <c r="H10" s="729" t="n">
        <v>243.667059</v>
      </c>
      <c r="I10" s="729" t="n">
        <v>0</v>
      </c>
      <c r="J10" s="729" t="n">
        <v>0</v>
      </c>
      <c r="K10" s="729">
        <f>SUM(H10:J10)</f>
        <v/>
      </c>
      <c r="L10" s="729" t="n">
        <v>2834.050594</v>
      </c>
      <c r="M10" s="729" t="n">
        <v>0</v>
      </c>
      <c r="N10" s="729" t="n">
        <v>199.234162</v>
      </c>
      <c r="O10" s="729">
        <f>SUM(L10:N10)</f>
        <v/>
      </c>
      <c r="P10" s="729" t="n">
        <v>3599.205131</v>
      </c>
      <c r="Q10" s="729" t="n">
        <v>0</v>
      </c>
      <c r="R10" s="729" t="n">
        <v>206.636572</v>
      </c>
      <c r="S10" s="729">
        <f>SUM(P10:R10)</f>
        <v/>
      </c>
      <c r="T10" s="729" t="n">
        <v>4233.38058</v>
      </c>
      <c r="U10" s="729" t="n">
        <v>0</v>
      </c>
      <c r="V10" s="729" t="n">
        <v>103.388547</v>
      </c>
      <c r="W10" s="729">
        <f>SUM(T10:V10)</f>
        <v/>
      </c>
      <c r="X10" s="729" t="n">
        <v>2418.943367</v>
      </c>
      <c r="Y10" s="729" t="n">
        <v>2443.706261</v>
      </c>
      <c r="Z10" s="729" t="n">
        <v>88.105912</v>
      </c>
      <c r="AA10" s="729">
        <f>SUM(X10:Z10)</f>
        <v/>
      </c>
      <c r="AB10" s="729" t="n">
        <v>2574.496213</v>
      </c>
      <c r="AC10" s="729" t="n">
        <v>2927.70165</v>
      </c>
      <c r="AD10" s="729" t="n">
        <v>154.748145</v>
      </c>
      <c r="AE10" s="729">
        <f>SUM(AB10:AD10)</f>
        <v/>
      </c>
      <c r="AF10" s="729" t="n">
        <v>745.691219</v>
      </c>
      <c r="AG10" s="729" t="n">
        <v>2330.36622</v>
      </c>
      <c r="AH10" s="729" t="n">
        <v>72.478376</v>
      </c>
      <c r="AI10" s="729">
        <f>SUM(AF10:AH10)</f>
        <v/>
      </c>
      <c r="AJ10" s="729" t="n">
        <v>3042.835811</v>
      </c>
      <c r="AK10" s="363">
        <f>SUM(K10+O10+S10+W10+AA10+AE10+AI10+AJ10)</f>
        <v/>
      </c>
      <c r="AL10" s="364">
        <f>IF(F10=0,"",K10/(F10/((YEAR(E10)*12+MONTH(E10))-(YEAR(D10)*12+MONTH(D10))+1)))</f>
        <v/>
      </c>
      <c r="AM10" s="364">
        <f>G10/F10</f>
        <v/>
      </c>
      <c r="AN10" s="731">
        <f>F10-G10</f>
        <v/>
      </c>
      <c r="AO10" s="366">
        <f>SUM(F10:F13)</f>
        <v/>
      </c>
      <c r="AP10" s="367">
        <f>AP14</f>
        <v/>
      </c>
      <c r="AQ10" s="732">
        <f>AQ14</f>
        <v/>
      </c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  <c r="BN10" s="706" t="inlineStr"/>
      <c r="BO10" s="706" t="inlineStr"/>
      <c r="BP10" s="706" t="inlineStr"/>
      <c r="BQ10" s="706" t="inlineStr"/>
    </row>
    <row r="11" outlineLevel="1" ht="14.25" customFormat="1" customHeight="1" s="483">
      <c r="A11" s="733" t="n"/>
      <c r="B11" s="734" t="inlineStr">
        <is>
          <t>理财师022</t>
        </is>
      </c>
      <c r="C11" s="734" t="inlineStr">
        <is>
          <t>观察期PWA0-1</t>
        </is>
      </c>
      <c r="D11" s="735" t="n">
        <v>46174</v>
      </c>
      <c r="E11" s="735" t="n">
        <v>46356</v>
      </c>
      <c r="F11" s="734" t="n">
        <v>5907.91</v>
      </c>
      <c r="G11" s="734" t="n">
        <v>5242.838518</v>
      </c>
      <c r="H11" s="734" t="n">
        <v>0</v>
      </c>
      <c r="I11" s="734" t="n">
        <v>0</v>
      </c>
      <c r="J11" s="734" t="n">
        <v>0</v>
      </c>
      <c r="K11" s="734">
        <f>SUM(H11:J11)</f>
        <v/>
      </c>
      <c r="L11" s="734" t="n">
        <v>0</v>
      </c>
      <c r="M11" s="734" t="n">
        <v>4869.403051</v>
      </c>
      <c r="N11" s="734" t="n">
        <v>33.172446</v>
      </c>
      <c r="O11" s="734">
        <f>SUM(L11:N11)</f>
        <v/>
      </c>
      <c r="P11" s="734" t="n">
        <v>304.3131</v>
      </c>
      <c r="Q11" s="734" t="n">
        <v>0</v>
      </c>
      <c r="R11" s="734" t="n">
        <v>35.949921</v>
      </c>
      <c r="S11" s="734">
        <f>SUM(P11:R11)</f>
        <v/>
      </c>
      <c r="T11" s="734" t="n">
        <v>139.11456</v>
      </c>
      <c r="U11" s="734" t="n">
        <v>2956.1844</v>
      </c>
      <c r="V11" s="734" t="n">
        <v>14.716853</v>
      </c>
      <c r="W11" s="734">
        <f>SUM(T11:V11)</f>
        <v/>
      </c>
      <c r="X11" s="734" t="n">
        <v>280.185418</v>
      </c>
      <c r="Y11" s="734" t="n">
        <v>773.505646</v>
      </c>
      <c r="Z11" s="734" t="n">
        <v>3.573146</v>
      </c>
      <c r="AA11" s="734">
        <f>SUM(X11:Z11)</f>
        <v/>
      </c>
      <c r="AB11" s="734" t="n">
        <v>43.4733</v>
      </c>
      <c r="AC11" s="734" t="n">
        <v>0</v>
      </c>
      <c r="AD11" s="734" t="n">
        <v>10.334614</v>
      </c>
      <c r="AE11" s="734">
        <f>SUM(AB11:AD11)</f>
        <v/>
      </c>
      <c r="AF11" s="734" t="n">
        <v>0</v>
      </c>
      <c r="AG11" s="734" t="n">
        <v>0</v>
      </c>
      <c r="AH11" s="734" t="n">
        <v>0</v>
      </c>
      <c r="AI11" s="734">
        <f>SUM(AF11:AH11)</f>
        <v/>
      </c>
      <c r="AJ11" s="734" t="n">
        <v>0</v>
      </c>
      <c r="AK11" s="372">
        <f>SUM(K11+O11+S11+W11+AA11+AE11+AI11+AJ11)</f>
        <v/>
      </c>
      <c r="AL11" s="373">
        <f>IF(F11=0,"",K11/(F11/((YEAR(E11)*12+MONTH(E11))-(YEAR(D11)*12+MONTH(D11))+1)))</f>
        <v/>
      </c>
      <c r="AM11" s="373">
        <f>G11/F11</f>
        <v/>
      </c>
      <c r="AN11" s="736">
        <f>F11-G11</f>
        <v/>
      </c>
      <c r="AO11" s="733" t="n"/>
      <c r="AP11" s="733" t="n"/>
      <c r="AQ11" s="733" t="n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  <c r="BN11" s="706" t="inlineStr"/>
      <c r="BO11" s="706" t="inlineStr"/>
      <c r="BP11" s="706" t="inlineStr"/>
      <c r="BQ11" s="706" t="inlineStr"/>
    </row>
    <row r="12" outlineLevel="1" ht="14.25" customFormat="1" customHeight="1" s="483">
      <c r="A12" s="733" t="n"/>
      <c r="B12" s="734" t="inlineStr">
        <is>
          <t>理财师013</t>
        </is>
      </c>
      <c r="C12" s="734" t="inlineStr">
        <is>
          <t>私人财富管理总监PWA3-3</t>
        </is>
      </c>
      <c r="D12" s="735" t="n">
        <v>46204</v>
      </c>
      <c r="E12" s="735" t="n">
        <v>46387</v>
      </c>
      <c r="F12" s="734" t="n">
        <v>21002.4</v>
      </c>
      <c r="G12" s="734" t="n">
        <v>6031.033074</v>
      </c>
      <c r="H12" s="734" t="n">
        <v>357.47975</v>
      </c>
      <c r="I12" s="734" t="n">
        <v>0</v>
      </c>
      <c r="J12" s="734" t="n">
        <v>0</v>
      </c>
      <c r="K12" s="734">
        <f>SUM(H12:J12)</f>
        <v/>
      </c>
      <c r="L12" s="734" t="n">
        <v>5487.872514</v>
      </c>
      <c r="M12" s="734" t="n">
        <v>0</v>
      </c>
      <c r="N12" s="734" t="n">
        <v>185.68081</v>
      </c>
      <c r="O12" s="734">
        <f>SUM(L12:N12)</f>
        <v/>
      </c>
      <c r="P12" s="734" t="n">
        <v>5138.663789</v>
      </c>
      <c r="Q12" s="734" t="n">
        <v>0</v>
      </c>
      <c r="R12" s="734" t="n">
        <v>787.892575</v>
      </c>
      <c r="S12" s="734">
        <f>SUM(P12:R12)</f>
        <v/>
      </c>
      <c r="T12" s="734" t="n">
        <v>527.86032</v>
      </c>
      <c r="U12" s="734" t="n">
        <v>0</v>
      </c>
      <c r="V12" s="734" t="n">
        <v>176.99322</v>
      </c>
      <c r="W12" s="734">
        <f>SUM(T12:V12)</f>
        <v/>
      </c>
      <c r="X12" s="734" t="n">
        <v>5719.894428</v>
      </c>
      <c r="Y12" s="734" t="n">
        <v>0</v>
      </c>
      <c r="Z12" s="734" t="n">
        <v>170.991639</v>
      </c>
      <c r="AA12" s="734">
        <f>SUM(X12:Z12)</f>
        <v/>
      </c>
      <c r="AB12" s="734" t="n">
        <v>2659.960961</v>
      </c>
      <c r="AC12" s="734" t="n">
        <v>0</v>
      </c>
      <c r="AD12" s="734" t="n">
        <v>743.622962</v>
      </c>
      <c r="AE12" s="734">
        <f>SUM(AB12:AD12)</f>
        <v/>
      </c>
      <c r="AF12" s="734" t="n">
        <v>0</v>
      </c>
      <c r="AG12" s="734" t="n">
        <v>0</v>
      </c>
      <c r="AH12" s="734" t="n">
        <v>144.157177</v>
      </c>
      <c r="AI12" s="734">
        <f>SUM(AF12:AH12)</f>
        <v/>
      </c>
      <c r="AJ12" s="734" t="n">
        <v>6482.195956</v>
      </c>
      <c r="AK12" s="372">
        <f>SUM(K12+O12+S12+W12+AA12+AE12+AI12+AJ12)</f>
        <v/>
      </c>
      <c r="AL12" s="373">
        <f>IF(F12=0,"",K12/(F12/((YEAR(E12)*12+MONTH(E12))-(YEAR(D12)*12+MONTH(D12))+1)))</f>
        <v/>
      </c>
      <c r="AM12" s="373">
        <f>G12/F12</f>
        <v/>
      </c>
      <c r="AN12" s="736">
        <f>F12-G12</f>
        <v/>
      </c>
      <c r="AO12" s="733" t="n"/>
      <c r="AP12" s="733" t="n"/>
      <c r="AQ12" s="733" t="n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  <c r="BN12" s="706" t="inlineStr"/>
      <c r="BO12" s="706" t="inlineStr"/>
      <c r="BP12" s="706" t="inlineStr"/>
      <c r="BQ12" s="706" t="inlineStr"/>
    </row>
    <row r="13" outlineLevel="1" ht="14.25" customFormat="1" customHeight="1" s="483">
      <c r="A13" s="737" t="n"/>
      <c r="B13" s="734" t="inlineStr">
        <is>
          <t>理财师024</t>
        </is>
      </c>
      <c r="C13" s="734" t="inlineStr">
        <is>
          <t>私人财富管理总监PWA3-1</t>
        </is>
      </c>
      <c r="D13" s="735" t="n">
        <v>46204</v>
      </c>
      <c r="E13" s="735" t="n">
        <v>46387</v>
      </c>
      <c r="F13" s="734" t="n">
        <v>15122.64</v>
      </c>
      <c r="G13" s="734" t="n">
        <v>4053.777353</v>
      </c>
      <c r="H13" s="734" t="n">
        <v>0</v>
      </c>
      <c r="I13" s="734" t="n">
        <v>0</v>
      </c>
      <c r="J13" s="734" t="n">
        <v>0</v>
      </c>
      <c r="K13" s="734">
        <f>SUM(H13:J13)</f>
        <v/>
      </c>
      <c r="L13" s="734" t="n">
        <v>3763.612289</v>
      </c>
      <c r="M13" s="734" t="n">
        <v>0</v>
      </c>
      <c r="N13" s="734" t="n">
        <v>290.165065</v>
      </c>
      <c r="O13" s="734">
        <f>SUM(L13:N13)</f>
        <v/>
      </c>
      <c r="P13" s="734" t="n">
        <v>2826.176184</v>
      </c>
      <c r="Q13" s="734" t="n">
        <v>0</v>
      </c>
      <c r="R13" s="734" t="n">
        <v>536.034869</v>
      </c>
      <c r="S13" s="734">
        <f>SUM(P13:R13)</f>
        <v/>
      </c>
      <c r="T13" s="734" t="n">
        <v>1000.951193</v>
      </c>
      <c r="U13" s="734" t="n">
        <v>0</v>
      </c>
      <c r="V13" s="734" t="n">
        <v>278.383375</v>
      </c>
      <c r="W13" s="734">
        <f>SUM(T13:V13)</f>
        <v/>
      </c>
      <c r="X13" s="734" t="n">
        <v>3291.566745</v>
      </c>
      <c r="Y13" s="734" t="n">
        <v>0</v>
      </c>
      <c r="Z13" s="734" t="n">
        <v>242.965979</v>
      </c>
      <c r="AA13" s="734">
        <f>SUM(X13:Z13)</f>
        <v/>
      </c>
      <c r="AB13" s="734" t="n">
        <v>3556.620439</v>
      </c>
      <c r="AC13" s="734" t="n">
        <v>0</v>
      </c>
      <c r="AD13" s="734" t="n">
        <v>446.103228</v>
      </c>
      <c r="AE13" s="734">
        <f>SUM(AB13:AD13)</f>
        <v/>
      </c>
      <c r="AF13" s="734" t="n">
        <v>1054.327266</v>
      </c>
      <c r="AG13" s="734" t="n">
        <v>0</v>
      </c>
      <c r="AH13" s="734" t="n">
        <v>170.580309</v>
      </c>
      <c r="AI13" s="734">
        <f>SUM(AF13:AH13)</f>
        <v/>
      </c>
      <c r="AJ13" s="734" t="n">
        <v>692.512431</v>
      </c>
      <c r="AK13" s="372">
        <f>SUM(K13+O13+S13+W13+AA13+AE13+AI13+AJ13)</f>
        <v/>
      </c>
      <c r="AL13" s="373">
        <f>IF(F13=0,"",K13/(F13/((YEAR(E13)*12+MONTH(E13))-(YEAR(D13)*12+MONTH(D13))+1)))</f>
        <v/>
      </c>
      <c r="AM13" s="373">
        <f>G13/F13</f>
        <v/>
      </c>
      <c r="AN13" s="736">
        <f>F13-G13</f>
        <v/>
      </c>
      <c r="AO13" s="737" t="n"/>
      <c r="AP13" s="737" t="n"/>
      <c r="AQ13" s="737" t="n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  <c r="BN13" s="706" t="inlineStr"/>
      <c r="BO13" s="706" t="inlineStr"/>
      <c r="BP13" s="706" t="inlineStr"/>
      <c r="BQ13" s="706" t="inlineStr"/>
    </row>
    <row r="14" outlineLevel="1" ht="14.25" customFormat="1" customHeight="1" s="483">
      <c r="A14" s="738" t="inlineStr">
        <is>
          <t>合计</t>
        </is>
      </c>
      <c r="B14" s="739" t="n"/>
      <c r="C14" s="739" t="n"/>
      <c r="D14" s="739" t="n"/>
      <c r="E14" s="740" t="n"/>
      <c r="F14" s="379">
        <f>SUM(F10:F13)</f>
        <v/>
      </c>
      <c r="G14" s="738">
        <f>SUM(G10:G13)</f>
        <v/>
      </c>
      <c r="H14" s="738">
        <f>SUM(H10:H13)</f>
        <v/>
      </c>
      <c r="I14" s="738">
        <f>SUM(I10:I13)</f>
        <v/>
      </c>
      <c r="J14" s="738">
        <f>SUM(J10:J13)</f>
        <v/>
      </c>
      <c r="K14" s="738">
        <f>SUM(K10:K13)</f>
        <v/>
      </c>
      <c r="L14" s="738">
        <f>SUM(L10:L13)</f>
        <v/>
      </c>
      <c r="M14" s="738">
        <f>SUM(M10:M13)</f>
        <v/>
      </c>
      <c r="N14" s="738">
        <f>SUM(N10:N13)</f>
        <v/>
      </c>
      <c r="O14" s="738">
        <f>SUM(O10:O13)</f>
        <v/>
      </c>
      <c r="P14" s="738">
        <f>SUM(P10:P13)</f>
        <v/>
      </c>
      <c r="Q14" s="738">
        <f>SUM(Q10:Q13)</f>
        <v/>
      </c>
      <c r="R14" s="738">
        <f>SUM(R10:R13)</f>
        <v/>
      </c>
      <c r="S14" s="738">
        <f>SUM(S10:S13)</f>
        <v/>
      </c>
      <c r="T14" s="738">
        <f>SUM(T10:T13)</f>
        <v/>
      </c>
      <c r="U14" s="738">
        <f>SUM(U10:U13)</f>
        <v/>
      </c>
      <c r="V14" s="738">
        <f>SUM(V10:V13)</f>
        <v/>
      </c>
      <c r="W14" s="738">
        <f>SUM(W10:W13)</f>
        <v/>
      </c>
      <c r="X14" s="738">
        <f>SUM(X10:X13)</f>
        <v/>
      </c>
      <c r="Y14" s="738">
        <f>SUM(Y10:Y13)</f>
        <v/>
      </c>
      <c r="Z14" s="738">
        <f>SUM(Z10:Z13)</f>
        <v/>
      </c>
      <c r="AA14" s="738">
        <f>SUM(AA10:AA13)</f>
        <v/>
      </c>
      <c r="AB14" s="738">
        <f>SUM(AB10:AB13)</f>
        <v/>
      </c>
      <c r="AC14" s="738">
        <f>SUM(AC10:AC13)</f>
        <v/>
      </c>
      <c r="AD14" s="738">
        <f>SUM(AD10:AD13)</f>
        <v/>
      </c>
      <c r="AE14" s="738">
        <f>SUM(AE10:AE13)</f>
        <v/>
      </c>
      <c r="AF14" s="738">
        <f>SUM(AF10:AF13)</f>
        <v/>
      </c>
      <c r="AG14" s="738">
        <f>SUM(AG10:AG13)</f>
        <v/>
      </c>
      <c r="AH14" s="738">
        <f>SUM(AH10:AH13)</f>
        <v/>
      </c>
      <c r="AI14" s="738">
        <f>SUM(AI10:AI13)</f>
        <v/>
      </c>
      <c r="AJ14" s="738">
        <f>SUM(AJ10:AJ13)</f>
        <v/>
      </c>
      <c r="AK14" s="379">
        <f>SUM(K14+O14+S14+W14+AA14+AE14+AI14+AJ14)</f>
        <v/>
      </c>
      <c r="AL14" s="381">
        <f>IF(F14=0,"",K14/(F14/((YEAR(E10)*12+MONTH(E10))-(YEAR(D10)*12+MONTH(D10))+1)))</f>
        <v/>
      </c>
      <c r="AM14" s="382">
        <f>G14/F14</f>
        <v/>
      </c>
      <c r="AN14" s="743">
        <f>F14-G14</f>
        <v/>
      </c>
      <c r="AO14" s="383">
        <f>AO10</f>
        <v/>
      </c>
      <c r="AP14" s="381">
        <f>AK14/AO10</f>
        <v/>
      </c>
      <c r="AQ14" s="742">
        <f>AO10-AK14</f>
        <v/>
      </c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  <c r="BN14" s="713" t="inlineStr"/>
      <c r="BO14" s="713" t="inlineStr"/>
      <c r="BP14" s="713" t="inlineStr"/>
      <c r="BQ14" s="713" t="inlineStr"/>
    </row>
    <row r="15" outlineLevel="1" ht="14.25" customFormat="1" customHeight="1" s="483">
      <c r="A15" s="729" t="inlineStr">
        <is>
          <t>理财师007</t>
        </is>
      </c>
      <c r="B15" s="729" t="inlineStr">
        <is>
          <t>理财师023</t>
        </is>
      </c>
      <c r="C15" s="729" t="inlineStr">
        <is>
          <t>私人财富管理资深顾问PWA2-5</t>
        </is>
      </c>
      <c r="D15" s="730" t="n">
        <v>46204</v>
      </c>
      <c r="E15" s="730" t="n">
        <v>46387</v>
      </c>
      <c r="F15" s="729" t="n">
        <v>17806.8</v>
      </c>
      <c r="G15" s="729" t="n">
        <v>1610.20227</v>
      </c>
      <c r="H15" s="729" t="n">
        <v>225.052788</v>
      </c>
      <c r="I15" s="729" t="n">
        <v>0</v>
      </c>
      <c r="J15" s="729" t="n">
        <v>0</v>
      </c>
      <c r="K15" s="729">
        <f>SUM(H15:J15)</f>
        <v/>
      </c>
      <c r="L15" s="729" t="n">
        <v>1190.323875</v>
      </c>
      <c r="M15" s="729" t="n">
        <v>0</v>
      </c>
      <c r="N15" s="729" t="n">
        <v>194.825606</v>
      </c>
      <c r="O15" s="729">
        <f>SUM(L15:N15)</f>
        <v/>
      </c>
      <c r="P15" s="729" t="n">
        <v>1521.715752</v>
      </c>
      <c r="Q15" s="729" t="n">
        <v>14101.410508</v>
      </c>
      <c r="R15" s="729" t="n">
        <v>201.494206</v>
      </c>
      <c r="S15" s="729">
        <f>SUM(P15:R15)</f>
        <v/>
      </c>
      <c r="T15" s="729" t="n">
        <v>1776.618655</v>
      </c>
      <c r="U15" s="729" t="n">
        <v>0</v>
      </c>
      <c r="V15" s="729" t="n">
        <v>64.972886</v>
      </c>
      <c r="W15" s="729">
        <f>SUM(T15:V15)</f>
        <v/>
      </c>
      <c r="X15" s="729" t="n">
        <v>2171.402323</v>
      </c>
      <c r="Y15" s="729" t="n">
        <v>0</v>
      </c>
      <c r="Z15" s="729" t="n">
        <v>15.631431</v>
      </c>
      <c r="AA15" s="729">
        <f>SUM(X15:Z15)</f>
        <v/>
      </c>
      <c r="AB15" s="729" t="n">
        <v>1305.1575</v>
      </c>
      <c r="AC15" s="729" t="n">
        <v>1178.4864</v>
      </c>
      <c r="AD15" s="729" t="n">
        <v>22.441342</v>
      </c>
      <c r="AE15" s="729">
        <f>SUM(AB15:AD15)</f>
        <v/>
      </c>
      <c r="AF15" s="729" t="n">
        <v>0</v>
      </c>
      <c r="AG15" s="729" t="n">
        <v>0</v>
      </c>
      <c r="AH15" s="729" t="n">
        <v>15.177921</v>
      </c>
      <c r="AI15" s="729">
        <f>SUM(AF15:AH15)</f>
        <v/>
      </c>
      <c r="AJ15" s="729" t="n">
        <v>2630.55</v>
      </c>
      <c r="AK15" s="744">
        <f>SUM(K15+O15+S15+W15+AA15+AE15+AI15+AJ15)</f>
        <v/>
      </c>
      <c r="AL15" s="364">
        <f>IF(F15=0,"",K15/(F15/((YEAR(E15)*12+MONTH(E15))-(YEAR(D15)*12+MONTH(D15))+1)))</f>
        <v/>
      </c>
      <c r="AM15" s="364">
        <f>G15/F15</f>
        <v/>
      </c>
      <c r="AN15" s="744">
        <f>F15-G15</f>
        <v/>
      </c>
      <c r="AO15" s="366">
        <f>SUM(F15:F18)</f>
        <v/>
      </c>
      <c r="AP15" s="367">
        <f>AP19</f>
        <v/>
      </c>
      <c r="AQ15" s="745">
        <f>AQ19</f>
        <v/>
      </c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  <c r="BN15" s="706" t="inlineStr"/>
      <c r="BO15" s="706" t="inlineStr"/>
      <c r="BP15" s="706" t="inlineStr"/>
      <c r="BQ15" s="706" t="inlineStr"/>
    </row>
    <row r="16" outlineLevel="1" ht="14.25" customFormat="1" customHeight="1" s="483">
      <c r="A16" s="733" t="n"/>
      <c r="B16" s="734" t="inlineStr">
        <is>
          <t>理财师091</t>
        </is>
      </c>
      <c r="C16" s="734" t="inlineStr">
        <is>
          <t>C3</t>
        </is>
      </c>
      <c r="D16" s="735" t="n">
        <v>45866</v>
      </c>
      <c r="E16" s="735" t="n">
        <v>46049</v>
      </c>
      <c r="F16" s="734" t="n">
        <v>4042.08</v>
      </c>
      <c r="G16" s="734" t="n">
        <v>1691.696497</v>
      </c>
      <c r="H16" s="734" t="n">
        <v>0</v>
      </c>
      <c r="I16" s="734" t="n">
        <v>0</v>
      </c>
      <c r="J16" s="734" t="n">
        <v>0</v>
      </c>
      <c r="K16" s="734">
        <f>SUM(H16:J16)</f>
        <v/>
      </c>
      <c r="L16" s="734" t="n">
        <v>0</v>
      </c>
      <c r="M16" s="734" t="n">
        <v>0</v>
      </c>
      <c r="N16" s="734" t="n">
        <v>10.748728</v>
      </c>
      <c r="O16" s="734">
        <f>SUM(L16:N16)</f>
        <v/>
      </c>
      <c r="P16" s="734" t="n">
        <v>0</v>
      </c>
      <c r="Q16" s="734" t="n">
        <v>0</v>
      </c>
      <c r="R16" s="734" t="n">
        <v>11.31433</v>
      </c>
      <c r="S16" s="734">
        <f>SUM(P16:R16)</f>
        <v/>
      </c>
      <c r="T16" s="734" t="n">
        <v>0</v>
      </c>
      <c r="U16" s="734" t="n">
        <v>0</v>
      </c>
      <c r="V16" s="734" t="n">
        <v>2.157894</v>
      </c>
      <c r="W16" s="734">
        <f>SUM(T16:V16)</f>
        <v/>
      </c>
      <c r="X16" s="734" t="n">
        <v>0</v>
      </c>
      <c r="Y16" s="734" t="n">
        <v>0</v>
      </c>
      <c r="Z16" s="734" t="n">
        <v>2.058637</v>
      </c>
      <c r="AA16" s="734">
        <f>SUM(X16:Z16)</f>
        <v/>
      </c>
      <c r="AB16" s="734" t="n">
        <v>0</v>
      </c>
      <c r="AC16" s="734" t="n">
        <v>0</v>
      </c>
      <c r="AD16" s="734" t="n">
        <v>3.23046</v>
      </c>
      <c r="AE16" s="734">
        <f>SUM(AB16:AD16)</f>
        <v/>
      </c>
      <c r="AF16" s="734" t="n">
        <v>25.0224</v>
      </c>
      <c r="AG16" s="734" t="n">
        <v>1050.9408</v>
      </c>
      <c r="AH16" s="734" t="n">
        <v>3.667668</v>
      </c>
      <c r="AI16" s="734">
        <f>SUM(AF16:AH16)</f>
        <v/>
      </c>
      <c r="AJ16" s="734" t="n">
        <v>125.112</v>
      </c>
      <c r="AK16" s="372">
        <f>SUM(K16+O16+S16+W16+AA16+AE16+AI16+AJ16)</f>
        <v/>
      </c>
      <c r="AL16" s="373">
        <f>IF(F16=0,"",K16/(F16/((YEAR(E16)*12+MONTH(E16))-(YEAR(D16)*12+MONTH(D16))+1)))</f>
        <v/>
      </c>
      <c r="AM16" s="373">
        <f>G16/F16</f>
        <v/>
      </c>
      <c r="AN16" s="736">
        <f>F16-G16</f>
        <v/>
      </c>
      <c r="AO16" s="733" t="n"/>
      <c r="AP16" s="733" t="n"/>
      <c r="AQ16" s="733" t="n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  <c r="BN16" s="706" t="inlineStr"/>
      <c r="BO16" s="706" t="inlineStr"/>
      <c r="BP16" s="706" t="inlineStr"/>
      <c r="BQ16" s="706" t="inlineStr"/>
    </row>
    <row r="17" outlineLevel="1" ht="14.25" customFormat="1" customHeight="1" s="483">
      <c r="A17" s="733" t="n"/>
      <c r="B17" s="734" t="inlineStr">
        <is>
          <t>理财师035</t>
        </is>
      </c>
      <c r="C17" s="734" t="inlineStr"/>
      <c r="D17" s="735" t="n">
        <v>46052</v>
      </c>
      <c r="E17" s="735" t="n">
        <v>46232</v>
      </c>
      <c r="F17" s="734" t="n">
        <v>0</v>
      </c>
      <c r="G17" s="734" t="n">
        <v>5598.599415</v>
      </c>
      <c r="H17" s="734" t="n">
        <v>0</v>
      </c>
      <c r="I17" s="734" t="n">
        <v>0</v>
      </c>
      <c r="J17" s="734" t="n">
        <v>0</v>
      </c>
      <c r="K17" s="734">
        <f>SUM(H17:J17)</f>
        <v/>
      </c>
      <c r="L17" s="734" t="n">
        <v>683.565792</v>
      </c>
      <c r="M17" s="734" t="n">
        <v>0</v>
      </c>
      <c r="N17" s="734" t="n">
        <v>24.884003</v>
      </c>
      <c r="O17" s="734">
        <f>SUM(L17:N17)</f>
        <v/>
      </c>
      <c r="P17" s="734" t="n">
        <v>412.205196</v>
      </c>
      <c r="Q17" s="734" t="n">
        <v>0</v>
      </c>
      <c r="R17" s="734" t="n">
        <v>61.849591</v>
      </c>
      <c r="S17" s="734">
        <f>SUM(P17:R17)</f>
        <v/>
      </c>
      <c r="T17" s="734" t="n">
        <v>539.9043</v>
      </c>
      <c r="U17" s="734" t="n">
        <v>1859.14872</v>
      </c>
      <c r="V17" s="734" t="n">
        <v>44.064709</v>
      </c>
      <c r="W17" s="734">
        <f>SUM(T17:V17)</f>
        <v/>
      </c>
      <c r="X17" s="734" t="n">
        <v>0</v>
      </c>
      <c r="Y17" s="734" t="n">
        <v>0</v>
      </c>
      <c r="Z17" s="734" t="n">
        <v>43.453355</v>
      </c>
      <c r="AA17" s="734">
        <f>SUM(X17:Z17)</f>
        <v/>
      </c>
      <c r="AB17" s="734" t="n">
        <v>0</v>
      </c>
      <c r="AC17" s="734" t="n">
        <v>1943.65548</v>
      </c>
      <c r="AD17" s="734" t="n">
        <v>10.752272</v>
      </c>
      <c r="AE17" s="734">
        <f>SUM(AB17:AD17)</f>
        <v/>
      </c>
      <c r="AF17" s="734" t="n">
        <v>0</v>
      </c>
      <c r="AG17" s="734" t="n">
        <v>0</v>
      </c>
      <c r="AH17" s="734" t="n">
        <v>0</v>
      </c>
      <c r="AI17" s="734">
        <f>SUM(AF17:AH17)</f>
        <v/>
      </c>
      <c r="AJ17" s="734" t="n">
        <v>0</v>
      </c>
      <c r="AK17" s="372">
        <f>SUM(K17+O17+S17+W17+AA17+AE17+AI17+AJ17)</f>
        <v/>
      </c>
      <c r="AL17" s="373">
        <f>IF(F17=0,"",K17/(F17/MAX(1,(YEAR(E17)*12+MONTH(E17))-(YEAR(D17)*12+MONTH(D17))+1)))</f>
        <v/>
      </c>
      <c r="AM17" s="373">
        <f>G17/F17</f>
        <v/>
      </c>
      <c r="AN17" s="736">
        <f>F17-G17</f>
        <v/>
      </c>
      <c r="AO17" s="733" t="n"/>
      <c r="AP17" s="733" t="n"/>
      <c r="AQ17" s="733" t="n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  <c r="BN17" s="706" t="inlineStr"/>
      <c r="BO17" s="706" t="inlineStr"/>
      <c r="BP17" s="706" t="inlineStr"/>
      <c r="BQ17" s="706" t="inlineStr"/>
    </row>
    <row r="18" outlineLevel="1" ht="14.25" customFormat="1" customHeight="1" s="483">
      <c r="A18" s="737" t="n"/>
      <c r="B18" s="734" t="inlineStr">
        <is>
          <t>理财师007</t>
        </is>
      </c>
      <c r="C18" s="734" t="inlineStr">
        <is>
          <t>私人财富管理专家PWA4-3</t>
        </is>
      </c>
      <c r="D18" s="735" t="n">
        <v>46204</v>
      </c>
      <c r="E18" s="735" t="n">
        <v>46387</v>
      </c>
      <c r="F18" s="734" t="n">
        <v>28561.17</v>
      </c>
      <c r="G18" s="734" t="n">
        <v>5519.705609</v>
      </c>
      <c r="H18" s="734" t="n">
        <v>1496.40188</v>
      </c>
      <c r="I18" s="734" t="n">
        <v>0</v>
      </c>
      <c r="J18" s="734" t="n">
        <v>0</v>
      </c>
      <c r="K18" s="734">
        <f>SUM(H18:J18)</f>
        <v/>
      </c>
      <c r="L18" s="734" t="n">
        <v>3696.581357</v>
      </c>
      <c r="M18" s="734" t="n">
        <v>0</v>
      </c>
      <c r="N18" s="734" t="n">
        <v>326.722372</v>
      </c>
      <c r="O18" s="734">
        <f>SUM(L18:N18)</f>
        <v/>
      </c>
      <c r="P18" s="734" t="n">
        <v>4030.216259</v>
      </c>
      <c r="Q18" s="734" t="n">
        <v>0</v>
      </c>
      <c r="R18" s="734" t="n">
        <v>591.792457</v>
      </c>
      <c r="S18" s="734">
        <f>SUM(P18:R18)</f>
        <v/>
      </c>
      <c r="T18" s="734" t="n">
        <v>1274.903482</v>
      </c>
      <c r="U18" s="734" t="n">
        <v>3566.1951</v>
      </c>
      <c r="V18" s="734" t="n">
        <v>343.572179</v>
      </c>
      <c r="W18" s="734">
        <f>SUM(T18:V18)</f>
        <v/>
      </c>
      <c r="X18" s="734" t="n">
        <v>2660.12632</v>
      </c>
      <c r="Y18" s="734" t="n">
        <v>0</v>
      </c>
      <c r="Z18" s="734" t="n">
        <v>331.400492</v>
      </c>
      <c r="AA18" s="734">
        <f>SUM(X18:Z18)</f>
        <v/>
      </c>
      <c r="AB18" s="734" t="n">
        <v>3406.959578</v>
      </c>
      <c r="AC18" s="734" t="n">
        <v>14793.1056</v>
      </c>
      <c r="AD18" s="734" t="n">
        <v>606.358521</v>
      </c>
      <c r="AE18" s="734">
        <f>SUM(AB18:AD18)</f>
        <v/>
      </c>
      <c r="AF18" s="734" t="n">
        <v>3557.362586</v>
      </c>
      <c r="AG18" s="734" t="n">
        <v>0</v>
      </c>
      <c r="AH18" s="734" t="n">
        <v>301.023526</v>
      </c>
      <c r="AI18" s="734">
        <f>SUM(AF18:AH18)</f>
        <v/>
      </c>
      <c r="AJ18" s="734" t="n">
        <v>8988.571889000001</v>
      </c>
      <c r="AK18" s="372">
        <f>SUM(K18+O18+S18+W18+AA18+AE18+AI18+AJ18)</f>
        <v/>
      </c>
      <c r="AL18" s="373">
        <f>IF(F18=0,"",K18/(F18/((YEAR(E18)*12+MONTH(E18))-(YEAR(D18)*12+MONTH(D18))+1)))</f>
        <v/>
      </c>
      <c r="AM18" s="373">
        <f>G18/F18</f>
        <v/>
      </c>
      <c r="AN18" s="736">
        <f>F18-G18</f>
        <v/>
      </c>
      <c r="AO18" s="737" t="n"/>
      <c r="AP18" s="737" t="n"/>
      <c r="AQ18" s="737" t="n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  <c r="BN18" s="706" t="inlineStr"/>
      <c r="BO18" s="706" t="inlineStr"/>
      <c r="BP18" s="706" t="inlineStr"/>
      <c r="BQ18" s="706" t="inlineStr"/>
    </row>
    <row r="19" outlineLevel="1" ht="14.25" customFormat="1" customHeight="1" s="483">
      <c r="A19" s="738" t="inlineStr">
        <is>
          <t>合计</t>
        </is>
      </c>
      <c r="B19" s="739" t="n"/>
      <c r="C19" s="739" t="n"/>
      <c r="D19" s="739" t="n"/>
      <c r="E19" s="740" t="n"/>
      <c r="F19" s="379">
        <f>SUM(F15:F18)</f>
        <v/>
      </c>
      <c r="G19" s="738">
        <f>SUM(G15:G18)</f>
        <v/>
      </c>
      <c r="H19" s="738">
        <f>SUM(H15:H18)</f>
        <v/>
      </c>
      <c r="I19" s="738">
        <f>SUM(I15:I18)</f>
        <v/>
      </c>
      <c r="J19" s="738">
        <f>SUM(J15:J18)</f>
        <v/>
      </c>
      <c r="K19" s="738">
        <f>SUM(K15:K18)</f>
        <v/>
      </c>
      <c r="L19" s="738">
        <f>SUM(L15:L18)</f>
        <v/>
      </c>
      <c r="M19" s="738">
        <f>SUM(M15:M18)</f>
        <v/>
      </c>
      <c r="N19" s="738">
        <f>SUM(N15:N18)</f>
        <v/>
      </c>
      <c r="O19" s="738">
        <f>SUM(O15:O18)</f>
        <v/>
      </c>
      <c r="P19" s="738">
        <f>SUM(P15:P18)</f>
        <v/>
      </c>
      <c r="Q19" s="738">
        <f>SUM(Q15:Q18)</f>
        <v/>
      </c>
      <c r="R19" s="738">
        <f>SUM(R15:R18)</f>
        <v/>
      </c>
      <c r="S19" s="738">
        <f>SUM(S15:S18)</f>
        <v/>
      </c>
      <c r="T19" s="738">
        <f>SUM(T15:T18)</f>
        <v/>
      </c>
      <c r="U19" s="738">
        <f>SUM(U15:U18)</f>
        <v/>
      </c>
      <c r="V19" s="738">
        <f>SUM(V15:V18)</f>
        <v/>
      </c>
      <c r="W19" s="738">
        <f>SUM(W15:W18)</f>
        <v/>
      </c>
      <c r="X19" s="738">
        <f>SUM(X15:X18)</f>
        <v/>
      </c>
      <c r="Y19" s="738">
        <f>SUM(Y15:Y18)</f>
        <v/>
      </c>
      <c r="Z19" s="738">
        <f>SUM(Z15:Z18)</f>
        <v/>
      </c>
      <c r="AA19" s="738">
        <f>SUM(AA15:AA18)</f>
        <v/>
      </c>
      <c r="AB19" s="738">
        <f>SUM(AB15:AB18)</f>
        <v/>
      </c>
      <c r="AC19" s="738">
        <f>SUM(AC15:AC18)</f>
        <v/>
      </c>
      <c r="AD19" s="738">
        <f>SUM(AD15:AD18)</f>
        <v/>
      </c>
      <c r="AE19" s="738">
        <f>SUM(AE15:AE18)</f>
        <v/>
      </c>
      <c r="AF19" s="738">
        <f>SUM(AF15:AF18)</f>
        <v/>
      </c>
      <c r="AG19" s="738">
        <f>SUM(AG15:AG18)</f>
        <v/>
      </c>
      <c r="AH19" s="738">
        <f>SUM(AH15:AH18)</f>
        <v/>
      </c>
      <c r="AI19" s="738">
        <f>SUM(AI15:AI18)</f>
        <v/>
      </c>
      <c r="AJ19" s="738">
        <f>SUM(AJ15:AJ18)</f>
        <v/>
      </c>
      <c r="AK19" s="741">
        <f>SUM(K19+O19+S19+W19+AA19+AE19+AI19+AJ19)</f>
        <v/>
      </c>
      <c r="AL19" s="381">
        <f>IF(F19=0,"",K19/(F19/((YEAR(E15)*12+MONTH(E15))-(YEAR(D15)*12+MONTH(D15))+1)))</f>
        <v/>
      </c>
      <c r="AM19" s="382">
        <f>G19/F19</f>
        <v/>
      </c>
      <c r="AN19" s="741">
        <f>F19-G19</f>
        <v/>
      </c>
      <c r="AO19" s="383">
        <f>AO15</f>
        <v/>
      </c>
      <c r="AP19" s="381">
        <f>AK19/AO15</f>
        <v/>
      </c>
      <c r="AQ19" s="742">
        <f>AO15-AK19</f>
        <v/>
      </c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  <c r="BN19" s="713" t="inlineStr"/>
      <c r="BO19" s="713" t="inlineStr"/>
      <c r="BP19" s="713" t="inlineStr"/>
      <c r="BQ19" s="713" t="inlineStr"/>
    </row>
    <row r="20" outlineLevel="1" ht="14.25" customFormat="1" customHeight="1" s="483">
      <c r="A20" s="729" t="inlineStr">
        <is>
          <t>理财师016</t>
        </is>
      </c>
      <c r="B20" s="729" t="inlineStr">
        <is>
          <t>理财师028</t>
        </is>
      </c>
      <c r="C20" s="729" t="inlineStr">
        <is>
          <t>私人财富管理专家PWA4-5</t>
        </is>
      </c>
      <c r="D20" s="730" t="n">
        <v>46001</v>
      </c>
      <c r="E20" s="730" t="n">
        <v>46182</v>
      </c>
      <c r="F20" s="729" t="n">
        <v>23502</v>
      </c>
      <c r="G20" s="729" t="n">
        <v>337.57095</v>
      </c>
      <c r="H20" s="729" t="n">
        <v>0</v>
      </c>
      <c r="I20" s="729" t="n">
        <v>0</v>
      </c>
      <c r="J20" s="729" t="n">
        <v>0</v>
      </c>
      <c r="K20" s="729">
        <f>SUM(H20:J20)</f>
        <v/>
      </c>
      <c r="L20" s="729" t="n">
        <v>76.3815</v>
      </c>
      <c r="M20" s="729" t="n">
        <v>0</v>
      </c>
      <c r="N20" s="729" t="n">
        <v>19.558102</v>
      </c>
      <c r="O20" s="729">
        <f>SUM(L20:N20)</f>
        <v/>
      </c>
      <c r="P20" s="729" t="n">
        <v>488.8416</v>
      </c>
      <c r="Q20" s="729" t="n">
        <v>0</v>
      </c>
      <c r="R20" s="729" t="n">
        <v>90.34230599999999</v>
      </c>
      <c r="S20" s="729">
        <f>SUM(P20:R20)</f>
        <v/>
      </c>
      <c r="T20" s="729" t="n">
        <v>305.526</v>
      </c>
      <c r="U20" s="729" t="n">
        <v>0</v>
      </c>
      <c r="V20" s="729" t="n">
        <v>0</v>
      </c>
      <c r="W20" s="729">
        <f>SUM(T20:V20)</f>
        <v/>
      </c>
      <c r="X20" s="729" t="n">
        <v>0</v>
      </c>
      <c r="Y20" s="729" t="n">
        <v>0</v>
      </c>
      <c r="Z20" s="729" t="n">
        <v>0</v>
      </c>
      <c r="AA20" s="729">
        <f>SUM(X20:Z20)</f>
        <v/>
      </c>
      <c r="AB20" s="729" t="n">
        <v>0</v>
      </c>
      <c r="AC20" s="729" t="n">
        <v>0</v>
      </c>
      <c r="AD20" s="729" t="n">
        <v>32.04495</v>
      </c>
      <c r="AE20" s="729">
        <f>SUM(AB20:AD20)</f>
        <v/>
      </c>
      <c r="AF20" s="729" t="n">
        <v>0</v>
      </c>
      <c r="AG20" s="729" t="n">
        <v>0</v>
      </c>
      <c r="AH20" s="729" t="n">
        <v>0</v>
      </c>
      <c r="AI20" s="729">
        <f>SUM(AF20:AH20)</f>
        <v/>
      </c>
      <c r="AJ20" s="729" t="n">
        <v>0</v>
      </c>
      <c r="AK20" s="363">
        <f>SUM(K20+O20+S20+W20+AA20+AE20+AI20+AJ20)</f>
        <v/>
      </c>
      <c r="AL20" s="364">
        <f>IF(F20=0,"",K20/(F20/((YEAR(E20)*12+MONTH(E20))-(YEAR(D20)*12+MONTH(D20))+1)))</f>
        <v/>
      </c>
      <c r="AM20" s="364">
        <f>G20/F20</f>
        <v/>
      </c>
      <c r="AN20" s="731">
        <f>F20-G20</f>
        <v/>
      </c>
      <c r="AO20" s="366">
        <f>SUM(F20:F22)</f>
        <v/>
      </c>
      <c r="AP20" s="367">
        <f>AP23</f>
        <v/>
      </c>
      <c r="AQ20" s="745">
        <f>AQ23</f>
        <v/>
      </c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  <c r="BN20" s="706" t="inlineStr"/>
      <c r="BO20" s="706" t="inlineStr"/>
      <c r="BP20" s="706" t="inlineStr"/>
      <c r="BQ20" s="706" t="inlineStr"/>
    </row>
    <row r="21" outlineLevel="1" ht="14.25" customFormat="1" customHeight="1" s="483">
      <c r="A21" s="733" t="n"/>
      <c r="B21" s="734" t="inlineStr">
        <is>
          <t>理财师015</t>
        </is>
      </c>
      <c r="C21" s="734" t="inlineStr">
        <is>
          <t>私人财富管理顾问PWA1-3</t>
        </is>
      </c>
      <c r="D21" s="735" t="n">
        <v>46204</v>
      </c>
      <c r="E21" s="735" t="n">
        <v>46387</v>
      </c>
      <c r="F21" s="734" t="n">
        <v>5335.47</v>
      </c>
      <c r="G21" s="734" t="n">
        <v>2266.691958</v>
      </c>
      <c r="H21" s="734" t="n">
        <v>0</v>
      </c>
      <c r="I21" s="734" t="n">
        <v>0</v>
      </c>
      <c r="J21" s="734" t="n">
        <v>0</v>
      </c>
      <c r="K21" s="734">
        <f>SUM(H21:J21)</f>
        <v/>
      </c>
      <c r="L21" s="734" t="n">
        <v>0</v>
      </c>
      <c r="M21" s="734" t="n">
        <v>2212.9497</v>
      </c>
      <c r="N21" s="734" t="n">
        <v>53.742258</v>
      </c>
      <c r="O21" s="734">
        <f>SUM(L21:N21)</f>
        <v/>
      </c>
      <c r="P21" s="734" t="n">
        <v>42.846788</v>
      </c>
      <c r="Q21" s="734" t="n">
        <v>0</v>
      </c>
      <c r="R21" s="734" t="n">
        <v>56.785916</v>
      </c>
      <c r="S21" s="734">
        <f>SUM(P21:R21)</f>
        <v/>
      </c>
      <c r="T21" s="734" t="n">
        <v>494.115336</v>
      </c>
      <c r="U21" s="734" t="n">
        <v>0</v>
      </c>
      <c r="V21" s="734" t="n">
        <v>46.211266</v>
      </c>
      <c r="W21" s="734">
        <f>SUM(T21:V21)</f>
        <v/>
      </c>
      <c r="X21" s="734" t="n">
        <v>0</v>
      </c>
      <c r="Y21" s="734" t="n">
        <v>0</v>
      </c>
      <c r="Z21" s="734" t="n">
        <v>37.443523</v>
      </c>
      <c r="AA21" s="734">
        <f>SUM(X21:Z21)</f>
        <v/>
      </c>
      <c r="AB21" s="734" t="n">
        <v>198.1746</v>
      </c>
      <c r="AC21" s="734" t="n">
        <v>0</v>
      </c>
      <c r="AD21" s="734" t="n">
        <v>29.640215</v>
      </c>
      <c r="AE21" s="734">
        <f>SUM(AB21:AD21)</f>
        <v/>
      </c>
      <c r="AF21" s="734" t="n">
        <v>0.8469</v>
      </c>
      <c r="AG21" s="734" t="n">
        <v>4558.0158</v>
      </c>
      <c r="AH21" s="734" t="n">
        <v>19.389048</v>
      </c>
      <c r="AI21" s="734">
        <f>SUM(AF21:AH21)</f>
        <v/>
      </c>
      <c r="AJ21" s="734" t="n">
        <v>21.644177</v>
      </c>
      <c r="AK21" s="372">
        <f>SUM(K21+O21+S21+W21+AA21+AE21+AI21+AJ21)</f>
        <v/>
      </c>
      <c r="AL21" s="373">
        <f>IF(F21=0,"",K21/(F21/((YEAR(E21)*12+MONTH(E21))-(YEAR(D21)*12+MONTH(D21))+1)))</f>
        <v/>
      </c>
      <c r="AM21" s="373">
        <f>G21/F21</f>
        <v/>
      </c>
      <c r="AN21" s="736">
        <f>F21-G21</f>
        <v/>
      </c>
      <c r="AO21" s="733" t="n"/>
      <c r="AP21" s="733" t="n"/>
      <c r="AQ21" s="733" t="n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  <c r="BN21" s="706" t="inlineStr"/>
      <c r="BO21" s="706" t="inlineStr"/>
      <c r="BP21" s="706" t="inlineStr"/>
      <c r="BQ21" s="706" t="inlineStr"/>
    </row>
    <row r="22" outlineLevel="1" ht="14.25" customFormat="1" customHeight="1" s="483">
      <c r="A22" s="737" t="n"/>
      <c r="B22" s="734" t="inlineStr">
        <is>
          <t>理财师016</t>
        </is>
      </c>
      <c r="C22" s="734" t="inlineStr">
        <is>
          <t>私人财富管理资深顾问PWA2-5</t>
        </is>
      </c>
      <c r="D22" s="735" t="n">
        <v>46204</v>
      </c>
      <c r="E22" s="735" t="n">
        <v>46387</v>
      </c>
      <c r="F22" s="734" t="n">
        <v>9935.639999999999</v>
      </c>
      <c r="G22" s="734" t="n">
        <v>2946.105646</v>
      </c>
      <c r="H22" s="734" t="n">
        <v>0</v>
      </c>
      <c r="I22" s="734" t="n">
        <v>0</v>
      </c>
      <c r="J22" s="734" t="n">
        <v>0</v>
      </c>
      <c r="K22" s="734">
        <f>SUM(H22:J22)</f>
        <v/>
      </c>
      <c r="L22" s="734" t="n">
        <v>1489.781475</v>
      </c>
      <c r="M22" s="734" t="n">
        <v>1188.904234</v>
      </c>
      <c r="N22" s="734" t="n">
        <v>267.419938</v>
      </c>
      <c r="O22" s="734">
        <f>SUM(L22:N22)</f>
        <v/>
      </c>
      <c r="P22" s="734" t="n">
        <v>1356.21486</v>
      </c>
      <c r="Q22" s="734" t="n">
        <v>0</v>
      </c>
      <c r="R22" s="734" t="n">
        <v>318.635116</v>
      </c>
      <c r="S22" s="734">
        <f>SUM(P22:R22)</f>
        <v/>
      </c>
      <c r="T22" s="734" t="n">
        <v>2200.72469</v>
      </c>
      <c r="U22" s="734" t="n">
        <v>0</v>
      </c>
      <c r="V22" s="734" t="n">
        <v>130.270558</v>
      </c>
      <c r="W22" s="734">
        <f>SUM(T22:V22)</f>
        <v/>
      </c>
      <c r="X22" s="734" t="n">
        <v>1832.902273</v>
      </c>
      <c r="Y22" s="734" t="n">
        <v>0</v>
      </c>
      <c r="Z22" s="734" t="n">
        <v>114.994826</v>
      </c>
      <c r="AA22" s="734">
        <f>SUM(X22:Z22)</f>
        <v/>
      </c>
      <c r="AB22" s="734" t="n">
        <v>220.16475</v>
      </c>
      <c r="AC22" s="734" t="n">
        <v>0</v>
      </c>
      <c r="AD22" s="734" t="n">
        <v>158.674065</v>
      </c>
      <c r="AE22" s="734">
        <f>SUM(AB22:AD22)</f>
        <v/>
      </c>
      <c r="AF22" s="734" t="n">
        <v>3847.561596</v>
      </c>
      <c r="AG22" s="734" t="n">
        <v>0</v>
      </c>
      <c r="AH22" s="734" t="n">
        <v>39.036743</v>
      </c>
      <c r="AI22" s="734">
        <f>SUM(AF22:AH22)</f>
        <v/>
      </c>
      <c r="AJ22" s="734" t="n">
        <v>2540.064804</v>
      </c>
      <c r="AK22" s="372">
        <f>SUM(K22+O22+S22+W22+AA22+AE22+AI22+AJ22)</f>
        <v/>
      </c>
      <c r="AL22" s="373">
        <f>IF(F22=0,"",K22/(F22/((YEAR(E22)*12+MONTH(E22))-(YEAR(D22)*12+MONTH(D22))+1)))</f>
        <v/>
      </c>
      <c r="AM22" s="373">
        <f>G22/F22</f>
        <v/>
      </c>
      <c r="AN22" s="736">
        <f>F22-G22</f>
        <v/>
      </c>
      <c r="AO22" s="737" t="n"/>
      <c r="AP22" s="737" t="n"/>
      <c r="AQ22" s="737" t="n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  <c r="BN22" s="706" t="inlineStr"/>
      <c r="BO22" s="706" t="inlineStr"/>
      <c r="BP22" s="706" t="inlineStr"/>
      <c r="BQ22" s="706" t="inlineStr"/>
    </row>
    <row r="23" outlineLevel="1" ht="14.25" customFormat="1" customHeight="1" s="483">
      <c r="A23" s="738" t="inlineStr">
        <is>
          <t>合计</t>
        </is>
      </c>
      <c r="B23" s="739" t="n"/>
      <c r="C23" s="739" t="n"/>
      <c r="D23" s="739" t="n"/>
      <c r="E23" s="740" t="n"/>
      <c r="F23" s="379">
        <f>SUM(F20:F22)</f>
        <v/>
      </c>
      <c r="G23" s="738">
        <f>SUM(G20:G22)</f>
        <v/>
      </c>
      <c r="H23" s="738">
        <f>SUM(H20:H22)</f>
        <v/>
      </c>
      <c r="I23" s="738">
        <f>SUM(I20:I22)</f>
        <v/>
      </c>
      <c r="J23" s="738">
        <f>SUM(J20:J22)</f>
        <v/>
      </c>
      <c r="K23" s="738">
        <f>SUM(K20:K22)</f>
        <v/>
      </c>
      <c r="L23" s="738">
        <f>SUM(L20:L22)</f>
        <v/>
      </c>
      <c r="M23" s="738">
        <f>SUM(M20:M22)</f>
        <v/>
      </c>
      <c r="N23" s="738">
        <f>SUM(N20:N22)</f>
        <v/>
      </c>
      <c r="O23" s="738">
        <f>SUM(O20:O22)</f>
        <v/>
      </c>
      <c r="P23" s="738">
        <f>SUM(P20:P22)</f>
        <v/>
      </c>
      <c r="Q23" s="738">
        <f>SUM(Q20:Q22)</f>
        <v/>
      </c>
      <c r="R23" s="738">
        <f>SUM(R20:R22)</f>
        <v/>
      </c>
      <c r="S23" s="738">
        <f>SUM(S20:S22)</f>
        <v/>
      </c>
      <c r="T23" s="738">
        <f>SUM(T20:T22)</f>
        <v/>
      </c>
      <c r="U23" s="738">
        <f>SUM(U20:U22)</f>
        <v/>
      </c>
      <c r="V23" s="738">
        <f>SUM(V20:V22)</f>
        <v/>
      </c>
      <c r="W23" s="738">
        <f>SUM(W20:W22)</f>
        <v/>
      </c>
      <c r="X23" s="738">
        <f>SUM(X20:X22)</f>
        <v/>
      </c>
      <c r="Y23" s="738">
        <f>SUM(Y20:Y22)</f>
        <v/>
      </c>
      <c r="Z23" s="738">
        <f>SUM(Z20:Z22)</f>
        <v/>
      </c>
      <c r="AA23" s="738">
        <f>SUM(AA20:AA22)</f>
        <v/>
      </c>
      <c r="AB23" s="738">
        <f>SUM(AB20:AB22)</f>
        <v/>
      </c>
      <c r="AC23" s="738">
        <f>SUM(AC20:AC22)</f>
        <v/>
      </c>
      <c r="AD23" s="738">
        <f>SUM(AD20:AD22)</f>
        <v/>
      </c>
      <c r="AE23" s="738">
        <f>SUM(AE20:AE22)</f>
        <v/>
      </c>
      <c r="AF23" s="738">
        <f>SUM(AF20:AF22)</f>
        <v/>
      </c>
      <c r="AG23" s="738">
        <f>SUM(AG20:AG22)</f>
        <v/>
      </c>
      <c r="AH23" s="738">
        <f>SUM(AH20:AH22)</f>
        <v/>
      </c>
      <c r="AI23" s="738">
        <f>SUM(AI20:AI22)</f>
        <v/>
      </c>
      <c r="AJ23" s="738">
        <f>SUM(AJ20:AJ22)</f>
        <v/>
      </c>
      <c r="AK23" s="379">
        <f>SUM(K23+O23+S23+W23+AA23+AE23+AI23+AJ23)</f>
        <v/>
      </c>
      <c r="AL23" s="381">
        <f>IF(F23=0,"",K23/(F23/((YEAR(E20)*12+MONTH(E20))-(YEAR(D20)*12+MONTH(D20))+1)))</f>
        <v/>
      </c>
      <c r="AM23" s="382">
        <f>G23/F23</f>
        <v/>
      </c>
      <c r="AN23" s="743">
        <f>F23-G23</f>
        <v/>
      </c>
      <c r="AO23" s="383">
        <f>AO20</f>
        <v/>
      </c>
      <c r="AP23" s="381">
        <f>AK23/AO20</f>
        <v/>
      </c>
      <c r="AQ23" s="742">
        <f>AO20-AK23</f>
        <v/>
      </c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  <c r="BN23" s="713" t="inlineStr"/>
      <c r="BO23" s="713" t="inlineStr"/>
      <c r="BP23" s="713" t="inlineStr"/>
      <c r="BQ23" s="713" t="inlineStr"/>
    </row>
    <row r="24" outlineLevel="1" ht="14.25" customFormat="1" customHeight="1" s="483">
      <c r="A24" s="729" t="inlineStr">
        <is>
          <t>理财师002</t>
        </is>
      </c>
      <c r="B24" s="729" t="inlineStr">
        <is>
          <t>理财师001</t>
        </is>
      </c>
      <c r="C24" s="729" t="inlineStr">
        <is>
          <t>私人财富管理顾问PWA1-3</t>
        </is>
      </c>
      <c r="D24" s="730" t="n">
        <v>46204</v>
      </c>
      <c r="E24" s="730" t="n">
        <v>46387</v>
      </c>
      <c r="F24" s="729" t="n">
        <v>5423.67</v>
      </c>
      <c r="G24" s="729" t="n">
        <v>1010.630821</v>
      </c>
      <c r="H24" s="729" t="n">
        <v>161.16048</v>
      </c>
      <c r="I24" s="729" t="n">
        <v>0</v>
      </c>
      <c r="J24" s="729" t="n">
        <v>0</v>
      </c>
      <c r="K24" s="729">
        <f>SUM(H24:J24)</f>
        <v/>
      </c>
      <c r="L24" s="729" t="n">
        <v>164.672952</v>
      </c>
      <c r="M24" s="729" t="n">
        <v>0</v>
      </c>
      <c r="N24" s="729" t="n">
        <v>684.797389</v>
      </c>
      <c r="O24" s="729">
        <f>SUM(L24:N24)</f>
        <v/>
      </c>
      <c r="P24" s="729" t="n">
        <v>1035.385146</v>
      </c>
      <c r="Q24" s="729" t="n">
        <v>0</v>
      </c>
      <c r="R24" s="729" t="n">
        <v>717.905769</v>
      </c>
      <c r="S24" s="729">
        <f>SUM(P24:R24)</f>
        <v/>
      </c>
      <c r="T24" s="729" t="n">
        <v>121.826127</v>
      </c>
      <c r="U24" s="729" t="n">
        <v>0</v>
      </c>
      <c r="V24" s="729" t="n">
        <v>638.531805</v>
      </c>
      <c r="W24" s="729">
        <f>SUM(T24:V24)</f>
        <v/>
      </c>
      <c r="X24" s="729" t="n">
        <v>88.54274700000001</v>
      </c>
      <c r="Y24" s="729" t="n">
        <v>0</v>
      </c>
      <c r="Z24" s="729" t="n">
        <v>616.124389</v>
      </c>
      <c r="AA24" s="729">
        <f>SUM(X24:Z24)</f>
        <v/>
      </c>
      <c r="AB24" s="729" t="n">
        <v>50.830377</v>
      </c>
      <c r="AC24" s="729" t="n">
        <v>0</v>
      </c>
      <c r="AD24" s="729" t="n">
        <v>791.318135</v>
      </c>
      <c r="AE24" s="729">
        <f>SUM(AB24:AD24)</f>
        <v/>
      </c>
      <c r="AF24" s="729" t="n">
        <v>153.11976</v>
      </c>
      <c r="AG24" s="729" t="n">
        <v>0</v>
      </c>
      <c r="AH24" s="729" t="n">
        <v>560.548117</v>
      </c>
      <c r="AI24" s="729">
        <f>SUM(AF24:AH24)</f>
        <v/>
      </c>
      <c r="AJ24" s="729" t="n">
        <v>2029.518541</v>
      </c>
      <c r="AK24" s="744">
        <f>SUM(K24+O24+S24+W24+AA24+AE24+AI24+AJ24)</f>
        <v/>
      </c>
      <c r="AL24" s="364">
        <f>IF(F24=0,"",K24/(F24/((YEAR(E24)*12+MONTH(E24))-(YEAR(D24)*12+MONTH(D24))+1)))</f>
        <v/>
      </c>
      <c r="AM24" s="364">
        <f>G24/F24</f>
        <v/>
      </c>
      <c r="AN24" s="744">
        <f>F24-G24</f>
        <v/>
      </c>
      <c r="AO24" s="366">
        <f>SUM(F24:F26)</f>
        <v/>
      </c>
      <c r="AP24" s="367">
        <f>AP27</f>
        <v/>
      </c>
      <c r="AQ24" s="745">
        <f>AQ27</f>
        <v/>
      </c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  <c r="BN24" s="706" t="inlineStr"/>
      <c r="BO24" s="706" t="inlineStr"/>
      <c r="BP24" s="706" t="inlineStr"/>
      <c r="BQ24" s="706" t="inlineStr"/>
    </row>
    <row r="25" outlineLevel="1" ht="14.25" customFormat="1" customHeight="1" s="483">
      <c r="A25" s="733" t="n"/>
      <c r="B25" s="734" t="inlineStr">
        <is>
          <t>理财师027</t>
        </is>
      </c>
      <c r="C25" s="734" t="inlineStr">
        <is>
          <t>私人财富管理顾问PWA1-3</t>
        </is>
      </c>
      <c r="D25" s="735" t="n">
        <v>46125</v>
      </c>
      <c r="E25" s="735" t="n">
        <v>46326</v>
      </c>
      <c r="F25" s="734" t="n">
        <v>4774.516274</v>
      </c>
      <c r="G25" s="734" t="n">
        <v>4823.090327</v>
      </c>
      <c r="H25" s="734" t="n">
        <v>684.1535280000001</v>
      </c>
      <c r="I25" s="734" t="n">
        <v>3685.0554</v>
      </c>
      <c r="J25" s="734" t="n">
        <v>0</v>
      </c>
      <c r="K25" s="734">
        <f>SUM(H25:J25)</f>
        <v/>
      </c>
      <c r="L25" s="734" t="n">
        <v>106.8132</v>
      </c>
      <c r="M25" s="734" t="n">
        <v>0</v>
      </c>
      <c r="N25" s="734" t="n">
        <v>29.433754</v>
      </c>
      <c r="O25" s="734">
        <f>SUM(L25:N25)</f>
        <v/>
      </c>
      <c r="P25" s="734" t="n">
        <v>63.103793</v>
      </c>
      <c r="Q25" s="734" t="n">
        <v>0</v>
      </c>
      <c r="R25" s="734" t="n">
        <v>22.083459</v>
      </c>
      <c r="S25" s="734">
        <f>SUM(P25:R25)</f>
        <v/>
      </c>
      <c r="T25" s="734" t="n">
        <v>63.1797</v>
      </c>
      <c r="U25" s="734" t="n">
        <v>0</v>
      </c>
      <c r="V25" s="734" t="n">
        <v>19.121258</v>
      </c>
      <c r="W25" s="734">
        <f>SUM(T25:V25)</f>
        <v/>
      </c>
      <c r="X25" s="734" t="n">
        <v>135.387173</v>
      </c>
      <c r="Y25" s="734" t="n">
        <v>3685.0554</v>
      </c>
      <c r="Z25" s="734" t="n">
        <v>14.759064</v>
      </c>
      <c r="AA25" s="734">
        <f>SUM(X25:Z25)</f>
        <v/>
      </c>
      <c r="AB25" s="734" t="n">
        <v>0</v>
      </c>
      <c r="AC25" s="734" t="n">
        <v>0</v>
      </c>
      <c r="AD25" s="734" t="n">
        <v>2.181886</v>
      </c>
      <c r="AE25" s="734">
        <f>SUM(AB25:AD25)</f>
        <v/>
      </c>
      <c r="AF25" s="734" t="n">
        <v>0</v>
      </c>
      <c r="AG25" s="734" t="n">
        <v>0</v>
      </c>
      <c r="AH25" s="734" t="n">
        <v>1.481485</v>
      </c>
      <c r="AI25" s="734">
        <f>SUM(AF25:AH25)</f>
        <v/>
      </c>
      <c r="AJ25" s="734" t="n">
        <v>66.75825</v>
      </c>
      <c r="AK25" s="372">
        <f>SUM(K25+O25+S25+W25+AA25+AE25+AI25+AJ25)</f>
        <v/>
      </c>
      <c r="AL25" s="373">
        <f>IF(F25=0,"",K25/(F25/((YEAR(E25)*12+MONTH(E25))-(YEAR(D25)*12+MONTH(D25))+1)))</f>
        <v/>
      </c>
      <c r="AM25" s="373">
        <f>G25/F25</f>
        <v/>
      </c>
      <c r="AN25" s="736">
        <f>F25-G25</f>
        <v/>
      </c>
      <c r="AO25" s="733" t="n"/>
      <c r="AP25" s="733" t="n"/>
      <c r="AQ25" s="733" t="n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  <c r="BN25" s="706" t="inlineStr"/>
      <c r="BO25" s="706" t="inlineStr"/>
      <c r="BP25" s="706" t="inlineStr"/>
      <c r="BQ25" s="706" t="inlineStr"/>
    </row>
    <row r="26" outlineLevel="1" ht="14.25" customFormat="1" customHeight="1" s="483">
      <c r="A26" s="737" t="n"/>
      <c r="B26" s="734" t="inlineStr">
        <is>
          <t>理财师002</t>
        </is>
      </c>
      <c r="C26" s="734" t="inlineStr">
        <is>
          <t>首席私人财富管理专家PWA5-1</t>
        </is>
      </c>
      <c r="D26" s="735" t="n">
        <v>46204</v>
      </c>
      <c r="E26" s="735" t="n">
        <v>46387</v>
      </c>
      <c r="F26" s="734" t="n">
        <v>28479.5</v>
      </c>
      <c r="G26" s="734" t="n">
        <v>22542.697662</v>
      </c>
      <c r="H26" s="734" t="n">
        <v>19144.754352</v>
      </c>
      <c r="I26" s="734" t="n">
        <v>0</v>
      </c>
      <c r="J26" s="734" t="n">
        <v>0</v>
      </c>
      <c r="K26" s="734">
        <f>SUM(H26:J26)</f>
        <v/>
      </c>
      <c r="L26" s="734" t="n">
        <v>3169.128782</v>
      </c>
      <c r="M26" s="734" t="n">
        <v>0</v>
      </c>
      <c r="N26" s="734" t="n">
        <v>228.814528</v>
      </c>
      <c r="O26" s="734">
        <f>SUM(L26:N26)</f>
        <v/>
      </c>
      <c r="P26" s="734" t="n">
        <v>662.537684</v>
      </c>
      <c r="Q26" s="734" t="n">
        <v>0</v>
      </c>
      <c r="R26" s="734" t="n">
        <v>353.318319</v>
      </c>
      <c r="S26" s="734">
        <f>SUM(P26:R26)</f>
        <v/>
      </c>
      <c r="T26" s="734" t="n">
        <v>2227.154433</v>
      </c>
      <c r="U26" s="734" t="n">
        <v>0</v>
      </c>
      <c r="V26" s="734" t="n">
        <v>234.231608</v>
      </c>
      <c r="W26" s="734">
        <f>SUM(T26:V26)</f>
        <v/>
      </c>
      <c r="X26" s="734" t="n">
        <v>-6272.609198</v>
      </c>
      <c r="Y26" s="734" t="n">
        <v>0</v>
      </c>
      <c r="Z26" s="734" t="n">
        <v>210.102519</v>
      </c>
      <c r="AA26" s="734">
        <f>SUM(X26:Z26)</f>
        <v/>
      </c>
      <c r="AB26" s="734" t="n">
        <v>2164.476574</v>
      </c>
      <c r="AC26" s="734" t="n">
        <v>0</v>
      </c>
      <c r="AD26" s="734" t="n">
        <v>365.27682</v>
      </c>
      <c r="AE26" s="734">
        <f>SUM(AB26:AD26)</f>
        <v/>
      </c>
      <c r="AF26" s="734" t="n">
        <v>2346.171162</v>
      </c>
      <c r="AG26" s="734" t="n">
        <v>0</v>
      </c>
      <c r="AH26" s="734" t="n">
        <v>187.41719</v>
      </c>
      <c r="AI26" s="734">
        <f>SUM(AF26:AH26)</f>
        <v/>
      </c>
      <c r="AJ26" s="734" t="n">
        <v>24919.495747</v>
      </c>
      <c r="AK26" s="372">
        <f>SUM(K26+O26+S26+W26+AA26+AE26+AI26+AJ26)</f>
        <v/>
      </c>
      <c r="AL26" s="373">
        <f>IF(F26=0,"",K26/(F26/((YEAR(E26)*12+MONTH(E26))-(YEAR(D26)*12+MONTH(D26))+1)))</f>
        <v/>
      </c>
      <c r="AM26" s="373">
        <f>G26/F26</f>
        <v/>
      </c>
      <c r="AN26" s="736">
        <f>F26-G26</f>
        <v/>
      </c>
      <c r="AO26" s="737" t="n"/>
      <c r="AP26" s="737" t="n"/>
      <c r="AQ26" s="737" t="n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  <c r="BN26" s="706" t="inlineStr"/>
      <c r="BO26" s="706" t="inlineStr"/>
      <c r="BP26" s="706" t="inlineStr"/>
      <c r="BQ26" s="706" t="inlineStr"/>
    </row>
    <row r="27" outlineLevel="1" ht="14.25" customFormat="1" customHeight="1" s="483">
      <c r="A27" s="738" t="inlineStr">
        <is>
          <t>合计</t>
        </is>
      </c>
      <c r="B27" s="739" t="n"/>
      <c r="C27" s="739" t="n"/>
      <c r="D27" s="739" t="n"/>
      <c r="E27" s="740" t="n"/>
      <c r="F27" s="379">
        <f>SUM(F24:F26)</f>
        <v/>
      </c>
      <c r="G27" s="738">
        <f>SUM(G24:G26)</f>
        <v/>
      </c>
      <c r="H27" s="738">
        <f>SUM(H24:H26)</f>
        <v/>
      </c>
      <c r="I27" s="738">
        <f>SUM(I24:I26)</f>
        <v/>
      </c>
      <c r="J27" s="738">
        <f>SUM(J24:J26)</f>
        <v/>
      </c>
      <c r="K27" s="738">
        <f>SUM(K24:K26)</f>
        <v/>
      </c>
      <c r="L27" s="738">
        <f>SUM(L24:L26)</f>
        <v/>
      </c>
      <c r="M27" s="738">
        <f>SUM(M24:M26)</f>
        <v/>
      </c>
      <c r="N27" s="738">
        <f>SUM(N24:N26)</f>
        <v/>
      </c>
      <c r="O27" s="738">
        <f>SUM(O24:O26)</f>
        <v/>
      </c>
      <c r="P27" s="738">
        <f>SUM(P24:P26)</f>
        <v/>
      </c>
      <c r="Q27" s="738">
        <f>SUM(Q24:Q26)</f>
        <v/>
      </c>
      <c r="R27" s="738">
        <f>SUM(R24:R26)</f>
        <v/>
      </c>
      <c r="S27" s="738">
        <f>SUM(S24:S26)</f>
        <v/>
      </c>
      <c r="T27" s="738">
        <f>SUM(T24:T26)</f>
        <v/>
      </c>
      <c r="U27" s="738">
        <f>SUM(U24:U26)</f>
        <v/>
      </c>
      <c r="V27" s="738">
        <f>SUM(V24:V26)</f>
        <v/>
      </c>
      <c r="W27" s="738">
        <f>SUM(W24:W26)</f>
        <v/>
      </c>
      <c r="X27" s="738">
        <f>SUM(X24:X26)</f>
        <v/>
      </c>
      <c r="Y27" s="738">
        <f>SUM(Y24:Y26)</f>
        <v/>
      </c>
      <c r="Z27" s="738">
        <f>SUM(Z24:Z26)</f>
        <v/>
      </c>
      <c r="AA27" s="738">
        <f>SUM(AA24:AA26)</f>
        <v/>
      </c>
      <c r="AB27" s="738">
        <f>SUM(AB24:AB26)</f>
        <v/>
      </c>
      <c r="AC27" s="738">
        <f>SUM(AC24:AC26)</f>
        <v/>
      </c>
      <c r="AD27" s="738">
        <f>SUM(AD24:AD26)</f>
        <v/>
      </c>
      <c r="AE27" s="738">
        <f>SUM(AE24:AE26)</f>
        <v/>
      </c>
      <c r="AF27" s="738">
        <f>SUM(AF24:AF26)</f>
        <v/>
      </c>
      <c r="AG27" s="738">
        <f>SUM(AG24:AG26)</f>
        <v/>
      </c>
      <c r="AH27" s="738">
        <f>SUM(AH24:AH26)</f>
        <v/>
      </c>
      <c r="AI27" s="738">
        <f>SUM(AI24:AI26)</f>
        <v/>
      </c>
      <c r="AJ27" s="738">
        <f>SUM(AJ24:AJ26)</f>
        <v/>
      </c>
      <c r="AK27" s="379">
        <f>SUM(K27+O27+S27+W27+AA27+AE27+AI27+AJ27)</f>
        <v/>
      </c>
      <c r="AL27" s="381">
        <f>IF(F27=0,"",K27/(F27/((YEAR(E24)*12+MONTH(E24))-(YEAR(D24)*12+MONTH(D24))+1)))</f>
        <v/>
      </c>
      <c r="AM27" s="382">
        <f>G27/F27</f>
        <v/>
      </c>
      <c r="AN27" s="743">
        <f>F27-G27</f>
        <v/>
      </c>
      <c r="AO27" s="383">
        <f>AO24</f>
        <v/>
      </c>
      <c r="AP27" s="381">
        <f>AK27/AO24</f>
        <v/>
      </c>
      <c r="AQ27" s="742">
        <f>AO24-AK27</f>
        <v/>
      </c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  <c r="BN27" s="713" t="inlineStr"/>
      <c r="BO27" s="713" t="inlineStr"/>
      <c r="BP27" s="713" t="inlineStr"/>
      <c r="BQ27" s="713" t="inlineStr"/>
    </row>
    <row r="28" outlineLevel="1" ht="14.25" customFormat="1" customHeight="1" s="483">
      <c r="A28" s="729" t="inlineStr">
        <is>
          <t>理财师009</t>
        </is>
      </c>
      <c r="B28" s="729" t="inlineStr">
        <is>
          <t>理财师009</t>
        </is>
      </c>
      <c r="C28" s="729" t="inlineStr">
        <is>
          <t>私人财富管理专家PWA4-3</t>
        </is>
      </c>
      <c r="D28" s="730" t="n">
        <v>46204</v>
      </c>
      <c r="E28" s="730" t="n">
        <v>46387</v>
      </c>
      <c r="F28" s="729" t="n">
        <v>32232.2</v>
      </c>
      <c r="G28" s="729" t="n">
        <v>5421.542564</v>
      </c>
      <c r="H28" s="729" t="n">
        <v>0</v>
      </c>
      <c r="I28" s="729" t="n">
        <v>0</v>
      </c>
      <c r="J28" s="729" t="n">
        <v>0</v>
      </c>
      <c r="K28" s="729">
        <f>SUM(H28:J28)</f>
        <v/>
      </c>
      <c r="L28" s="729" t="n">
        <v>4913.9454</v>
      </c>
      <c r="M28" s="729" t="n">
        <v>0</v>
      </c>
      <c r="N28" s="729" t="n">
        <v>507.597164</v>
      </c>
      <c r="O28" s="729">
        <f>SUM(L28:N28)</f>
        <v/>
      </c>
      <c r="P28" s="729" t="n">
        <v>2106.18954</v>
      </c>
      <c r="Q28" s="729" t="n">
        <v>2057.0004</v>
      </c>
      <c r="R28" s="729" t="n">
        <v>965.0387030000001</v>
      </c>
      <c r="S28" s="729">
        <f>SUM(P28:R28)</f>
        <v/>
      </c>
      <c r="T28" s="729" t="n">
        <v>536.6088</v>
      </c>
      <c r="U28" s="729" t="n">
        <v>0</v>
      </c>
      <c r="V28" s="729" t="n">
        <v>722.01536</v>
      </c>
      <c r="W28" s="729">
        <f>SUM(T28:V28)</f>
        <v/>
      </c>
      <c r="X28" s="729" t="n">
        <v>1351.820914</v>
      </c>
      <c r="Y28" s="729" t="n">
        <v>20570.004</v>
      </c>
      <c r="Z28" s="729" t="n">
        <v>668.034433</v>
      </c>
      <c r="AA28" s="729">
        <f>SUM(X28:Z28)</f>
        <v/>
      </c>
      <c r="AB28" s="729" t="n">
        <v>3314.503374</v>
      </c>
      <c r="AC28" s="729" t="n">
        <v>0</v>
      </c>
      <c r="AD28" s="729" t="n">
        <v>713.569709</v>
      </c>
      <c r="AE28" s="729">
        <f>SUM(AB28:AD28)</f>
        <v/>
      </c>
      <c r="AF28" s="729" t="n">
        <v>4769.379014</v>
      </c>
      <c r="AG28" s="729" t="n">
        <v>0</v>
      </c>
      <c r="AH28" s="729" t="n">
        <v>228.136442</v>
      </c>
      <c r="AI28" s="729">
        <f>SUM(AF28:AH28)</f>
        <v/>
      </c>
      <c r="AJ28" s="729" t="n">
        <v>1069.968142</v>
      </c>
      <c r="AK28" s="744">
        <f>SUM(K28+O28+S28+W28+AA28+AE28+AI28+AJ28)</f>
        <v/>
      </c>
      <c r="AL28" s="364">
        <f>IF(F28=0,"",K28/(F28/((YEAR(E28)*12+MONTH(E28))-(YEAR(D28)*12+MONTH(D28))+1)))</f>
        <v/>
      </c>
      <c r="AM28" s="364">
        <f>G28/F28</f>
        <v/>
      </c>
      <c r="AN28" s="744">
        <f>F28-G28</f>
        <v/>
      </c>
      <c r="AO28" s="366">
        <f>SUM(F28:F29)</f>
        <v/>
      </c>
      <c r="AP28" s="367">
        <f>AP30</f>
        <v/>
      </c>
      <c r="AQ28" s="745">
        <f>AQ30</f>
        <v/>
      </c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  <c r="BN28" s="706" t="inlineStr"/>
      <c r="BO28" s="706" t="inlineStr"/>
      <c r="BP28" s="706" t="inlineStr"/>
      <c r="BQ28" s="706" t="inlineStr"/>
    </row>
    <row r="29" outlineLevel="1" ht="14.25" customFormat="1" customHeight="1" s="483">
      <c r="A29" s="737" t="n"/>
      <c r="B29" s="734" t="inlineStr">
        <is>
          <t>理财师010</t>
        </is>
      </c>
      <c r="C29" s="734" t="inlineStr">
        <is>
          <t>私人财富管理资深顾问PWA2-4</t>
        </is>
      </c>
      <c r="D29" s="735" t="n">
        <v>46204</v>
      </c>
      <c r="E29" s="735" t="n">
        <v>46387</v>
      </c>
      <c r="F29" s="734" t="n">
        <v>11764.72</v>
      </c>
      <c r="G29" s="734" t="n">
        <v>5643.320621</v>
      </c>
      <c r="H29" s="734" t="n">
        <v>2375.834993</v>
      </c>
      <c r="I29" s="734" t="n">
        <v>0</v>
      </c>
      <c r="J29" s="734" t="n">
        <v>0</v>
      </c>
      <c r="K29" s="734">
        <f>SUM(H29:J29)</f>
        <v/>
      </c>
      <c r="L29" s="734" t="n">
        <v>305.355336</v>
      </c>
      <c r="M29" s="734" t="n">
        <v>2729.2122</v>
      </c>
      <c r="N29" s="734" t="n">
        <v>232.918092</v>
      </c>
      <c r="O29" s="734">
        <f>SUM(L29:N29)</f>
        <v/>
      </c>
      <c r="P29" s="734" t="n">
        <v>520.393558</v>
      </c>
      <c r="Q29" s="734" t="n">
        <v>1637.52732</v>
      </c>
      <c r="R29" s="734" t="n">
        <v>284.729185</v>
      </c>
      <c r="S29" s="734">
        <f>SUM(P29:R29)</f>
        <v/>
      </c>
      <c r="T29" s="734" t="n">
        <v>994.77807</v>
      </c>
      <c r="U29" s="734" t="n">
        <v>0</v>
      </c>
      <c r="V29" s="734" t="n">
        <v>185.511372</v>
      </c>
      <c r="W29" s="734">
        <f>SUM(T29:V29)</f>
        <v/>
      </c>
      <c r="X29" s="734" t="n">
        <v>949.2912</v>
      </c>
      <c r="Y29" s="734" t="n">
        <v>0</v>
      </c>
      <c r="Z29" s="734" t="n">
        <v>144.291309</v>
      </c>
      <c r="AA29" s="734">
        <f>SUM(X29:Z29)</f>
        <v/>
      </c>
      <c r="AB29" s="734" t="n">
        <v>2158.292651</v>
      </c>
      <c r="AC29" s="734" t="n">
        <v>8187.6366</v>
      </c>
      <c r="AD29" s="734" t="n">
        <v>194.447373</v>
      </c>
      <c r="AE29" s="734">
        <f>SUM(AB29:AD29)</f>
        <v/>
      </c>
      <c r="AF29" s="734" t="n">
        <v>474.6456</v>
      </c>
      <c r="AG29" s="734" t="n">
        <v>0</v>
      </c>
      <c r="AH29" s="734" t="n">
        <v>122.035472</v>
      </c>
      <c r="AI29" s="734">
        <f>SUM(AF29:AH29)</f>
        <v/>
      </c>
      <c r="AJ29" s="734" t="n">
        <v>1144.784607</v>
      </c>
      <c r="AK29" s="372">
        <f>SUM(K29+O29+S29+W29+AA29+AE29+AI29+AJ29)</f>
        <v/>
      </c>
      <c r="AL29" s="373">
        <f>IF(F29=0,"",K29/(F29/((YEAR(E29)*12+MONTH(E29))-(YEAR(D29)*12+MONTH(D29))+1)))</f>
        <v/>
      </c>
      <c r="AM29" s="373">
        <f>G29/F29</f>
        <v/>
      </c>
      <c r="AN29" s="736">
        <f>F29-G29</f>
        <v/>
      </c>
      <c r="AO29" s="737" t="n"/>
      <c r="AP29" s="737" t="n"/>
      <c r="AQ29" s="737" t="n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  <c r="BN29" s="706" t="inlineStr"/>
      <c r="BO29" s="706" t="inlineStr"/>
      <c r="BP29" s="706" t="inlineStr"/>
      <c r="BQ29" s="706" t="inlineStr"/>
    </row>
    <row r="30" outlineLevel="1" ht="14.25" customFormat="1" customHeight="1" s="483">
      <c r="A30" s="738" t="inlineStr">
        <is>
          <t>合计</t>
        </is>
      </c>
      <c r="B30" s="739" t="n"/>
      <c r="C30" s="739" t="n"/>
      <c r="D30" s="739" t="n"/>
      <c r="E30" s="740" t="n"/>
      <c r="F30" s="379">
        <f>SUM(F28:F29)</f>
        <v/>
      </c>
      <c r="G30" s="738">
        <f>SUM(G28:G29)</f>
        <v/>
      </c>
      <c r="H30" s="738">
        <f>SUM(H28:H29)</f>
        <v/>
      </c>
      <c r="I30" s="738">
        <f>SUM(I28:I29)</f>
        <v/>
      </c>
      <c r="J30" s="738">
        <f>SUM(J28:J29)</f>
        <v/>
      </c>
      <c r="K30" s="738">
        <f>SUM(K28:K29)</f>
        <v/>
      </c>
      <c r="L30" s="738">
        <f>SUM(L28:L29)</f>
        <v/>
      </c>
      <c r="M30" s="738">
        <f>SUM(M28:M29)</f>
        <v/>
      </c>
      <c r="N30" s="738">
        <f>SUM(N28:N29)</f>
        <v/>
      </c>
      <c r="O30" s="738">
        <f>SUM(O28:O29)</f>
        <v/>
      </c>
      <c r="P30" s="738">
        <f>SUM(P28:P29)</f>
        <v/>
      </c>
      <c r="Q30" s="738">
        <f>SUM(Q28:Q29)</f>
        <v/>
      </c>
      <c r="R30" s="738">
        <f>SUM(R28:R29)</f>
        <v/>
      </c>
      <c r="S30" s="738">
        <f>SUM(S28:S29)</f>
        <v/>
      </c>
      <c r="T30" s="738">
        <f>SUM(T28:T29)</f>
        <v/>
      </c>
      <c r="U30" s="738">
        <f>SUM(U28:U29)</f>
        <v/>
      </c>
      <c r="V30" s="738">
        <f>SUM(V28:V29)</f>
        <v/>
      </c>
      <c r="W30" s="738">
        <f>SUM(W28:W29)</f>
        <v/>
      </c>
      <c r="X30" s="738">
        <f>SUM(X28:X29)</f>
        <v/>
      </c>
      <c r="Y30" s="738">
        <f>SUM(Y28:Y29)</f>
        <v/>
      </c>
      <c r="Z30" s="738">
        <f>SUM(Z28:Z29)</f>
        <v/>
      </c>
      <c r="AA30" s="738">
        <f>SUM(AA28:AA29)</f>
        <v/>
      </c>
      <c r="AB30" s="738">
        <f>SUM(AB28:AB29)</f>
        <v/>
      </c>
      <c r="AC30" s="738">
        <f>SUM(AC28:AC29)</f>
        <v/>
      </c>
      <c r="AD30" s="738">
        <f>SUM(AD28:AD29)</f>
        <v/>
      </c>
      <c r="AE30" s="738">
        <f>SUM(AE28:AE29)</f>
        <v/>
      </c>
      <c r="AF30" s="738">
        <f>SUM(AF28:AF29)</f>
        <v/>
      </c>
      <c r="AG30" s="738">
        <f>SUM(AG28:AG29)</f>
        <v/>
      </c>
      <c r="AH30" s="738">
        <f>SUM(AH28:AH29)</f>
        <v/>
      </c>
      <c r="AI30" s="738">
        <f>SUM(AI28:AI29)</f>
        <v/>
      </c>
      <c r="AJ30" s="738">
        <f>SUM(AJ28:AJ29)</f>
        <v/>
      </c>
      <c r="AK30" s="379">
        <f>SUM(K30+O30+S30+W30+AA30+AE30+AI30+AJ30)</f>
        <v/>
      </c>
      <c r="AL30" s="381">
        <f>IF(F30=0,"",K30/(F30/((YEAR(E28)*12+MONTH(E28))-(YEAR(D28)*12+MONTH(D28))+1)))</f>
        <v/>
      </c>
      <c r="AM30" s="382">
        <f>G30/F30</f>
        <v/>
      </c>
      <c r="AN30" s="743">
        <f>F30-G30</f>
        <v/>
      </c>
      <c r="AO30" s="383">
        <f>AO28</f>
        <v/>
      </c>
      <c r="AP30" s="381">
        <f>AK30/AO28</f>
        <v/>
      </c>
      <c r="AQ30" s="742">
        <f>AO28-AK30</f>
        <v/>
      </c>
      <c r="AR30" s="713" t="inlineStr"/>
      <c r="AS30" s="713" t="inlineStr"/>
      <c r="AT30" s="713" t="inlineStr"/>
      <c r="AU30" s="713" t="inlineStr"/>
      <c r="AV30" s="713" t="inlineStr"/>
      <c r="AW30" s="713" t="inlineStr"/>
      <c r="AX30" s="713" t="inlineStr"/>
      <c r="AY30" s="713" t="inlineStr"/>
      <c r="AZ30" s="713" t="inlineStr"/>
      <c r="BA30" s="713" t="inlineStr"/>
      <c r="BB30" s="713" t="inlineStr"/>
      <c r="BC30" s="713" t="inlineStr"/>
      <c r="BD30" s="713" t="inlineStr"/>
      <c r="BE30" s="713" t="inlineStr"/>
      <c r="BF30" s="713" t="inlineStr"/>
      <c r="BG30" s="713" t="inlineStr"/>
      <c r="BH30" s="713" t="inlineStr"/>
      <c r="BI30" s="713" t="inlineStr"/>
      <c r="BJ30" s="713" t="inlineStr"/>
      <c r="BK30" s="713" t="inlineStr"/>
      <c r="BL30" s="713" t="inlineStr"/>
      <c r="BM30" s="713" t="inlineStr"/>
      <c r="BN30" s="713" t="inlineStr"/>
      <c r="BO30" s="713" t="inlineStr"/>
      <c r="BP30" s="713" t="inlineStr"/>
      <c r="BQ30" s="713" t="inlineStr"/>
    </row>
    <row r="31" outlineLevel="1" ht="14.25" customFormat="1" customHeight="1" s="483">
      <c r="A31" s="729" t="inlineStr">
        <is>
          <t>理财师020</t>
        </is>
      </c>
      <c r="B31" s="729" t="inlineStr">
        <is>
          <t>理财师032</t>
        </is>
      </c>
      <c r="C31" s="729" t="inlineStr">
        <is>
          <t>C3</t>
        </is>
      </c>
      <c r="D31" s="730" t="n">
        <v>46049</v>
      </c>
      <c r="E31" s="730" t="n">
        <v>46229</v>
      </c>
      <c r="F31" s="729" t="n">
        <v>7912.17</v>
      </c>
      <c r="G31" s="729" t="n">
        <v>10047.458061</v>
      </c>
      <c r="H31" s="729" t="n">
        <v>1522.301508</v>
      </c>
      <c r="I31" s="729" t="n">
        <v>0</v>
      </c>
      <c r="J31" s="729" t="n">
        <v>0</v>
      </c>
      <c r="K31" s="729">
        <f>SUM(H31:J31)</f>
        <v/>
      </c>
      <c r="L31" s="729" t="n">
        <v>1878.958678</v>
      </c>
      <c r="M31" s="729" t="n">
        <v>0</v>
      </c>
      <c r="N31" s="729" t="n">
        <v>168.696368</v>
      </c>
      <c r="O31" s="729">
        <f>SUM(L31:N31)</f>
        <v/>
      </c>
      <c r="P31" s="729" t="n">
        <v>2009.44</v>
      </c>
      <c r="Q31" s="729" t="n">
        <v>646.53732</v>
      </c>
      <c r="R31" s="729" t="n">
        <v>145.435162</v>
      </c>
      <c r="S31" s="729">
        <f>SUM(P31:R31)</f>
        <v/>
      </c>
      <c r="T31" s="729" t="n">
        <v>1610.465688</v>
      </c>
      <c r="U31" s="729" t="n">
        <v>110.192882</v>
      </c>
      <c r="V31" s="729" t="n">
        <v>40.927608</v>
      </c>
      <c r="W31" s="729">
        <f>SUM(T31:V31)</f>
        <v/>
      </c>
      <c r="X31" s="729" t="n">
        <v>1602.628872</v>
      </c>
      <c r="Y31" s="729" t="n">
        <v>0</v>
      </c>
      <c r="Z31" s="729" t="n">
        <v>47.95381</v>
      </c>
      <c r="AA31" s="729">
        <f>SUM(X31:Z31)</f>
        <v/>
      </c>
      <c r="AB31" s="729" t="n">
        <v>0</v>
      </c>
      <c r="AC31" s="729" t="n">
        <v>342.296351</v>
      </c>
      <c r="AD31" s="729" t="n">
        <v>116.811754</v>
      </c>
      <c r="AE31" s="729">
        <f>SUM(AB31:AD31)</f>
        <v/>
      </c>
      <c r="AF31" s="729" t="n">
        <v>440.8209</v>
      </c>
      <c r="AG31" s="729" t="n">
        <v>0</v>
      </c>
      <c r="AH31" s="729" t="n">
        <v>32.909035</v>
      </c>
      <c r="AI31" s="729">
        <f>SUM(AF31:AH31)</f>
        <v/>
      </c>
      <c r="AJ31" s="729" t="n">
        <v>1319.585129</v>
      </c>
      <c r="AK31" s="363">
        <f>SUM(K31+O31+S31+W31+AA31+AE31+AI31+AJ31)</f>
        <v/>
      </c>
      <c r="AL31" s="364">
        <f>IF(F31=0,"",K31/(F31/((YEAR(E31)*12+MONTH(E31))-(YEAR(D31)*12+MONTH(D31))+1)))</f>
        <v/>
      </c>
      <c r="AM31" s="364">
        <f>G31/F31</f>
        <v/>
      </c>
      <c r="AN31" s="731">
        <f>F31-G31</f>
        <v/>
      </c>
      <c r="AO31" s="366">
        <f>SUM(F31:F32)</f>
        <v/>
      </c>
      <c r="AP31" s="367">
        <f>AP33</f>
        <v/>
      </c>
      <c r="AQ31" s="745">
        <f>AQ33</f>
        <v/>
      </c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  <c r="BN31" s="706" t="inlineStr"/>
      <c r="BO31" s="706" t="inlineStr"/>
      <c r="BP31" s="706" t="inlineStr"/>
      <c r="BQ31" s="706" t="inlineStr"/>
    </row>
    <row r="32" outlineLevel="1" ht="14.25" customFormat="1" customHeight="1" s="483">
      <c r="A32" s="737" t="n"/>
      <c r="B32" s="734" t="inlineStr">
        <is>
          <t>理财师020</t>
        </is>
      </c>
      <c r="C32" s="734" t="inlineStr">
        <is>
          <t>首席私人财富管理专家PWA5-1</t>
        </is>
      </c>
      <c r="D32" s="735" t="n">
        <v>46204</v>
      </c>
      <c r="E32" s="735" t="n">
        <v>46387</v>
      </c>
      <c r="F32" s="734" t="n">
        <v>42178.5</v>
      </c>
      <c r="G32" s="734" t="n">
        <v>5537.660805</v>
      </c>
      <c r="H32" s="734" t="n">
        <v>789.58152</v>
      </c>
      <c r="I32" s="734" t="n">
        <v>0</v>
      </c>
      <c r="J32" s="734" t="n">
        <v>0</v>
      </c>
      <c r="K32" s="734">
        <f>SUM(H32:J32)</f>
        <v/>
      </c>
      <c r="L32" s="734" t="n">
        <v>1888.180808</v>
      </c>
      <c r="M32" s="734" t="n">
        <v>2400.703812</v>
      </c>
      <c r="N32" s="734" t="n">
        <v>459.194666</v>
      </c>
      <c r="O32" s="734">
        <f>SUM(L32:N32)</f>
        <v/>
      </c>
      <c r="P32" s="734" t="n">
        <v>7288.783433</v>
      </c>
      <c r="Q32" s="734" t="n">
        <v>601.58592</v>
      </c>
      <c r="R32" s="734" t="n">
        <v>605.597413</v>
      </c>
      <c r="S32" s="734">
        <f>SUM(P32:R32)</f>
        <v/>
      </c>
      <c r="T32" s="734" t="n">
        <v>8333.122670999999</v>
      </c>
      <c r="U32" s="734" t="n">
        <v>0</v>
      </c>
      <c r="V32" s="734" t="n">
        <v>367.634218</v>
      </c>
      <c r="W32" s="734">
        <f>SUM(T32:V32)</f>
        <v/>
      </c>
      <c r="X32" s="734" t="n">
        <v>1259.210798</v>
      </c>
      <c r="Y32" s="734" t="n">
        <v>3101.9274</v>
      </c>
      <c r="Z32" s="734" t="n">
        <v>318.667286</v>
      </c>
      <c r="AA32" s="734">
        <f>SUM(X32:Z32)</f>
        <v/>
      </c>
      <c r="AB32" s="734" t="n">
        <v>10803.329409</v>
      </c>
      <c r="AC32" s="734" t="n">
        <v>0</v>
      </c>
      <c r="AD32" s="734" t="n">
        <v>396.373158</v>
      </c>
      <c r="AE32" s="734">
        <f>SUM(AB32:AD32)</f>
        <v/>
      </c>
      <c r="AF32" s="734" t="n">
        <v>6594.535422</v>
      </c>
      <c r="AG32" s="734" t="n">
        <v>0</v>
      </c>
      <c r="AH32" s="734" t="n">
        <v>271.914403</v>
      </c>
      <c r="AI32" s="734">
        <f>SUM(AF32:AH32)</f>
        <v/>
      </c>
      <c r="AJ32" s="734" t="n">
        <v>9115.509121999999</v>
      </c>
      <c r="AK32" s="746">
        <f>SUM(K32+O32+S32+W32+AA32+AE32+AI32+AJ32)</f>
        <v/>
      </c>
      <c r="AL32" s="373">
        <f>IF(F32=0,"",K32/(F32/((YEAR(E32)*12+MONTH(E32))-(YEAR(D32)*12+MONTH(D32))+1)))</f>
        <v/>
      </c>
      <c r="AM32" s="373">
        <f>G32/F32</f>
        <v/>
      </c>
      <c r="AN32" s="746">
        <f>F32-G32</f>
        <v/>
      </c>
      <c r="AO32" s="737" t="n"/>
      <c r="AP32" s="737" t="n"/>
      <c r="AQ32" s="737" t="n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  <c r="BN32" s="706" t="inlineStr"/>
      <c r="BO32" s="706" t="inlineStr"/>
      <c r="BP32" s="706" t="inlineStr"/>
      <c r="BQ32" s="706" t="inlineStr"/>
    </row>
    <row r="33" outlineLevel="1" ht="14.25" customFormat="1" customHeight="1" s="483">
      <c r="A33" s="738" t="inlineStr">
        <is>
          <t>合计</t>
        </is>
      </c>
      <c r="B33" s="739" t="n"/>
      <c r="C33" s="739" t="n"/>
      <c r="D33" s="739" t="n"/>
      <c r="E33" s="740" t="n"/>
      <c r="F33" s="379">
        <f>SUM(F31:F32)</f>
        <v/>
      </c>
      <c r="G33" s="738">
        <f>SUM(G31:G32)</f>
        <v/>
      </c>
      <c r="H33" s="738">
        <f>SUM(H31:H32)</f>
        <v/>
      </c>
      <c r="I33" s="738">
        <f>SUM(I31:I32)</f>
        <v/>
      </c>
      <c r="J33" s="738">
        <f>SUM(J31:J32)</f>
        <v/>
      </c>
      <c r="K33" s="738">
        <f>SUM(K31:K32)</f>
        <v/>
      </c>
      <c r="L33" s="738">
        <f>SUM(L31:L32)</f>
        <v/>
      </c>
      <c r="M33" s="738">
        <f>SUM(M31:M32)</f>
        <v/>
      </c>
      <c r="N33" s="738">
        <f>SUM(N31:N32)</f>
        <v/>
      </c>
      <c r="O33" s="738">
        <f>SUM(O31:O32)</f>
        <v/>
      </c>
      <c r="P33" s="738">
        <f>SUM(P31:P32)</f>
        <v/>
      </c>
      <c r="Q33" s="738">
        <f>SUM(Q31:Q32)</f>
        <v/>
      </c>
      <c r="R33" s="738">
        <f>SUM(R31:R32)</f>
        <v/>
      </c>
      <c r="S33" s="738">
        <f>SUM(S31:S32)</f>
        <v/>
      </c>
      <c r="T33" s="738">
        <f>SUM(T31:T32)</f>
        <v/>
      </c>
      <c r="U33" s="738">
        <f>SUM(U31:U32)</f>
        <v/>
      </c>
      <c r="V33" s="738">
        <f>SUM(V31:V32)</f>
        <v/>
      </c>
      <c r="W33" s="738">
        <f>SUM(W31:W32)</f>
        <v/>
      </c>
      <c r="X33" s="738">
        <f>SUM(X31:X32)</f>
        <v/>
      </c>
      <c r="Y33" s="738">
        <f>SUM(Y31:Y32)</f>
        <v/>
      </c>
      <c r="Z33" s="738">
        <f>SUM(Z31:Z32)</f>
        <v/>
      </c>
      <c r="AA33" s="738">
        <f>SUM(AA31:AA32)</f>
        <v/>
      </c>
      <c r="AB33" s="738">
        <f>SUM(AB31:AB32)</f>
        <v/>
      </c>
      <c r="AC33" s="738">
        <f>SUM(AC31:AC32)</f>
        <v/>
      </c>
      <c r="AD33" s="738">
        <f>SUM(AD31:AD32)</f>
        <v/>
      </c>
      <c r="AE33" s="738">
        <f>SUM(AE31:AE32)</f>
        <v/>
      </c>
      <c r="AF33" s="738">
        <f>SUM(AF31:AF32)</f>
        <v/>
      </c>
      <c r="AG33" s="738">
        <f>SUM(AG31:AG32)</f>
        <v/>
      </c>
      <c r="AH33" s="738">
        <f>SUM(AH31:AH32)</f>
        <v/>
      </c>
      <c r="AI33" s="738">
        <f>SUM(AI31:AI32)</f>
        <v/>
      </c>
      <c r="AJ33" s="738">
        <f>SUM(AJ31:AJ32)</f>
        <v/>
      </c>
      <c r="AK33" s="379">
        <f>SUM(K33+O33+S33+W33+AA33+AE33+AI33+AJ33)</f>
        <v/>
      </c>
      <c r="AL33" s="381">
        <f>IF(F33=0,"",K33/(F33/((YEAR(E31)*12+MONTH(E31))-(YEAR(D31)*12+MONTH(D31))+1)))</f>
        <v/>
      </c>
      <c r="AM33" s="382">
        <f>G33/F33</f>
        <v/>
      </c>
      <c r="AN33" s="743">
        <f>F33-G33</f>
        <v/>
      </c>
      <c r="AO33" s="383">
        <f>AO31</f>
        <v/>
      </c>
      <c r="AP33" s="381">
        <f>AK33/AO31</f>
        <v/>
      </c>
      <c r="AQ33" s="742">
        <f>AO31-AK33</f>
        <v/>
      </c>
      <c r="AR33" s="713" t="inlineStr"/>
      <c r="AS33" s="713" t="inlineStr"/>
      <c r="AT33" s="713" t="inlineStr"/>
      <c r="AU33" s="713" t="inlineStr"/>
      <c r="AV33" s="713" t="inlineStr"/>
      <c r="AW33" s="713" t="inlineStr"/>
      <c r="AX33" s="713" t="inlineStr"/>
      <c r="AY33" s="713" t="inlineStr"/>
      <c r="AZ33" s="713" t="inlineStr"/>
      <c r="BA33" s="713" t="inlineStr"/>
      <c r="BB33" s="713" t="inlineStr"/>
      <c r="BC33" s="713" t="inlineStr"/>
      <c r="BD33" s="713" t="inlineStr"/>
      <c r="BE33" s="713" t="inlineStr"/>
      <c r="BF33" s="713" t="inlineStr"/>
      <c r="BG33" s="713" t="inlineStr"/>
      <c r="BH33" s="713" t="inlineStr"/>
      <c r="BI33" s="713" t="inlineStr"/>
      <c r="BJ33" s="713" t="inlineStr"/>
      <c r="BK33" s="713" t="inlineStr"/>
      <c r="BL33" s="713" t="inlineStr"/>
      <c r="BM33" s="713" t="inlineStr"/>
      <c r="BN33" s="713" t="inlineStr"/>
      <c r="BO33" s="713" t="inlineStr"/>
      <c r="BP33" s="713" t="inlineStr"/>
      <c r="BQ33" s="713" t="inlineStr"/>
    </row>
    <row r="34" outlineLevel="1" ht="14.25" customFormat="1" customHeight="1" s="483">
      <c r="A34" s="729" t="inlineStr">
        <is>
          <t>理财师005</t>
        </is>
      </c>
      <c r="B34" s="729" t="inlineStr">
        <is>
          <t>理财师030</t>
        </is>
      </c>
      <c r="C34" s="729" t="inlineStr">
        <is>
          <t>私人财富管理顾问PWA1-1</t>
        </is>
      </c>
      <c r="D34" s="730" t="n">
        <v>46195</v>
      </c>
      <c r="E34" s="730" t="n">
        <v>46377</v>
      </c>
      <c r="F34" s="729" t="n">
        <v>7461.34</v>
      </c>
      <c r="G34" s="729" t="n">
        <v>153.986741</v>
      </c>
      <c r="H34" s="729" t="n">
        <v>0</v>
      </c>
      <c r="I34" s="729" t="n">
        <v>0</v>
      </c>
      <c r="J34" s="729" t="n">
        <v>0</v>
      </c>
      <c r="K34" s="729">
        <f>SUM(H34:J34)</f>
        <v/>
      </c>
      <c r="L34" s="729" t="n">
        <v>0</v>
      </c>
      <c r="M34" s="729" t="n">
        <v>0</v>
      </c>
      <c r="N34" s="729" t="n">
        <v>15.372437</v>
      </c>
      <c r="O34" s="729">
        <f>SUM(L34:N34)</f>
        <v/>
      </c>
      <c r="P34" s="729" t="n">
        <v>247.0689</v>
      </c>
      <c r="Q34" s="729" t="n">
        <v>0</v>
      </c>
      <c r="R34" s="729" t="n">
        <v>1.353804</v>
      </c>
      <c r="S34" s="729">
        <f>SUM(P34:R34)</f>
        <v/>
      </c>
      <c r="T34" s="729" t="n">
        <v>0</v>
      </c>
      <c r="U34" s="729" t="n">
        <v>0</v>
      </c>
      <c r="V34" s="729" t="n">
        <v>0</v>
      </c>
      <c r="W34" s="729">
        <f>SUM(T34:V34)</f>
        <v/>
      </c>
      <c r="X34" s="729" t="n">
        <v>0</v>
      </c>
      <c r="Y34" s="729" t="n">
        <v>0</v>
      </c>
      <c r="Z34" s="729" t="n">
        <v>0</v>
      </c>
      <c r="AA34" s="729">
        <f>SUM(X34:Z34)</f>
        <v/>
      </c>
      <c r="AB34" s="729" t="n">
        <v>0</v>
      </c>
      <c r="AC34" s="729" t="n">
        <v>0</v>
      </c>
      <c r="AD34" s="729" t="n">
        <v>0</v>
      </c>
      <c r="AE34" s="729">
        <f>SUM(AB34:AD34)</f>
        <v/>
      </c>
      <c r="AF34" s="729" t="n">
        <v>0</v>
      </c>
      <c r="AG34" s="729" t="n">
        <v>0</v>
      </c>
      <c r="AH34" s="729" t="n">
        <v>0</v>
      </c>
      <c r="AI34" s="729">
        <f>SUM(AF34:AH34)</f>
        <v/>
      </c>
      <c r="AJ34" s="729" t="n">
        <v>0</v>
      </c>
      <c r="AK34" s="363">
        <f>SUM(K34+O34+S34+W34+AA34+AE34+AI34+AJ34)</f>
        <v/>
      </c>
      <c r="AL34" s="364">
        <f>IF(F34=0,"",K34/(F34/((YEAR(E34)*12+MONTH(E34))-(YEAR(D34)*12+MONTH(D34))+1)))</f>
        <v/>
      </c>
      <c r="AM34" s="364">
        <f>G34/F34</f>
        <v/>
      </c>
      <c r="AN34" s="731">
        <f>F34-G34</f>
        <v/>
      </c>
      <c r="AO34" s="366">
        <f>SUM(F34:F36)</f>
        <v/>
      </c>
      <c r="AP34" s="367">
        <f>AP37</f>
        <v/>
      </c>
      <c r="AQ34" s="745">
        <f>AQ37</f>
        <v/>
      </c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  <c r="BN34" s="706" t="inlineStr"/>
      <c r="BO34" s="706" t="inlineStr"/>
      <c r="BP34" s="706" t="inlineStr"/>
      <c r="BQ34" s="706" t="inlineStr"/>
    </row>
    <row r="35" outlineLevel="1" ht="14.25" customFormat="1" customHeight="1" s="483">
      <c r="A35" s="733" t="n"/>
      <c r="B35" s="734" t="inlineStr">
        <is>
          <t>理财师026</t>
        </is>
      </c>
      <c r="C35" s="734" t="inlineStr">
        <is>
          <t>观察期PWA0-1</t>
        </is>
      </c>
      <c r="D35" s="735" t="n">
        <v>46113</v>
      </c>
      <c r="E35" s="735" t="n">
        <v>46203</v>
      </c>
      <c r="F35" s="734" t="n">
        <v>1943.13</v>
      </c>
      <c r="G35" s="734" t="n">
        <v>465.481988</v>
      </c>
      <c r="H35" s="734" t="n">
        <v>0</v>
      </c>
      <c r="I35" s="734" t="n">
        <v>0</v>
      </c>
      <c r="J35" s="734" t="n">
        <v>0</v>
      </c>
      <c r="K35" s="734">
        <f>SUM(H35:J35)</f>
        <v/>
      </c>
      <c r="L35" s="734" t="n">
        <v>0</v>
      </c>
      <c r="M35" s="734" t="n">
        <v>0</v>
      </c>
      <c r="N35" s="734" t="n">
        <v>18.717729</v>
      </c>
      <c r="O35" s="734">
        <f>SUM(L35:N35)</f>
        <v/>
      </c>
      <c r="P35" s="734" t="n">
        <v>288.6936</v>
      </c>
      <c r="Q35" s="734" t="n">
        <v>0</v>
      </c>
      <c r="R35" s="734" t="n">
        <v>29.573753</v>
      </c>
      <c r="S35" s="734">
        <f>SUM(P35:R35)</f>
        <v/>
      </c>
      <c r="T35" s="734" t="n">
        <v>114.611359</v>
      </c>
      <c r="U35" s="734" t="n">
        <v>0</v>
      </c>
      <c r="V35" s="734" t="n">
        <v>18.055825</v>
      </c>
      <c r="W35" s="734">
        <f>SUM(T35:V35)</f>
        <v/>
      </c>
      <c r="X35" s="734" t="n">
        <v>0</v>
      </c>
      <c r="Y35" s="734" t="n">
        <v>0</v>
      </c>
      <c r="Z35" s="734" t="n">
        <v>14.547451</v>
      </c>
      <c r="AA35" s="734">
        <f>SUM(X35:Z35)</f>
        <v/>
      </c>
      <c r="AB35" s="734" t="n">
        <v>809.929895</v>
      </c>
      <c r="AC35" s="734" t="n">
        <v>0</v>
      </c>
      <c r="AD35" s="734" t="n">
        <v>47.501776</v>
      </c>
      <c r="AE35" s="734">
        <f>SUM(AB35:AD35)</f>
        <v/>
      </c>
      <c r="AF35" s="734" t="n">
        <v>176.20858</v>
      </c>
      <c r="AG35" s="734" t="n">
        <v>0</v>
      </c>
      <c r="AH35" s="734" t="n">
        <v>11.404098</v>
      </c>
      <c r="AI35" s="734">
        <f>SUM(AF35:AH35)</f>
        <v/>
      </c>
      <c r="AJ35" s="734" t="n">
        <v>12.282809</v>
      </c>
      <c r="AK35" s="746">
        <f>SUM(K35+O35+S35+W35+AA35+AE35+AI35+AJ35)</f>
        <v/>
      </c>
      <c r="AL35" s="373">
        <f>IF(F35=0,"",K35/(F35/((YEAR(E35)*12+MONTH(E35))-(YEAR(D35)*12+MONTH(D35))+1)))</f>
        <v/>
      </c>
      <c r="AM35" s="373">
        <f>G35/F35</f>
        <v/>
      </c>
      <c r="AN35" s="746">
        <f>F35-G35</f>
        <v/>
      </c>
      <c r="AO35" s="733" t="n"/>
      <c r="AP35" s="733" t="n"/>
      <c r="AQ35" s="733" t="n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  <c r="BN35" s="706" t="inlineStr"/>
      <c r="BO35" s="706" t="inlineStr"/>
      <c r="BP35" s="706" t="inlineStr"/>
      <c r="BQ35" s="706" t="inlineStr"/>
    </row>
    <row r="36" outlineLevel="1" ht="14.25" customFormat="1" customHeight="1" s="483">
      <c r="A36" s="737" t="n"/>
      <c r="B36" s="734" t="inlineStr">
        <is>
          <t>理财师005</t>
        </is>
      </c>
      <c r="C36" s="734" t="inlineStr">
        <is>
          <t>私人财富管理资深顾问PWA2-5</t>
        </is>
      </c>
      <c r="D36" s="735" t="n">
        <v>46204</v>
      </c>
      <c r="E36" s="735" t="n">
        <v>46387</v>
      </c>
      <c r="F36" s="734" t="n">
        <v>13123.44</v>
      </c>
      <c r="G36" s="734" t="n">
        <v>1806.454594</v>
      </c>
      <c r="H36" s="734" t="n">
        <v>0</v>
      </c>
      <c r="I36" s="734" t="n">
        <v>0</v>
      </c>
      <c r="J36" s="734" t="n">
        <v>0</v>
      </c>
      <c r="K36" s="734">
        <f>SUM(H36:J36)</f>
        <v/>
      </c>
      <c r="L36" s="734" t="n">
        <v>1292.819304</v>
      </c>
      <c r="M36" s="734" t="n">
        <v>0</v>
      </c>
      <c r="N36" s="734" t="n">
        <v>513.6352900000001</v>
      </c>
      <c r="O36" s="734">
        <f>SUM(L36:N36)</f>
        <v/>
      </c>
      <c r="P36" s="734" t="n">
        <v>3750.483593</v>
      </c>
      <c r="Q36" s="734" t="n">
        <v>0</v>
      </c>
      <c r="R36" s="734" t="n">
        <v>577.821105</v>
      </c>
      <c r="S36" s="734">
        <f>SUM(P36:R36)</f>
        <v/>
      </c>
      <c r="T36" s="734" t="n">
        <v>907.591957</v>
      </c>
      <c r="U36" s="734" t="n">
        <v>0</v>
      </c>
      <c r="V36" s="734" t="n">
        <v>364.243787</v>
      </c>
      <c r="W36" s="734">
        <f>SUM(T36:V36)</f>
        <v/>
      </c>
      <c r="X36" s="734" t="n">
        <v>1870.349984</v>
      </c>
      <c r="Y36" s="734" t="n">
        <v>2312.474666</v>
      </c>
      <c r="Z36" s="734" t="n">
        <v>319.48223</v>
      </c>
      <c r="AA36" s="734">
        <f>SUM(X36:Z36)</f>
        <v/>
      </c>
      <c r="AB36" s="734" t="n">
        <v>731.292658</v>
      </c>
      <c r="AC36" s="734" t="n">
        <v>1925.150771</v>
      </c>
      <c r="AD36" s="734" t="n">
        <v>383.775324</v>
      </c>
      <c r="AE36" s="734">
        <f>SUM(AB36:AD36)</f>
        <v/>
      </c>
      <c r="AF36" s="734" t="n">
        <v>1738.204897</v>
      </c>
      <c r="AG36" s="734" t="n">
        <v>0</v>
      </c>
      <c r="AH36" s="734" t="n">
        <v>284.706769</v>
      </c>
      <c r="AI36" s="734">
        <f>SUM(AF36:AH36)</f>
        <v/>
      </c>
      <c r="AJ36" s="734" t="n">
        <v>1538.392041</v>
      </c>
      <c r="AK36" s="372">
        <f>SUM(K36+O36+S36+W36+AA36+AE36+AI36+AJ36)</f>
        <v/>
      </c>
      <c r="AL36" s="373">
        <f>IF(F36=0,"",K36/(F36/((YEAR(E36)*12+MONTH(E36))-(YEAR(D36)*12+MONTH(D36))+1)))</f>
        <v/>
      </c>
      <c r="AM36" s="373">
        <f>G36/F36</f>
        <v/>
      </c>
      <c r="AN36" s="736">
        <f>F36-G36</f>
        <v/>
      </c>
      <c r="AO36" s="737" t="n"/>
      <c r="AP36" s="737" t="n"/>
      <c r="AQ36" s="737" t="n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  <c r="BN36" s="706" t="inlineStr"/>
      <c r="BO36" s="706" t="inlineStr"/>
      <c r="BP36" s="706" t="inlineStr"/>
      <c r="BQ36" s="706" t="inlineStr"/>
    </row>
    <row r="37" outlineLevel="1" ht="14.25" customFormat="1" customHeight="1" s="483">
      <c r="A37" s="738" t="inlineStr">
        <is>
          <t>合计</t>
        </is>
      </c>
      <c r="B37" s="739" t="n"/>
      <c r="C37" s="739" t="n"/>
      <c r="D37" s="739" t="n"/>
      <c r="E37" s="740" t="n"/>
      <c r="F37" s="379">
        <f>SUM(F34:F36)</f>
        <v/>
      </c>
      <c r="G37" s="738">
        <f>SUM(G34:G36)</f>
        <v/>
      </c>
      <c r="H37" s="738">
        <f>SUM(H34:H36)</f>
        <v/>
      </c>
      <c r="I37" s="738">
        <f>SUM(I34:I36)</f>
        <v/>
      </c>
      <c r="J37" s="738">
        <f>SUM(J34:J36)</f>
        <v/>
      </c>
      <c r="K37" s="738">
        <f>SUM(K34:K36)</f>
        <v/>
      </c>
      <c r="L37" s="738">
        <f>SUM(L34:L36)</f>
        <v/>
      </c>
      <c r="M37" s="738">
        <f>SUM(M34:M36)</f>
        <v/>
      </c>
      <c r="N37" s="738">
        <f>SUM(N34:N36)</f>
        <v/>
      </c>
      <c r="O37" s="738">
        <f>SUM(O34:O36)</f>
        <v/>
      </c>
      <c r="P37" s="738">
        <f>SUM(P34:P36)</f>
        <v/>
      </c>
      <c r="Q37" s="738">
        <f>SUM(Q34:Q36)</f>
        <v/>
      </c>
      <c r="R37" s="738">
        <f>SUM(R34:R36)</f>
        <v/>
      </c>
      <c r="S37" s="738">
        <f>SUM(S34:S36)</f>
        <v/>
      </c>
      <c r="T37" s="738">
        <f>SUM(T34:T36)</f>
        <v/>
      </c>
      <c r="U37" s="738">
        <f>SUM(U34:U36)</f>
        <v/>
      </c>
      <c r="V37" s="738">
        <f>SUM(V34:V36)</f>
        <v/>
      </c>
      <c r="W37" s="738">
        <f>SUM(W34:W36)</f>
        <v/>
      </c>
      <c r="X37" s="738">
        <f>SUM(X34:X36)</f>
        <v/>
      </c>
      <c r="Y37" s="738">
        <f>SUM(Y34:Y36)</f>
        <v/>
      </c>
      <c r="Z37" s="738">
        <f>SUM(Z34:Z36)</f>
        <v/>
      </c>
      <c r="AA37" s="738">
        <f>SUM(AA34:AA36)</f>
        <v/>
      </c>
      <c r="AB37" s="738">
        <f>SUM(AB34:AB36)</f>
        <v/>
      </c>
      <c r="AC37" s="738">
        <f>SUM(AC34:AC36)</f>
        <v/>
      </c>
      <c r="AD37" s="738">
        <f>SUM(AD34:AD36)</f>
        <v/>
      </c>
      <c r="AE37" s="738">
        <f>SUM(AE34:AE36)</f>
        <v/>
      </c>
      <c r="AF37" s="738">
        <f>SUM(AF34:AF36)</f>
        <v/>
      </c>
      <c r="AG37" s="738">
        <f>SUM(AG34:AG36)</f>
        <v/>
      </c>
      <c r="AH37" s="738">
        <f>SUM(AH34:AH36)</f>
        <v/>
      </c>
      <c r="AI37" s="738">
        <f>SUM(AI34:AI36)</f>
        <v/>
      </c>
      <c r="AJ37" s="738">
        <f>SUM(AJ34:AJ36)</f>
        <v/>
      </c>
      <c r="AK37" s="379">
        <f>SUM(K37+O37+S37+W37+AA37+AE37+AI37+AJ37)</f>
        <v/>
      </c>
      <c r="AL37" s="381">
        <f>IF(F37=0,"",K37/(F37/((YEAR(E34)*12+MONTH(E34))-(YEAR(D34)*12+MONTH(D34))+1)))</f>
        <v/>
      </c>
      <c r="AM37" s="382">
        <f>G37/F37</f>
        <v/>
      </c>
      <c r="AN37" s="743">
        <f>F37-G37</f>
        <v/>
      </c>
      <c r="AO37" s="383">
        <f>AO34</f>
        <v/>
      </c>
      <c r="AP37" s="381">
        <f>AK37/AO34</f>
        <v/>
      </c>
      <c r="AQ37" s="742">
        <f>AO34-AK37</f>
        <v/>
      </c>
      <c r="AR37" s="713" t="inlineStr"/>
      <c r="AS37" s="713" t="inlineStr"/>
      <c r="AT37" s="713" t="inlineStr"/>
      <c r="AU37" s="713" t="inlineStr"/>
      <c r="AV37" s="713" t="inlineStr"/>
      <c r="AW37" s="713" t="inlineStr"/>
      <c r="AX37" s="713" t="inlineStr"/>
      <c r="AY37" s="713" t="inlineStr"/>
      <c r="AZ37" s="713" t="inlineStr"/>
      <c r="BA37" s="713" t="inlineStr"/>
      <c r="BB37" s="713" t="inlineStr"/>
      <c r="BC37" s="713" t="inlineStr"/>
      <c r="BD37" s="713" t="inlineStr"/>
      <c r="BE37" s="713" t="inlineStr"/>
      <c r="BF37" s="713" t="inlineStr"/>
      <c r="BG37" s="713" t="inlineStr"/>
      <c r="BH37" s="713" t="inlineStr"/>
      <c r="BI37" s="713" t="inlineStr"/>
      <c r="BJ37" s="713" t="inlineStr"/>
      <c r="BK37" s="713" t="inlineStr"/>
      <c r="BL37" s="713" t="inlineStr"/>
      <c r="BM37" s="713" t="inlineStr"/>
      <c r="BN37" s="713" t="inlineStr"/>
      <c r="BO37" s="713" t="inlineStr"/>
      <c r="BP37" s="713" t="inlineStr"/>
      <c r="BQ37" s="713" t="inlineStr"/>
    </row>
    <row r="38" outlineLevel="1" ht="14.25" customFormat="1" customHeight="1" s="483">
      <c r="A38" s="729" t="inlineStr">
        <is>
          <t>理财师008</t>
        </is>
      </c>
      <c r="B38" s="729" t="inlineStr">
        <is>
          <t>理财师011</t>
        </is>
      </c>
      <c r="C38" s="729" t="inlineStr">
        <is>
          <t>私人财富管理顾问PWA1-2</t>
        </is>
      </c>
      <c r="D38" s="730" t="n">
        <v>46204</v>
      </c>
      <c r="E38" s="730" t="n">
        <v>46387</v>
      </c>
      <c r="F38" s="729" t="n">
        <v>3484.06</v>
      </c>
      <c r="G38" s="729" t="n">
        <v>408.740456</v>
      </c>
      <c r="H38" s="729" t="n">
        <v>0</v>
      </c>
      <c r="I38" s="729" t="n">
        <v>0</v>
      </c>
      <c r="J38" s="729" t="n">
        <v>0</v>
      </c>
      <c r="K38" s="729">
        <f>SUM(H38:J38)</f>
        <v/>
      </c>
      <c r="L38" s="729" t="n">
        <v>84.068866</v>
      </c>
      <c r="M38" s="729" t="n">
        <v>323.29674</v>
      </c>
      <c r="N38" s="729" t="n">
        <v>1.37485</v>
      </c>
      <c r="O38" s="729">
        <f>SUM(L38:N38)</f>
        <v/>
      </c>
      <c r="P38" s="729" t="n">
        <v>564.94934</v>
      </c>
      <c r="Q38" s="729" t="n">
        <v>0</v>
      </c>
      <c r="R38" s="729" t="n">
        <v>82.099047</v>
      </c>
      <c r="S38" s="729">
        <f>SUM(P38:R38)</f>
        <v/>
      </c>
      <c r="T38" s="729" t="n">
        <v>0</v>
      </c>
      <c r="U38" s="729" t="n">
        <v>3092.4036</v>
      </c>
      <c r="V38" s="729" t="n">
        <v>61.007408</v>
      </c>
      <c r="W38" s="729">
        <f>SUM(T38:V38)</f>
        <v/>
      </c>
      <c r="X38" s="729" t="n">
        <v>178.04748</v>
      </c>
      <c r="Y38" s="729" t="n">
        <v>0</v>
      </c>
      <c r="Z38" s="729" t="n">
        <v>32.11807</v>
      </c>
      <c r="AA38" s="729">
        <f>SUM(X38:Z38)</f>
        <v/>
      </c>
      <c r="AB38" s="729" t="n">
        <v>47.229437</v>
      </c>
      <c r="AC38" s="729" t="n">
        <v>0</v>
      </c>
      <c r="AD38" s="729" t="n">
        <v>24.120644</v>
      </c>
      <c r="AE38" s="729">
        <f>SUM(AB38:AD38)</f>
        <v/>
      </c>
      <c r="AF38" s="729" t="n">
        <v>524.574731</v>
      </c>
      <c r="AG38" s="729" t="n">
        <v>0</v>
      </c>
      <c r="AH38" s="729" t="n">
        <v>1.216481</v>
      </c>
      <c r="AI38" s="729">
        <f>SUM(AF38:AH38)</f>
        <v/>
      </c>
      <c r="AJ38" s="729" t="n">
        <v>0</v>
      </c>
      <c r="AK38" s="744">
        <f>SUM(K38+O38+S38+W38+AA38+AE38+AI38+AJ38)</f>
        <v/>
      </c>
      <c r="AL38" s="364">
        <f>IF(F38=0,"",K38/(F38/((YEAR(E38)*12+MONTH(E38))-(YEAR(D38)*12+MONTH(D38))+1)))</f>
        <v/>
      </c>
      <c r="AM38" s="364">
        <f>G38/F38</f>
        <v/>
      </c>
      <c r="AN38" s="744">
        <f>F38-G38</f>
        <v/>
      </c>
      <c r="AO38" s="366">
        <f>SUM(F38:F39)</f>
        <v/>
      </c>
      <c r="AP38" s="367">
        <f>AP40</f>
        <v/>
      </c>
      <c r="AQ38" s="745">
        <f>AQ40</f>
        <v/>
      </c>
      <c r="AR38" s="706" t="inlineStr"/>
      <c r="AS38" s="706" t="inlineStr"/>
      <c r="AT38" s="706" t="inlineStr"/>
      <c r="AU38" s="706" t="inlineStr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  <c r="BN38" s="706" t="inlineStr"/>
      <c r="BO38" s="706" t="inlineStr"/>
      <c r="BP38" s="706" t="inlineStr"/>
      <c r="BQ38" s="706" t="inlineStr"/>
    </row>
    <row r="39" outlineLevel="1" ht="14.25" customFormat="1" customHeight="1" s="483">
      <c r="A39" s="737" t="n"/>
      <c r="B39" s="734" t="inlineStr">
        <is>
          <t>理财师008</t>
        </is>
      </c>
      <c r="C39" s="734" t="inlineStr">
        <is>
          <t>私人财富管理专家PWA4-3</t>
        </is>
      </c>
      <c r="D39" s="735" t="n">
        <v>46204</v>
      </c>
      <c r="E39" s="735" t="n">
        <v>46387</v>
      </c>
      <c r="F39" s="734" t="n">
        <v>25727.57</v>
      </c>
      <c r="G39" s="734" t="n">
        <v>1774.926845</v>
      </c>
      <c r="H39" s="734" t="n">
        <v>0</v>
      </c>
      <c r="I39" s="734" t="n">
        <v>0</v>
      </c>
      <c r="J39" s="734" t="n">
        <v>0</v>
      </c>
      <c r="K39" s="734">
        <f>SUM(H39:J39)</f>
        <v/>
      </c>
      <c r="L39" s="734" t="n">
        <v>1531.095078</v>
      </c>
      <c r="M39" s="734" t="n">
        <v>0</v>
      </c>
      <c r="N39" s="734" t="n">
        <v>243.831766</v>
      </c>
      <c r="O39" s="734">
        <f>SUM(L39:N39)</f>
        <v/>
      </c>
      <c r="P39" s="734" t="n">
        <v>3874.376797</v>
      </c>
      <c r="Q39" s="734" t="n">
        <v>253.81824</v>
      </c>
      <c r="R39" s="734" t="n">
        <v>421.509645</v>
      </c>
      <c r="S39" s="734">
        <f>SUM(P39:R39)</f>
        <v/>
      </c>
      <c r="T39" s="734" t="n">
        <v>5263.972173</v>
      </c>
      <c r="U39" s="734" t="n">
        <v>1110.4548</v>
      </c>
      <c r="V39" s="734" t="n">
        <v>271.92657</v>
      </c>
      <c r="W39" s="734">
        <f>SUM(T39:V39)</f>
        <v/>
      </c>
      <c r="X39" s="734" t="n">
        <v>3533.62581</v>
      </c>
      <c r="Y39" s="734" t="n">
        <v>2435.06874</v>
      </c>
      <c r="Z39" s="734" t="n">
        <v>188.462147</v>
      </c>
      <c r="AA39" s="734">
        <f>SUM(X39:Z39)</f>
        <v/>
      </c>
      <c r="AB39" s="734" t="n">
        <v>9546.464904</v>
      </c>
      <c r="AC39" s="734" t="n">
        <v>0</v>
      </c>
      <c r="AD39" s="734" t="n">
        <v>401.214551</v>
      </c>
      <c r="AE39" s="734">
        <f>SUM(AB39:AD39)</f>
        <v/>
      </c>
      <c r="AF39" s="734" t="n">
        <v>1081.878995</v>
      </c>
      <c r="AG39" s="734" t="n">
        <v>523.50012</v>
      </c>
      <c r="AH39" s="734" t="n">
        <v>135.589522</v>
      </c>
      <c r="AI39" s="734">
        <f>SUM(AF39:AH39)</f>
        <v/>
      </c>
      <c r="AJ39" s="734" t="n">
        <v>1873.958877</v>
      </c>
      <c r="AK39" s="372">
        <f>SUM(K39+O39+S39+W39+AA39+AE39+AI39+AJ39)</f>
        <v/>
      </c>
      <c r="AL39" s="373">
        <f>IF(F39=0,"",K39/(F39/((YEAR(E39)*12+MONTH(E39))-(YEAR(D39)*12+MONTH(D39))+1)))</f>
        <v/>
      </c>
      <c r="AM39" s="373">
        <f>G39/F39</f>
        <v/>
      </c>
      <c r="AN39" s="736">
        <f>F39-G39</f>
        <v/>
      </c>
      <c r="AO39" s="737" t="n"/>
      <c r="AP39" s="737" t="n"/>
      <c r="AQ39" s="737" t="n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  <c r="BN39" s="706" t="inlineStr"/>
      <c r="BO39" s="706" t="inlineStr"/>
      <c r="BP39" s="706" t="inlineStr"/>
      <c r="BQ39" s="706" t="inlineStr"/>
    </row>
    <row r="40" outlineLevel="1" ht="14.25" customFormat="1" customHeight="1" s="483">
      <c r="A40" s="738" t="inlineStr">
        <is>
          <t>合计</t>
        </is>
      </c>
      <c r="B40" s="739" t="n"/>
      <c r="C40" s="739" t="n"/>
      <c r="D40" s="739" t="n"/>
      <c r="E40" s="740" t="n"/>
      <c r="F40" s="379">
        <f>SUM(F38:F39)</f>
        <v/>
      </c>
      <c r="G40" s="738">
        <f>SUM(G38:G39)</f>
        <v/>
      </c>
      <c r="H40" s="738">
        <f>SUM(H38:H39)</f>
        <v/>
      </c>
      <c r="I40" s="738">
        <f>SUM(I38:I39)</f>
        <v/>
      </c>
      <c r="J40" s="738">
        <f>SUM(J38:J39)</f>
        <v/>
      </c>
      <c r="K40" s="738">
        <f>SUM(K38:K39)</f>
        <v/>
      </c>
      <c r="L40" s="738">
        <f>SUM(L38:L39)</f>
        <v/>
      </c>
      <c r="M40" s="738">
        <f>SUM(M38:M39)</f>
        <v/>
      </c>
      <c r="N40" s="738">
        <f>SUM(N38:N39)</f>
        <v/>
      </c>
      <c r="O40" s="738">
        <f>SUM(O38:O39)</f>
        <v/>
      </c>
      <c r="P40" s="738">
        <f>SUM(P38:P39)</f>
        <v/>
      </c>
      <c r="Q40" s="738">
        <f>SUM(Q38:Q39)</f>
        <v/>
      </c>
      <c r="R40" s="738">
        <f>SUM(R38:R39)</f>
        <v/>
      </c>
      <c r="S40" s="738">
        <f>SUM(S38:S39)</f>
        <v/>
      </c>
      <c r="T40" s="738">
        <f>SUM(T38:T39)</f>
        <v/>
      </c>
      <c r="U40" s="738">
        <f>SUM(U38:U39)</f>
        <v/>
      </c>
      <c r="V40" s="738">
        <f>SUM(V38:V39)</f>
        <v/>
      </c>
      <c r="W40" s="738">
        <f>SUM(W38:W39)</f>
        <v/>
      </c>
      <c r="X40" s="738">
        <f>SUM(X38:X39)</f>
        <v/>
      </c>
      <c r="Y40" s="738">
        <f>SUM(Y38:Y39)</f>
        <v/>
      </c>
      <c r="Z40" s="738">
        <f>SUM(Z38:Z39)</f>
        <v/>
      </c>
      <c r="AA40" s="738">
        <f>SUM(AA38:AA39)</f>
        <v/>
      </c>
      <c r="AB40" s="738">
        <f>SUM(AB38:AB39)</f>
        <v/>
      </c>
      <c r="AC40" s="738">
        <f>SUM(AC38:AC39)</f>
        <v/>
      </c>
      <c r="AD40" s="738">
        <f>SUM(AD38:AD39)</f>
        <v/>
      </c>
      <c r="AE40" s="738">
        <f>SUM(AE38:AE39)</f>
        <v/>
      </c>
      <c r="AF40" s="738">
        <f>SUM(AF38:AF39)</f>
        <v/>
      </c>
      <c r="AG40" s="738">
        <f>SUM(AG38:AG39)</f>
        <v/>
      </c>
      <c r="AH40" s="738">
        <f>SUM(AH38:AH39)</f>
        <v/>
      </c>
      <c r="AI40" s="738">
        <f>SUM(AI38:AI39)</f>
        <v/>
      </c>
      <c r="AJ40" s="738">
        <f>SUM(AJ38:AJ39)</f>
        <v/>
      </c>
      <c r="AK40" s="379">
        <f>SUM(K40+O40+S40+W40+AA40+AE40+AI40+AJ40)</f>
        <v/>
      </c>
      <c r="AL40" s="381">
        <f>IF(F40=0,"",K40/(F40/((YEAR(E38)*12+MONTH(E38))-(YEAR(D38)*12+MONTH(D38))+1)))</f>
        <v/>
      </c>
      <c r="AM40" s="382">
        <f>G40/F40</f>
        <v/>
      </c>
      <c r="AN40" s="743">
        <f>F40-G40</f>
        <v/>
      </c>
      <c r="AO40" s="383">
        <f>AO38</f>
        <v/>
      </c>
      <c r="AP40" s="381">
        <f>AK40/AO38</f>
        <v/>
      </c>
      <c r="AQ40" s="742">
        <f>AO38-AK40</f>
        <v/>
      </c>
      <c r="AR40" s="713" t="inlineStr"/>
      <c r="AS40" s="713" t="inlineStr"/>
      <c r="AT40" s="713" t="inlineStr"/>
      <c r="AU40" s="713" t="inlineStr"/>
      <c r="AV40" s="713" t="inlineStr"/>
      <c r="AW40" s="713" t="inlineStr"/>
      <c r="AX40" s="713" t="inlineStr"/>
      <c r="AY40" s="713" t="inlineStr"/>
      <c r="AZ40" s="713" t="inlineStr"/>
      <c r="BA40" s="713" t="inlineStr"/>
      <c r="BB40" s="713" t="inlineStr"/>
      <c r="BC40" s="713" t="inlineStr"/>
      <c r="BD40" s="713" t="inlineStr"/>
      <c r="BE40" s="713" t="inlineStr"/>
      <c r="BF40" s="713" t="inlineStr"/>
      <c r="BG40" s="713" t="inlineStr"/>
      <c r="BH40" s="713" t="inlineStr"/>
      <c r="BI40" s="713" t="inlineStr"/>
      <c r="BJ40" s="713" t="inlineStr"/>
      <c r="BK40" s="713" t="inlineStr"/>
      <c r="BL40" s="713" t="inlineStr"/>
      <c r="BM40" s="713" t="inlineStr"/>
      <c r="BN40" s="713" t="inlineStr"/>
      <c r="BO40" s="713" t="inlineStr"/>
      <c r="BP40" s="713" t="inlineStr"/>
      <c r="BQ40" s="713" t="inlineStr"/>
    </row>
    <row r="41" outlineLevel="1" ht="14.25" customFormat="1" customHeight="1" s="483">
      <c r="A41" s="729" t="inlineStr">
        <is>
          <t>理财师004</t>
        </is>
      </c>
      <c r="B41" s="729" t="inlineStr">
        <is>
          <t>理财师006</t>
        </is>
      </c>
      <c r="C41" s="729" t="inlineStr">
        <is>
          <t>私人财富管理专家PWA4-5</t>
        </is>
      </c>
      <c r="D41" s="730" t="n">
        <v>46204</v>
      </c>
      <c r="E41" s="730" t="n">
        <v>46387</v>
      </c>
      <c r="F41" s="729" t="n">
        <v>17235</v>
      </c>
      <c r="G41" s="729" t="n">
        <v>5540.291386</v>
      </c>
      <c r="H41" s="729" t="n">
        <v>1154.308033</v>
      </c>
      <c r="I41" s="729" t="n">
        <v>0</v>
      </c>
      <c r="J41" s="729" t="n">
        <v>0</v>
      </c>
      <c r="K41" s="729">
        <f>SUM(H41:J41)</f>
        <v/>
      </c>
      <c r="L41" s="729" t="n">
        <v>2476.143832</v>
      </c>
      <c r="M41" s="729" t="n">
        <v>1523.574</v>
      </c>
      <c r="N41" s="729" t="n">
        <v>386.265521</v>
      </c>
      <c r="O41" s="729">
        <f>SUM(L41:N41)</f>
        <v/>
      </c>
      <c r="P41" s="729" t="n">
        <v>2664.507449</v>
      </c>
      <c r="Q41" s="729" t="n">
        <v>384.193382</v>
      </c>
      <c r="R41" s="729" t="n">
        <v>712.728125</v>
      </c>
      <c r="S41" s="729">
        <f>SUM(P41:R41)</f>
        <v/>
      </c>
      <c r="T41" s="729" t="n">
        <v>3250.598551</v>
      </c>
      <c r="U41" s="729" t="n">
        <v>241.63794</v>
      </c>
      <c r="V41" s="729" t="n">
        <v>443.427462</v>
      </c>
      <c r="W41" s="729">
        <f>SUM(T41:V41)</f>
        <v/>
      </c>
      <c r="X41" s="729" t="n">
        <v>1492.14231</v>
      </c>
      <c r="Y41" s="729" t="n">
        <v>0</v>
      </c>
      <c r="Z41" s="729" t="n">
        <v>381.121236</v>
      </c>
      <c r="AA41" s="729">
        <f>SUM(X41:Z41)</f>
        <v/>
      </c>
      <c r="AB41" s="729" t="n">
        <v>2747.788321</v>
      </c>
      <c r="AC41" s="729" t="n">
        <v>0</v>
      </c>
      <c r="AD41" s="729" t="n">
        <v>613.27548</v>
      </c>
      <c r="AE41" s="729">
        <f>SUM(AB41:AD41)</f>
        <v/>
      </c>
      <c r="AF41" s="729" t="n">
        <v>1566.390968</v>
      </c>
      <c r="AG41" s="729" t="n">
        <v>1037.679365</v>
      </c>
      <c r="AH41" s="729" t="n">
        <v>313.732955</v>
      </c>
      <c r="AI41" s="729">
        <f>SUM(AF41:AH41)</f>
        <v/>
      </c>
      <c r="AJ41" s="729" t="n">
        <v>4335.866577</v>
      </c>
      <c r="AK41" s="744">
        <f>SUM(K41+O41+S41+W41+AA41+AE41+AI41+AJ41)</f>
        <v/>
      </c>
      <c r="AL41" s="364">
        <f>IF(F41=0,"",K41/(F41/((YEAR(E41)*12+MONTH(E41))-(YEAR(D41)*12+MONTH(D41))+1)))</f>
        <v/>
      </c>
      <c r="AM41" s="364">
        <f>G41/F41</f>
        <v/>
      </c>
      <c r="AN41" s="744">
        <f>F41-G41</f>
        <v/>
      </c>
      <c r="AO41" s="366">
        <f>SUM(F41:F46)</f>
        <v/>
      </c>
      <c r="AP41" s="367">
        <f>AP47</f>
        <v/>
      </c>
      <c r="AQ41" s="745">
        <f>AQ47</f>
        <v/>
      </c>
      <c r="AR41" s="706" t="inlineStr"/>
      <c r="AS41" s="706" t="inlineStr"/>
      <c r="AT41" s="706" t="inlineStr"/>
      <c r="AU41" s="706" t="inlineStr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  <c r="BN41" s="706" t="inlineStr"/>
      <c r="BO41" s="706" t="inlineStr"/>
      <c r="BP41" s="706" t="inlineStr"/>
      <c r="BQ41" s="706" t="inlineStr"/>
    </row>
    <row r="42" outlineLevel="1" ht="14.25" customFormat="1" customHeight="1" s="483">
      <c r="A42" s="733" t="n"/>
      <c r="B42" s="734" t="inlineStr">
        <is>
          <t>理财师003</t>
        </is>
      </c>
      <c r="C42" s="734" t="inlineStr">
        <is>
          <t>私人财富管理专家PWA4-1</t>
        </is>
      </c>
      <c r="D42" s="735" t="n">
        <v>46204</v>
      </c>
      <c r="E42" s="735" t="n">
        <v>46387</v>
      </c>
      <c r="F42" s="734" t="n">
        <v>27907.62</v>
      </c>
      <c r="G42" s="734" t="n">
        <v>5861.329108</v>
      </c>
      <c r="H42" s="734" t="n">
        <v>2090.731742</v>
      </c>
      <c r="I42" s="734" t="n">
        <v>0</v>
      </c>
      <c r="J42" s="734" t="n">
        <v>0</v>
      </c>
      <c r="K42" s="734">
        <f>SUM(H42:J42)</f>
        <v/>
      </c>
      <c r="L42" s="734" t="n">
        <v>2152.648612</v>
      </c>
      <c r="M42" s="734" t="n">
        <v>0</v>
      </c>
      <c r="N42" s="734" t="n">
        <v>1617.948754</v>
      </c>
      <c r="O42" s="734">
        <f>SUM(L42:N42)</f>
        <v/>
      </c>
      <c r="P42" s="734" t="n">
        <v>3023.349137</v>
      </c>
      <c r="Q42" s="734" t="n">
        <v>0</v>
      </c>
      <c r="R42" s="734" t="n">
        <v>2172.888255</v>
      </c>
      <c r="S42" s="734">
        <f>SUM(P42:R42)</f>
        <v/>
      </c>
      <c r="T42" s="734" t="n">
        <v>2530.119274</v>
      </c>
      <c r="U42" s="734" t="n">
        <v>2029.71366</v>
      </c>
      <c r="V42" s="734" t="n">
        <v>1772.582909</v>
      </c>
      <c r="W42" s="734">
        <f>SUM(T42:V42)</f>
        <v/>
      </c>
      <c r="X42" s="734" t="n">
        <v>567.268131</v>
      </c>
      <c r="Y42" s="734" t="n">
        <v>0</v>
      </c>
      <c r="Z42" s="734" t="n">
        <v>1666.262563</v>
      </c>
      <c r="AA42" s="734">
        <f>SUM(X42:Z42)</f>
        <v/>
      </c>
      <c r="AB42" s="734" t="n">
        <v>1550.383391</v>
      </c>
      <c r="AC42" s="734" t="n">
        <v>0</v>
      </c>
      <c r="AD42" s="734" t="n">
        <v>2273.498356</v>
      </c>
      <c r="AE42" s="734">
        <f>SUM(AB42:AD42)</f>
        <v/>
      </c>
      <c r="AF42" s="734" t="n">
        <v>1396.194268</v>
      </c>
      <c r="AG42" s="734" t="n">
        <v>0</v>
      </c>
      <c r="AH42" s="734" t="n">
        <v>1388.558583</v>
      </c>
      <c r="AI42" s="734">
        <f>SUM(AF42:AH42)</f>
        <v/>
      </c>
      <c r="AJ42" s="734" t="n">
        <v>7202.586607</v>
      </c>
      <c r="AK42" s="372">
        <f>SUM(K42+O42+S42+W42+AA42+AE42+AI42+AJ42)</f>
        <v/>
      </c>
      <c r="AL42" s="373">
        <f>IF(F42=0,"",K42/(F42/((YEAR(E42)*12+MONTH(E42))-(YEAR(D42)*12+MONTH(D42))+1)))</f>
        <v/>
      </c>
      <c r="AM42" s="373">
        <f>G42/F42</f>
        <v/>
      </c>
      <c r="AN42" s="736">
        <f>F42-G42</f>
        <v/>
      </c>
      <c r="AO42" s="733" t="n"/>
      <c r="AP42" s="733" t="n"/>
      <c r="AQ42" s="733" t="n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  <c r="BN42" s="706" t="inlineStr"/>
      <c r="BO42" s="706" t="inlineStr"/>
      <c r="BP42" s="706" t="inlineStr"/>
      <c r="BQ42" s="706" t="inlineStr"/>
    </row>
    <row r="43" outlineLevel="1" ht="14.25" customFormat="1" customHeight="1" s="483">
      <c r="A43" s="733" t="n"/>
      <c r="B43" s="734" t="inlineStr">
        <is>
          <t>理财师029</t>
        </is>
      </c>
      <c r="C43" s="734" t="inlineStr">
        <is>
          <t>私人财富管理专家PWA4-3</t>
        </is>
      </c>
      <c r="D43" s="735" t="n">
        <v>46150</v>
      </c>
      <c r="E43" s="735" t="n">
        <v>46333</v>
      </c>
      <c r="F43" s="734" t="n">
        <v>16404.52</v>
      </c>
      <c r="G43" s="734" t="n">
        <v>913.611119</v>
      </c>
      <c r="H43" s="734" t="n">
        <v>0</v>
      </c>
      <c r="I43" s="734" t="n">
        <v>0</v>
      </c>
      <c r="J43" s="734" t="n">
        <v>0</v>
      </c>
      <c r="K43" s="734">
        <f>SUM(H43:J43)</f>
        <v/>
      </c>
      <c r="L43" s="734" t="n">
        <v>82.18470000000001</v>
      </c>
      <c r="M43" s="734" t="n">
        <v>0</v>
      </c>
      <c r="N43" s="734" t="n">
        <v>63.309731</v>
      </c>
      <c r="O43" s="734">
        <f>SUM(L43:N43)</f>
        <v/>
      </c>
      <c r="P43" s="734" t="n">
        <v>644.8338</v>
      </c>
      <c r="Q43" s="734" t="n">
        <v>64.736256</v>
      </c>
      <c r="R43" s="734" t="n">
        <v>38.329254</v>
      </c>
      <c r="S43" s="734">
        <f>SUM(P43:R43)</f>
        <v/>
      </c>
      <c r="T43" s="734" t="n">
        <v>0</v>
      </c>
      <c r="U43" s="734" t="n">
        <v>0</v>
      </c>
      <c r="V43" s="734" t="n">
        <v>20.217377</v>
      </c>
      <c r="W43" s="734">
        <f>SUM(T43:V43)</f>
        <v/>
      </c>
      <c r="X43" s="734" t="n">
        <v>410.9235</v>
      </c>
      <c r="Y43" s="734" t="n">
        <v>0</v>
      </c>
      <c r="Z43" s="734" t="n">
        <v>4.340061</v>
      </c>
      <c r="AA43" s="734">
        <f>SUM(X43:Z43)</f>
        <v/>
      </c>
      <c r="AB43" s="734" t="n">
        <v>0</v>
      </c>
      <c r="AC43" s="734" t="n">
        <v>0</v>
      </c>
      <c r="AD43" s="734" t="n">
        <v>5.058234</v>
      </c>
      <c r="AE43" s="734">
        <f>SUM(AB43:AD43)</f>
        <v/>
      </c>
      <c r="AF43" s="734" t="n">
        <v>0</v>
      </c>
      <c r="AG43" s="734" t="n">
        <v>0</v>
      </c>
      <c r="AH43" s="734" t="n">
        <v>1.127915</v>
      </c>
      <c r="AI43" s="734">
        <f>SUM(AF43:AH43)</f>
        <v/>
      </c>
      <c r="AJ43" s="734" t="n">
        <v>0</v>
      </c>
      <c r="AK43" s="372">
        <f>SUM(K43+O43+S43+W43+AA43+AE43+AI43+AJ43)</f>
        <v/>
      </c>
      <c r="AL43" s="373">
        <f>IF(F43=0,"",K43/(F43/((YEAR(E43)*12+MONTH(E43))-(YEAR(D43)*12+MONTH(D43))+1)))</f>
        <v/>
      </c>
      <c r="AM43" s="373">
        <f>G43/F43</f>
        <v/>
      </c>
      <c r="AN43" s="736">
        <f>F43-G43</f>
        <v/>
      </c>
      <c r="AO43" s="733" t="n"/>
      <c r="AP43" s="733" t="n"/>
      <c r="AQ43" s="733" t="n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  <c r="BN43" s="706" t="inlineStr"/>
      <c r="BO43" s="706" t="inlineStr"/>
      <c r="BP43" s="706" t="inlineStr"/>
      <c r="BQ43" s="706" t="inlineStr"/>
    </row>
    <row r="44" outlineLevel="1" ht="14.25" customFormat="1" customHeight="1" s="483">
      <c r="A44" s="733" t="n"/>
      <c r="B44" s="734" t="inlineStr">
        <is>
          <t>理财师004</t>
        </is>
      </c>
      <c r="C44" s="734" t="inlineStr"/>
      <c r="D44" s="734" t="inlineStr"/>
      <c r="E44" s="734" t="inlineStr"/>
      <c r="F44" s="734" t="n">
        <v>0</v>
      </c>
      <c r="G44" s="734" t="n">
        <v>0</v>
      </c>
      <c r="H44" s="734" t="n">
        <v>0</v>
      </c>
      <c r="I44" s="734" t="n">
        <v>0</v>
      </c>
      <c r="J44" s="734" t="n">
        <v>0</v>
      </c>
      <c r="K44" s="734">
        <f>SUM(H44:J44)</f>
        <v/>
      </c>
      <c r="L44" s="734" t="n">
        <v>2341.58054</v>
      </c>
      <c r="M44" s="734" t="n">
        <v>0</v>
      </c>
      <c r="N44" s="734" t="n">
        <v>678.829965</v>
      </c>
      <c r="O44" s="734">
        <f>SUM(L44:N44)</f>
        <v/>
      </c>
      <c r="P44" s="734" t="n">
        <v>485.207489</v>
      </c>
      <c r="Q44" s="734" t="n">
        <v>0</v>
      </c>
      <c r="R44" s="734" t="n">
        <v>647.4247319999999</v>
      </c>
      <c r="S44" s="734">
        <f>SUM(P44:R44)</f>
        <v/>
      </c>
      <c r="T44" s="734" t="n">
        <v>2310.349392</v>
      </c>
      <c r="U44" s="734" t="n">
        <v>0</v>
      </c>
      <c r="V44" s="734" t="n">
        <v>578.575409</v>
      </c>
      <c r="W44" s="734">
        <f>SUM(T44:V44)</f>
        <v/>
      </c>
      <c r="X44" s="734" t="n">
        <v>753.431552</v>
      </c>
      <c r="Y44" s="734" t="n">
        <v>0</v>
      </c>
      <c r="Z44" s="734" t="n">
        <v>578.295302</v>
      </c>
      <c r="AA44" s="734">
        <f>SUM(X44:Z44)</f>
        <v/>
      </c>
      <c r="AB44" s="734" t="n">
        <v>1958.298381</v>
      </c>
      <c r="AC44" s="734" t="n">
        <v>0</v>
      </c>
      <c r="AD44" s="734" t="n">
        <v>652.1048489999999</v>
      </c>
      <c r="AE44" s="734">
        <f>SUM(AB44:AD44)</f>
        <v/>
      </c>
      <c r="AF44" s="734" t="n">
        <v>2837.047697</v>
      </c>
      <c r="AG44" s="734" t="n">
        <v>0</v>
      </c>
      <c r="AH44" s="734" t="n">
        <v>460.81999</v>
      </c>
      <c r="AI44" s="734">
        <f>SUM(AF44:AH44)</f>
        <v/>
      </c>
      <c r="AJ44" s="734" t="n">
        <v>2541.530781</v>
      </c>
      <c r="AK44" s="372">
        <f>SUM(K44+O44+S44+W44+AA44+AE44+AI44+AJ44)</f>
        <v/>
      </c>
      <c r="AL44" s="373">
        <f>IF(F44=0,"",K44/(F44/MAX(1,(YEAR(E44)*12+MONTH(E44))-(YEAR(D44)*12+MONTH(D44))+1)))</f>
        <v/>
      </c>
      <c r="AM44" s="373">
        <f>G44/F44</f>
        <v/>
      </c>
      <c r="AN44" s="736">
        <f>F44-G44</f>
        <v/>
      </c>
      <c r="AO44" s="733" t="n"/>
      <c r="AP44" s="733" t="n"/>
      <c r="AQ44" s="733" t="n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  <c r="BN44" s="706" t="inlineStr"/>
      <c r="BO44" s="706" t="inlineStr"/>
      <c r="BP44" s="706" t="inlineStr"/>
      <c r="BQ44" s="706" t="inlineStr"/>
    </row>
    <row r="45" outlineLevel="1" ht="14.25" customFormat="1" customHeight="1" s="483">
      <c r="A45" s="733" t="n"/>
      <c r="B45" s="734" t="inlineStr">
        <is>
          <t>理财师012</t>
        </is>
      </c>
      <c r="C45" s="734" t="inlineStr">
        <is>
          <t>首席私人财富管理专家PWA5-1</t>
        </is>
      </c>
      <c r="D45" s="735" t="n">
        <v>46204</v>
      </c>
      <c r="E45" s="735" t="n">
        <v>46387</v>
      </c>
      <c r="F45" s="734" t="n">
        <v>39973.5</v>
      </c>
      <c r="G45" s="734" t="n">
        <v>7082.30492</v>
      </c>
      <c r="H45" s="734" t="n">
        <v>618.398062</v>
      </c>
      <c r="I45" s="734" t="n">
        <v>0</v>
      </c>
      <c r="J45" s="734" t="n">
        <v>0</v>
      </c>
      <c r="K45" s="734">
        <f>SUM(H45:J45)</f>
        <v/>
      </c>
      <c r="L45" s="734" t="n">
        <v>5566.490327</v>
      </c>
      <c r="M45" s="734" t="n">
        <v>0</v>
      </c>
      <c r="N45" s="734" t="n">
        <v>897.416531</v>
      </c>
      <c r="O45" s="734">
        <f>SUM(L45:N45)</f>
        <v/>
      </c>
      <c r="P45" s="734" t="n">
        <v>5710.083829</v>
      </c>
      <c r="Q45" s="734" t="n">
        <v>0</v>
      </c>
      <c r="R45" s="734" t="n">
        <v>4494.277957</v>
      </c>
      <c r="S45" s="734">
        <f>SUM(P45:R45)</f>
        <v/>
      </c>
      <c r="T45" s="734" t="n">
        <v>5099.256359</v>
      </c>
      <c r="U45" s="734" t="n">
        <v>0</v>
      </c>
      <c r="V45" s="734" t="n">
        <v>2165.674642</v>
      </c>
      <c r="W45" s="734">
        <f>SUM(T45:V45)</f>
        <v/>
      </c>
      <c r="X45" s="734" t="n">
        <v>937.141286</v>
      </c>
      <c r="Y45" s="734" t="n">
        <v>0</v>
      </c>
      <c r="Z45" s="734" t="n">
        <v>1775.786688</v>
      </c>
      <c r="AA45" s="734">
        <f>SUM(X45:Z45)</f>
        <v/>
      </c>
      <c r="AB45" s="734" t="n">
        <v>3160.387028</v>
      </c>
      <c r="AC45" s="734" t="n">
        <v>0</v>
      </c>
      <c r="AD45" s="734" t="n">
        <v>3880.484178</v>
      </c>
      <c r="AE45" s="734">
        <f>SUM(AB45:AD45)</f>
        <v/>
      </c>
      <c r="AF45" s="734" t="n">
        <v>3065.24731</v>
      </c>
      <c r="AG45" s="734" t="n">
        <v>0</v>
      </c>
      <c r="AH45" s="734" t="n">
        <v>1466.609142</v>
      </c>
      <c r="AI45" s="734">
        <f>SUM(AF45:AH45)</f>
        <v/>
      </c>
      <c r="AJ45" s="734" t="n">
        <v>4881.758761</v>
      </c>
      <c r="AK45" s="372">
        <f>SUM(K45+O45+S45+W45+AA45+AE45+AI45+AJ45)</f>
        <v/>
      </c>
      <c r="AL45" s="373">
        <f>IF(F45=0,"",K45/(F45/((YEAR(E45)*12+MONTH(E45))-(YEAR(D45)*12+MONTH(D45))+1)))</f>
        <v/>
      </c>
      <c r="AM45" s="373">
        <f>G45/F45</f>
        <v/>
      </c>
      <c r="AN45" s="736">
        <f>F45-G45</f>
        <v/>
      </c>
      <c r="AO45" s="733" t="n"/>
      <c r="AP45" s="733" t="n"/>
      <c r="AQ45" s="733" t="n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  <c r="BN45" s="706" t="inlineStr"/>
      <c r="BO45" s="706" t="inlineStr"/>
      <c r="BP45" s="706" t="inlineStr"/>
      <c r="BQ45" s="706" t="inlineStr"/>
    </row>
    <row r="46" outlineLevel="1" ht="14.25" customFormat="1" customHeight="1" s="483">
      <c r="A46" s="737" t="n"/>
      <c r="B46" s="734" t="inlineStr">
        <is>
          <t>理财师031</t>
        </is>
      </c>
      <c r="C46" s="734" t="inlineStr">
        <is>
          <t>私人财富管理总监PWA3-1</t>
        </is>
      </c>
      <c r="D46" s="735" t="n">
        <v>46244</v>
      </c>
      <c r="E46" s="735" t="n">
        <v>46427</v>
      </c>
      <c r="F46" s="734" t="n">
        <v>14903.6</v>
      </c>
      <c r="G46" s="734" t="n">
        <v>0</v>
      </c>
      <c r="H46" s="734" t="n">
        <v>0</v>
      </c>
      <c r="I46" s="734" t="n">
        <v>0</v>
      </c>
      <c r="J46" s="734" t="n">
        <v>0</v>
      </c>
      <c r="K46" s="734">
        <f>SUM(H46:J46)</f>
        <v/>
      </c>
      <c r="L46" s="734" t="n">
        <v>86.0985</v>
      </c>
      <c r="M46" s="734" t="n">
        <v>0</v>
      </c>
      <c r="N46" s="734" t="n">
        <v>0</v>
      </c>
      <c r="O46" s="734">
        <f>SUM(L46:N46)</f>
        <v/>
      </c>
      <c r="P46" s="734" t="n">
        <v>213.405454</v>
      </c>
      <c r="Q46" s="734" t="n">
        <v>0</v>
      </c>
      <c r="R46" s="734" t="n">
        <v>9.135904</v>
      </c>
      <c r="S46" s="734">
        <f>SUM(P46:R46)</f>
        <v/>
      </c>
      <c r="T46" s="734" t="n">
        <v>1006.091686</v>
      </c>
      <c r="U46" s="734" t="n">
        <v>0</v>
      </c>
      <c r="V46" s="734" t="n">
        <v>0</v>
      </c>
      <c r="W46" s="734">
        <f>SUM(T46:V46)</f>
        <v/>
      </c>
      <c r="X46" s="734" t="n">
        <v>73.317948</v>
      </c>
      <c r="Y46" s="734" t="n">
        <v>0</v>
      </c>
      <c r="Z46" s="734" t="n">
        <v>0</v>
      </c>
      <c r="AA46" s="734">
        <f>SUM(X46:Z46)</f>
        <v/>
      </c>
      <c r="AB46" s="734" t="n">
        <v>0</v>
      </c>
      <c r="AC46" s="734" t="n">
        <v>0</v>
      </c>
      <c r="AD46" s="734" t="n">
        <v>0</v>
      </c>
      <c r="AE46" s="734">
        <f>SUM(AB46:AD46)</f>
        <v/>
      </c>
      <c r="AF46" s="734" t="n">
        <v>0</v>
      </c>
      <c r="AG46" s="734" t="n">
        <v>0</v>
      </c>
      <c r="AH46" s="734" t="n">
        <v>0</v>
      </c>
      <c r="AI46" s="734">
        <f>SUM(AF46:AH46)</f>
        <v/>
      </c>
      <c r="AJ46" s="734" t="n">
        <v>0</v>
      </c>
      <c r="AK46" s="734">
        <f>SUM(K46+O46+S46+W46+AA46+AE46+AI46+AJ46)</f>
        <v/>
      </c>
      <c r="AL46" s="373">
        <f>IF(F46=0,"",K46/(F46/((YEAR(E46)*12+MONTH(E46))-(YEAR(D46)*12+MONTH(D46))+1)))</f>
        <v/>
      </c>
      <c r="AM46" s="373">
        <f>G46/F46</f>
        <v/>
      </c>
      <c r="AN46" s="734">
        <f>F46-G46</f>
        <v/>
      </c>
      <c r="AO46" s="737" t="n"/>
      <c r="AP46" s="737" t="n"/>
      <c r="AQ46" s="737" t="n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  <c r="BN46" s="706" t="inlineStr"/>
      <c r="BO46" s="706" t="inlineStr"/>
      <c r="BP46" s="706" t="inlineStr"/>
      <c r="BQ46" s="706" t="inlineStr"/>
    </row>
    <row r="47" outlineLevel="1" ht="14.25" customFormat="1" customHeight="1" s="483">
      <c r="A47" s="738" t="inlineStr">
        <is>
          <t>合计</t>
        </is>
      </c>
      <c r="B47" s="739" t="n"/>
      <c r="C47" s="739" t="n"/>
      <c r="D47" s="739" t="n"/>
      <c r="E47" s="740" t="n"/>
      <c r="F47" s="379">
        <f>SUM(F41:F46)</f>
        <v/>
      </c>
      <c r="G47" s="738">
        <f>SUM(G41:G46)</f>
        <v/>
      </c>
      <c r="H47" s="738">
        <f>SUM(H41:H46)</f>
        <v/>
      </c>
      <c r="I47" s="738">
        <f>SUM(I41:I46)</f>
        <v/>
      </c>
      <c r="J47" s="738">
        <f>SUM(J41:J46)</f>
        <v/>
      </c>
      <c r="K47" s="738">
        <f>SUM(K41:K46)</f>
        <v/>
      </c>
      <c r="L47" s="738">
        <f>SUM(L41:L46)</f>
        <v/>
      </c>
      <c r="M47" s="738">
        <f>SUM(M41:M46)</f>
        <v/>
      </c>
      <c r="N47" s="738">
        <f>SUM(N41:N46)</f>
        <v/>
      </c>
      <c r="O47" s="738">
        <f>SUM(O41:O46)</f>
        <v/>
      </c>
      <c r="P47" s="738">
        <f>SUM(P41:P46)</f>
        <v/>
      </c>
      <c r="Q47" s="738">
        <f>SUM(Q41:Q46)</f>
        <v/>
      </c>
      <c r="R47" s="738">
        <f>SUM(R41:R46)</f>
        <v/>
      </c>
      <c r="S47" s="738">
        <f>SUM(S41:S46)</f>
        <v/>
      </c>
      <c r="T47" s="738">
        <f>SUM(T41:T46)</f>
        <v/>
      </c>
      <c r="U47" s="738">
        <f>SUM(U41:U46)</f>
        <v/>
      </c>
      <c r="V47" s="738">
        <f>SUM(V41:V46)</f>
        <v/>
      </c>
      <c r="W47" s="738">
        <f>SUM(W41:W46)</f>
        <v/>
      </c>
      <c r="X47" s="738">
        <f>SUM(X41:X46)</f>
        <v/>
      </c>
      <c r="Y47" s="738">
        <f>SUM(Y41:Y46)</f>
        <v/>
      </c>
      <c r="Z47" s="738">
        <f>SUM(Z41:Z46)</f>
        <v/>
      </c>
      <c r="AA47" s="738">
        <f>SUM(AA41:AA46)</f>
        <v/>
      </c>
      <c r="AB47" s="738">
        <f>SUM(AB41:AB46)</f>
        <v/>
      </c>
      <c r="AC47" s="738">
        <f>SUM(AC41:AC46)</f>
        <v/>
      </c>
      <c r="AD47" s="738">
        <f>SUM(AD41:AD46)</f>
        <v/>
      </c>
      <c r="AE47" s="738">
        <f>SUM(AE41:AE46)</f>
        <v/>
      </c>
      <c r="AF47" s="738">
        <f>SUM(AF41:AF46)</f>
        <v/>
      </c>
      <c r="AG47" s="738">
        <f>SUM(AG41:AG46)</f>
        <v/>
      </c>
      <c r="AH47" s="738">
        <f>SUM(AH41:AH46)</f>
        <v/>
      </c>
      <c r="AI47" s="738">
        <f>SUM(AI41:AI46)</f>
        <v/>
      </c>
      <c r="AJ47" s="738">
        <f>SUM(AJ41:AJ46)</f>
        <v/>
      </c>
      <c r="AK47" s="738">
        <f>SUM(K47+O47+S47+W47+AA47+AE47+AI47+AJ47)</f>
        <v/>
      </c>
      <c r="AL47" s="381">
        <f>IF(F47=0,"",K47/(F47/((YEAR(E41)*12+MONTH(E41))-(YEAR(D41)*12+MONTH(D41))+1)))</f>
        <v/>
      </c>
      <c r="AM47" s="382">
        <f>G47/F47</f>
        <v/>
      </c>
      <c r="AN47" s="738">
        <f>F47-G47</f>
        <v/>
      </c>
      <c r="AO47" s="383">
        <f>AO41</f>
        <v/>
      </c>
      <c r="AP47" s="381">
        <f>AK47/AO41</f>
        <v/>
      </c>
      <c r="AQ47" s="742">
        <f>AO41-AK47</f>
        <v/>
      </c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  <c r="BN47" s="713" t="inlineStr"/>
      <c r="BO47" s="713" t="inlineStr"/>
      <c r="BP47" s="713" t="inlineStr"/>
      <c r="BQ47" s="713" t="inlineStr"/>
    </row>
    <row r="48" ht="14.25" customFormat="1" customHeight="1" s="483">
      <c r="A48" s="747" t="inlineStr">
        <is>
          <t>合计</t>
        </is>
      </c>
      <c r="B48" s="748" t="n"/>
      <c r="C48" s="748" t="n"/>
      <c r="D48" s="748" t="n"/>
      <c r="E48" s="749" t="n"/>
      <c r="F48" s="750">
        <f>F9+F14+F19+F23+F27+F30+F33+F37+F40+F47</f>
        <v/>
      </c>
      <c r="G48" s="750">
        <f>G9+G14+G19+G23+G27+G30+G33+G37+G40+G47</f>
        <v/>
      </c>
      <c r="H48" s="751">
        <f>H9+H14+H19+H23+H27+H30+H33+H37+H40+H47</f>
        <v/>
      </c>
      <c r="I48" s="751">
        <f>I9+I14+I19+I23+I27+I30+I33+I37+I40+I47</f>
        <v/>
      </c>
      <c r="J48" s="751">
        <f>J9+J14+J19+J23+J27+J30+J33+J37+J40+J47</f>
        <v/>
      </c>
      <c r="K48" s="751">
        <f>K9+K14+K19+K23+K27+K30+K33+K37+K40+K47</f>
        <v/>
      </c>
      <c r="L48" s="751">
        <f>L9+L14+L19+L23+L27+L30+L33+L37+L40+L47</f>
        <v/>
      </c>
      <c r="M48" s="751">
        <f>M9+M14+M19+M23+M27+M30+M33+M37+M40+M47</f>
        <v/>
      </c>
      <c r="N48" s="751">
        <f>N9+N14+N19+N23+N27+N30+N33+N37+N40+N47</f>
        <v/>
      </c>
      <c r="O48" s="751">
        <f>O9+O14+O19+O23+O27+O30+O33+O37+O40+O47</f>
        <v/>
      </c>
      <c r="P48" s="750">
        <f>P9+P14+P19+P23+P27+P30+P33+P37+P40+P47</f>
        <v/>
      </c>
      <c r="Q48" s="750">
        <f>Q9+Q14+Q19+Q23+Q27+Q30+Q33+Q37+Q40+Q47</f>
        <v/>
      </c>
      <c r="R48" s="750">
        <f>R9+R14+R19+R23+R27+R30+R33+R37+R40+R47</f>
        <v/>
      </c>
      <c r="S48" s="750">
        <f>S9+S14+S19+S23+S27+S30+S33+S37+S40+S47</f>
        <v/>
      </c>
      <c r="T48" s="750">
        <f>T9+T14+T19+T23+T27+T30+T33+T37+T40+T47</f>
        <v/>
      </c>
      <c r="U48" s="750">
        <f>U9+U14+U19+U23+U27+U30+U33+U37+U40+U47</f>
        <v/>
      </c>
      <c r="V48" s="750">
        <f>V9+V14+V19+V23+V27+V30+V33+V37+V40+V47</f>
        <v/>
      </c>
      <c r="W48" s="750">
        <f>W9+W14+W19+W23+W27+W30+W33+W37+W40+W47</f>
        <v/>
      </c>
      <c r="X48" s="750">
        <f>X9+X14+X19+X23+X27+X30+X33+X37+X40+X47</f>
        <v/>
      </c>
      <c r="Y48" s="750">
        <f>Y9+Y14+Y19+Y23+Y27+Y30+Y33+Y37+Y40+Y47</f>
        <v/>
      </c>
      <c r="Z48" s="750">
        <f>Z9+Z14+Z19+Z23+Z27+Z30+Z33+Z37+Z40+Z47</f>
        <v/>
      </c>
      <c r="AA48" s="750">
        <f>AA9+AA14+AA19+AA23+AA27+AA30+AA33+AA37+AA40+AA47</f>
        <v/>
      </c>
      <c r="AB48" s="750">
        <f>AB9+AB14+AB19+AB23+AB27+AB30+AB33+AB37+AB40+AB47</f>
        <v/>
      </c>
      <c r="AC48" s="751">
        <f>AC9+AC14+AC19+AC23+AC27+AC30+AC33+AC37+AC40+AC47</f>
        <v/>
      </c>
      <c r="AD48" s="751">
        <f>AD9+AD14+AD19+AD23+AD27+AD30+AD33+AD37+AD40+AD47</f>
        <v/>
      </c>
      <c r="AE48" s="751">
        <f>AE9+AE14+AE19+AE23+AE27+AE30+AE33+AE37+AE40+AE47</f>
        <v/>
      </c>
      <c r="AF48" s="751">
        <f>AF9+AF14+AF19+AF23+AF27+AF30+AF33+AF37+AF40+AF47</f>
        <v/>
      </c>
      <c r="AG48" s="751">
        <f>AG9+AG14+AG19+AG23+AG27+AG30+AG33+AG37+AG40+AG47</f>
        <v/>
      </c>
      <c r="AH48" s="751">
        <f>AH9+AH14+AH19+AH23+AH27+AH30+AH33+AH37+AH40+AH47</f>
        <v/>
      </c>
      <c r="AI48" s="751">
        <f>AI9+AI14+AI19+AI23+AI27+AI30+AI33+AI37+AI40+AI47</f>
        <v/>
      </c>
      <c r="AJ48" s="751">
        <f>AJ9+AJ14+AJ19+AJ23+AJ27+AJ30+AJ33+AJ37+AJ40+AJ47</f>
        <v/>
      </c>
      <c r="AK48" s="394">
        <f>AK9+AK14+AK19+AK23+AK27+AK30+AK33+AK37+AK40+AK47</f>
        <v/>
      </c>
      <c r="AL48" s="395">
        <f>K48/(F48/((YEAR(E4)*12+MONTH(E4))-(YEAR(D4)*12+MONTH(D4))+1))</f>
        <v/>
      </c>
      <c r="AM48" s="395">
        <f>G48/F48</f>
        <v/>
      </c>
      <c r="AN48" s="752">
        <f>F48-G48</f>
        <v/>
      </c>
      <c r="AO48" s="397">
        <f>AO9+AO14+AO19+AO23+AO27+AO30+AO33+AO37+AO40+AO47</f>
        <v/>
      </c>
      <c r="AP48" s="398">
        <f>AK48/AO48</f>
        <v/>
      </c>
      <c r="AQ48" s="751">
        <f>AO48-AK48</f>
        <v/>
      </c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3" t="inlineStr"/>
      <c r="BN48" s="723" t="inlineStr"/>
      <c r="BO48" s="723" t="inlineStr"/>
      <c r="BP48" s="723" t="inlineStr"/>
      <c r="BQ48" s="727" t="inlineStr"/>
    </row>
    <row r="49" ht="14.25" customFormat="1" customHeight="1" s="483">
      <c r="AN49" s="633" t="inlineStr">
        <is>
          <t>公司目标</t>
        </is>
      </c>
      <c r="AO49" s="633" t="n">
        <v>938570.569899</v>
      </c>
      <c r="AP49" s="252">
        <f>IF(AO49&lt;&gt;0,AK48/AO49,"")</f>
        <v/>
      </c>
      <c r="AQ49" s="663">
        <f>AO49-AK48</f>
        <v/>
      </c>
    </row>
    <row r="50" ht="35.1" customFormat="1" customHeight="1" s="483"/>
    <row r="51" ht="24" customFormat="1" customHeight="1" s="483"/>
  </sheetData>
  <mergeCells count="95">
    <mergeCell ref="A48:E48"/>
    <mergeCell ref="A20:A22"/>
    <mergeCell ref="A4:A8"/>
    <mergeCell ref="U2:U3"/>
    <mergeCell ref="AO4:AO8"/>
    <mergeCell ref="AQ24:AQ26"/>
    <mergeCell ref="A37:E37"/>
    <mergeCell ref="A2:A3"/>
    <mergeCell ref="A24:A26"/>
    <mergeCell ref="C2:C3"/>
    <mergeCell ref="E2:E3"/>
    <mergeCell ref="W2:W3"/>
    <mergeCell ref="AO1:AP1"/>
    <mergeCell ref="A23:E23"/>
    <mergeCell ref="AA2:AA3"/>
    <mergeCell ref="AO10:AO13"/>
    <mergeCell ref="AC2:AC3"/>
    <mergeCell ref="AQ10:AQ13"/>
    <mergeCell ref="A10:A13"/>
    <mergeCell ref="AM2:AM3"/>
    <mergeCell ref="AO2:AO3"/>
    <mergeCell ref="AO41:AO46"/>
    <mergeCell ref="V2:V3"/>
    <mergeCell ref="X2:X3"/>
    <mergeCell ref="AO20:AO22"/>
    <mergeCell ref="AO34:AO36"/>
    <mergeCell ref="AQ34:AQ36"/>
    <mergeCell ref="AQ4:AQ8"/>
    <mergeCell ref="N2:N3"/>
    <mergeCell ref="F2:F3"/>
    <mergeCell ref="P2:P3"/>
    <mergeCell ref="H2:H3"/>
    <mergeCell ref="AO28:AO29"/>
    <mergeCell ref="AP10:AP13"/>
    <mergeCell ref="AF2:AF3"/>
    <mergeCell ref="AO15:AO18"/>
    <mergeCell ref="K2:K3"/>
    <mergeCell ref="AH2:AH3"/>
    <mergeCell ref="AO38:AO39"/>
    <mergeCell ref="AQ38:AQ39"/>
    <mergeCell ref="O2:O3"/>
    <mergeCell ref="Q2:Q3"/>
    <mergeCell ref="A14:E14"/>
    <mergeCell ref="AI2:AI3"/>
    <mergeCell ref="AK2:AK3"/>
    <mergeCell ref="AP20:AP22"/>
    <mergeCell ref="AO31:AO32"/>
    <mergeCell ref="AQ31:AQ32"/>
    <mergeCell ref="AQ15:AQ18"/>
    <mergeCell ref="AO24:AO26"/>
    <mergeCell ref="A40:E40"/>
    <mergeCell ref="S2:S3"/>
    <mergeCell ref="B2:B3"/>
    <mergeCell ref="D2:D3"/>
    <mergeCell ref="A41:A46"/>
    <mergeCell ref="A34:A36"/>
    <mergeCell ref="Z2:Z3"/>
    <mergeCell ref="AQ41:AQ46"/>
    <mergeCell ref="AB2:AB3"/>
    <mergeCell ref="T2:T3"/>
    <mergeCell ref="AD2:AD3"/>
    <mergeCell ref="AN2:AN3"/>
    <mergeCell ref="AP2:AP3"/>
    <mergeCell ref="AP4:AP8"/>
    <mergeCell ref="A47:E47"/>
    <mergeCell ref="A9:E9"/>
    <mergeCell ref="A38:A39"/>
    <mergeCell ref="AP41:AP46"/>
    <mergeCell ref="AP34:AP36"/>
    <mergeCell ref="A31:A32"/>
    <mergeCell ref="A15:A18"/>
    <mergeCell ref="G2:G3"/>
    <mergeCell ref="I2:I3"/>
    <mergeCell ref="AP28:AP29"/>
    <mergeCell ref="A30:E30"/>
    <mergeCell ref="M2:M3"/>
    <mergeCell ref="AE2:AE3"/>
    <mergeCell ref="AG2:AG3"/>
    <mergeCell ref="Y2:Y3"/>
    <mergeCell ref="AQ2:AQ3"/>
    <mergeCell ref="AP38:AP39"/>
    <mergeCell ref="AP31:AP32"/>
    <mergeCell ref="AP15:AP18"/>
    <mergeCell ref="A27:E27"/>
    <mergeCell ref="AQ20:AQ22"/>
    <mergeCell ref="A33:E33"/>
    <mergeCell ref="AP24:AP26"/>
    <mergeCell ref="R2:R3"/>
    <mergeCell ref="J2:J3"/>
    <mergeCell ref="AQ28:AQ29"/>
    <mergeCell ref="L2:L3"/>
    <mergeCell ref="A28:A29"/>
    <mergeCell ref="A19:E19"/>
    <mergeCell ref="AJ2:AJ3"/>
    <mergeCell ref="AL2:AL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Q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2"/>
    <col hidden="1" width="13" customWidth="1" style="533" min="13" max="13"/>
    <col hidden="1" width="13" customWidth="1" style="533" min="14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5"/>
    <col hidden="1" width="13" customWidth="1" style="483" min="26" max="26"/>
    <col width="13.9286" customWidth="1" style="533" min="27" max="27"/>
    <col hidden="1" width="12.7857" customWidth="1" style="483" min="28" max="28"/>
    <col hidden="1" width="13" customWidth="1" style="483" min="29" max="29"/>
    <col hidden="1" width="13" customWidth="1" style="483" min="30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6"/>
    <col width="13.2143" customWidth="1" style="533" min="37" max="37"/>
    <col width="6.57143" customWidth="1" style="533" min="38" max="38"/>
    <col width="18.5714" customWidth="1" style="533" min="39" max="39"/>
    <col width="10.6429" customWidth="1" style="533" min="40" max="40"/>
    <col width="17.3571" customWidth="1" style="533" min="41" max="41"/>
    <col width="11.4286" customWidth="1" style="533" min="42" max="42"/>
    <col width="13.9286" customWidth="1" style="533" min="43" max="43"/>
    <col width="9" customWidth="1" style="533" min="44" max="45"/>
    <col width="12.3571" customWidth="1" style="533" min="46" max="46"/>
    <col width="9" customWidth="1" style="533" min="47" max="69"/>
  </cols>
  <sheetData>
    <row r="1" ht="20.25" customFormat="1" customHeight="1" s="483">
      <c r="A1" s="754" t="inlineStr">
        <is>
          <t>私人财富管理部折标销售进度表-截止20260828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649" t="inlineStr"/>
      <c r="AL1" s="649" t="inlineStr"/>
      <c r="AM1" s="649" t="inlineStr"/>
      <c r="AN1" s="649" t="inlineStr"/>
      <c r="AO1" s="552" t="inlineStr">
        <is>
          <t>上半年时间进度</t>
        </is>
      </c>
      <c r="AQ1" s="70">
        <f>AV7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传统202608</t>
        </is>
      </c>
      <c r="I2" s="541" t="inlineStr">
        <is>
          <t>保险202608</t>
        </is>
      </c>
      <c r="J2" s="541" t="inlineStr">
        <is>
          <t>管理费202608</t>
        </is>
      </c>
      <c r="K2" s="669" t="inlineStr">
        <is>
          <t>2026年
8月折标</t>
        </is>
      </c>
      <c r="L2" s="541" t="inlineStr">
        <is>
          <t>传统202607</t>
        </is>
      </c>
      <c r="M2" s="541" t="inlineStr">
        <is>
          <t>保险202607</t>
        </is>
      </c>
      <c r="N2" s="541" t="inlineStr">
        <is>
          <t>管理费202607</t>
        </is>
      </c>
      <c r="O2" s="669" t="inlineStr">
        <is>
          <t>2026年
7月折标</t>
        </is>
      </c>
      <c r="P2" s="541" t="inlineStr">
        <is>
          <t>传统202606</t>
        </is>
      </c>
      <c r="Q2" s="541" t="inlineStr">
        <is>
          <t>保险202606</t>
        </is>
      </c>
      <c r="R2" s="541" t="inlineStr">
        <is>
          <t>管理费202606</t>
        </is>
      </c>
      <c r="S2" s="669" t="inlineStr">
        <is>
          <t>2026年
6月折标</t>
        </is>
      </c>
      <c r="T2" s="541" t="inlineStr">
        <is>
          <t>传统202605</t>
        </is>
      </c>
      <c r="U2" s="541" t="inlineStr">
        <is>
          <t>保险202605</t>
        </is>
      </c>
      <c r="V2" s="541" t="inlineStr">
        <is>
          <t>管理费202605</t>
        </is>
      </c>
      <c r="W2" s="669" t="inlineStr">
        <is>
          <t>2026年
5月折标</t>
        </is>
      </c>
      <c r="X2" s="541" t="inlineStr">
        <is>
          <t>传统202604</t>
        </is>
      </c>
      <c r="Y2" s="541" t="inlineStr">
        <is>
          <t>保险202604</t>
        </is>
      </c>
      <c r="Z2" s="541" t="inlineStr">
        <is>
          <t>管理费202604</t>
        </is>
      </c>
      <c r="AA2" s="669" t="inlineStr">
        <is>
          <t>2026年
4月折标</t>
        </is>
      </c>
      <c r="AB2" s="541" t="inlineStr">
        <is>
          <t>传统202603</t>
        </is>
      </c>
      <c r="AC2" s="541" t="inlineStr">
        <is>
          <t>保险202603</t>
        </is>
      </c>
      <c r="AD2" s="541" t="inlineStr">
        <is>
          <t>管理费202603</t>
        </is>
      </c>
      <c r="AE2" s="669" t="inlineStr">
        <is>
          <t>2026年
3月折标</t>
        </is>
      </c>
      <c r="AF2" s="541" t="inlineStr">
        <is>
          <t>传统202602</t>
        </is>
      </c>
      <c r="AG2" s="541" t="inlineStr">
        <is>
          <t>保险202602</t>
        </is>
      </c>
      <c r="AH2" s="541" t="inlineStr">
        <is>
          <t>管理费202602</t>
        </is>
      </c>
      <c r="AI2" s="669" t="inlineStr">
        <is>
          <t>2026年
2月折标</t>
        </is>
      </c>
      <c r="AJ2" s="669" t="inlineStr">
        <is>
          <t>2026年
1月折标</t>
        </is>
      </c>
      <c r="AK2" s="670" t="inlineStr">
        <is>
          <t>2026年YTD折标</t>
        </is>
      </c>
      <c r="AL2" s="671" t="inlineStr">
        <is>
          <t>月度
完成率</t>
        </is>
      </c>
      <c r="AM2" s="666" t="inlineStr">
        <is>
          <t>考核期完成率（累计）</t>
        </is>
      </c>
      <c r="AN2" s="560" t="inlineStr">
        <is>
          <t>考核期差距</t>
        </is>
      </c>
      <c r="AO2" s="561" t="inlineStr">
        <is>
          <t>财富中心
上半年年任务</t>
        </is>
      </c>
      <c r="AP2" s="79" t="inlineStr">
        <is>
          <t>财富中心
上半年任务完成率</t>
        </is>
      </c>
      <c r="AQ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</row>
    <row r="4" outlineLevel="1" ht="14.25" customFormat="1" customHeight="1" s="483">
      <c r="A4" s="729" t="inlineStr">
        <is>
          <t>理财师018</t>
        </is>
      </c>
      <c r="B4" s="729" t="inlineStr">
        <is>
          <t>理财师021</t>
        </is>
      </c>
      <c r="C4" s="729" t="inlineStr">
        <is>
          <t>私人财富管理总监PWA3-4</t>
        </is>
      </c>
      <c r="D4" s="730" t="n">
        <v>46204</v>
      </c>
      <c r="E4" s="730" t="n">
        <v>46387</v>
      </c>
      <c r="F4" s="729" t="n">
        <v>14498.13</v>
      </c>
      <c r="G4" s="729" t="n">
        <v>2700.412368</v>
      </c>
      <c r="H4" s="729" t="n">
        <v>84.3921</v>
      </c>
      <c r="I4" s="729" t="n">
        <v>0</v>
      </c>
      <c r="J4" s="729" t="n">
        <v>0</v>
      </c>
      <c r="K4" s="729">
        <f>SUM(H4:J4)</f>
        <v/>
      </c>
      <c r="L4" s="729" t="n">
        <v>1874.489194</v>
      </c>
      <c r="M4" s="729" t="n">
        <v>0</v>
      </c>
      <c r="N4" s="729" t="n">
        <v>741.531073</v>
      </c>
      <c r="O4" s="729">
        <f>SUM(L4:N4)</f>
        <v/>
      </c>
      <c r="P4" s="729" t="n">
        <v>927.52544</v>
      </c>
      <c r="Q4" s="729" t="n">
        <v>0</v>
      </c>
      <c r="R4" s="729" t="n">
        <v>1433.561147</v>
      </c>
      <c r="S4" s="729">
        <f>SUM(P4:R4)</f>
        <v/>
      </c>
      <c r="T4" s="729" t="n">
        <v>1183.338361</v>
      </c>
      <c r="U4" s="729" t="n">
        <v>0</v>
      </c>
      <c r="V4" s="729" t="n">
        <v>634.456086</v>
      </c>
      <c r="W4" s="729">
        <f>SUM(T4:V4)</f>
        <v/>
      </c>
      <c r="X4" s="729" t="n">
        <v>3203.368286</v>
      </c>
      <c r="Y4" s="729" t="n">
        <v>0</v>
      </c>
      <c r="Z4" s="729" t="n">
        <v>538.668767</v>
      </c>
      <c r="AA4" s="729">
        <f>SUM(X4:Z4)</f>
        <v/>
      </c>
      <c r="AB4" s="729" t="n">
        <v>8704.796721000001</v>
      </c>
      <c r="AC4" s="729" t="n">
        <v>0</v>
      </c>
      <c r="AD4" s="729" t="n">
        <v>1253.999839</v>
      </c>
      <c r="AE4" s="729">
        <f>SUM(AB4:AD4)</f>
        <v/>
      </c>
      <c r="AF4" s="729" t="n">
        <v>1402.304143</v>
      </c>
      <c r="AG4" s="729" t="n">
        <v>742.65048</v>
      </c>
      <c r="AH4" s="729" t="n">
        <v>433.535601</v>
      </c>
      <c r="AI4" s="729">
        <f>SUM(AF4:AH4)</f>
        <v/>
      </c>
      <c r="AJ4" s="729" t="n">
        <v>3464.9959</v>
      </c>
      <c r="AK4" s="363">
        <f>SUM(K4+O4+S4+W4+AA4+AE4+AI4+AJ4)</f>
        <v/>
      </c>
      <c r="AL4" s="364">
        <f>IF(F4=0,"",K4/(F4/((YEAR(E4)*12+MONTH(E4))-(YEAR(D4)*12+MONTH(D4))+1)))</f>
        <v/>
      </c>
      <c r="AM4" s="364">
        <f>G4/F4</f>
        <v/>
      </c>
      <c r="AN4" s="731">
        <f>F4-G4</f>
        <v/>
      </c>
      <c r="AO4" s="366">
        <f>SUM(F4:F8)</f>
        <v/>
      </c>
      <c r="AP4" s="367">
        <f>AP9</f>
        <v/>
      </c>
      <c r="AQ4" s="732">
        <f>AQ9</f>
        <v/>
      </c>
      <c r="AR4" s="706" t="inlineStr"/>
      <c r="AS4" s="706" t="inlineStr"/>
      <c r="AT4" s="706" t="inlineStr">
        <is>
          <t>开始日期</t>
        </is>
      </c>
      <c r="AU4" s="706" t="inlineStr">
        <is>
          <t>结束日期</t>
        </is>
      </c>
      <c r="AV4" s="706" t="inlineStr"/>
      <c r="AW4" s="706" t="inlineStr"/>
      <c r="AX4" s="706" t="inlineStr"/>
      <c r="AY4" s="706" t="inlineStr"/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  <c r="BN4" s="706" t="inlineStr"/>
      <c r="BO4" s="706" t="inlineStr"/>
      <c r="BP4" s="706" t="inlineStr"/>
      <c r="BQ4" s="706" t="inlineStr"/>
    </row>
    <row r="5" outlineLevel="1" ht="14.25" customFormat="1" customHeight="1" s="483">
      <c r="A5" s="733" t="n"/>
      <c r="B5" s="734" t="inlineStr">
        <is>
          <t>理财师017</t>
        </is>
      </c>
      <c r="C5" s="734" t="inlineStr">
        <is>
          <t>私人财富管理资深顾问PWA2-5</t>
        </is>
      </c>
      <c r="D5" s="735" t="n">
        <v>46204</v>
      </c>
      <c r="E5" s="735" t="n">
        <v>46387</v>
      </c>
      <c r="F5" s="734" t="n">
        <v>16727.04</v>
      </c>
      <c r="G5" s="734" t="n">
        <v>974.507261</v>
      </c>
      <c r="H5" s="734" t="n">
        <v>158.14656</v>
      </c>
      <c r="I5" s="734" t="n">
        <v>0</v>
      </c>
      <c r="J5" s="734" t="n">
        <v>0</v>
      </c>
      <c r="K5" s="734">
        <f>SUM(H5:J5)</f>
        <v/>
      </c>
      <c r="L5" s="734" t="n">
        <v>547.582464</v>
      </c>
      <c r="M5" s="734" t="n">
        <v>0</v>
      </c>
      <c r="N5" s="734" t="n">
        <v>268.778237</v>
      </c>
      <c r="O5" s="734">
        <f>SUM(L5:N5)</f>
        <v/>
      </c>
      <c r="P5" s="734" t="n">
        <v>832.638851</v>
      </c>
      <c r="Q5" s="734" t="n">
        <v>3261.7728</v>
      </c>
      <c r="R5" s="734" t="n">
        <v>555.368737</v>
      </c>
      <c r="S5" s="734">
        <f>SUM(P5:R5)</f>
        <v/>
      </c>
      <c r="T5" s="734" t="n">
        <v>593.9975920000001</v>
      </c>
      <c r="U5" s="734" t="n">
        <v>0</v>
      </c>
      <c r="V5" s="734" t="n">
        <v>382.045052</v>
      </c>
      <c r="W5" s="734">
        <f>SUM(T5:V5)</f>
        <v/>
      </c>
      <c r="X5" s="734" t="n">
        <v>249.800095</v>
      </c>
      <c r="Y5" s="734" t="n">
        <v>5040.9216</v>
      </c>
      <c r="Z5" s="734" t="n">
        <v>342.801462</v>
      </c>
      <c r="AA5" s="734">
        <f>SUM(X5:Z5)</f>
        <v/>
      </c>
      <c r="AB5" s="734" t="n">
        <v>1613.445926</v>
      </c>
      <c r="AC5" s="734" t="n">
        <v>0</v>
      </c>
      <c r="AD5" s="734" t="n">
        <v>488.407071</v>
      </c>
      <c r="AE5" s="734">
        <f>SUM(AB5:AD5)</f>
        <v/>
      </c>
      <c r="AF5" s="734" t="n">
        <v>454.800547</v>
      </c>
      <c r="AG5" s="734" t="n">
        <v>0</v>
      </c>
      <c r="AH5" s="734" t="n">
        <v>289.117436</v>
      </c>
      <c r="AI5" s="734">
        <f>SUM(AF5:AH5)</f>
        <v/>
      </c>
      <c r="AJ5" s="734" t="n">
        <v>3311.566531</v>
      </c>
      <c r="AK5" s="372">
        <f>SUM(K5+O5+S5+W5+AA5+AE5+AI5+AJ5)</f>
        <v/>
      </c>
      <c r="AL5" s="373">
        <f>IF(F5=0,"",K5/(F5/((YEAR(E5)*12+MONTH(E5))-(YEAR(D5)*12+MONTH(D5))+1)))</f>
        <v/>
      </c>
      <c r="AM5" s="373">
        <f>G5/F5</f>
        <v/>
      </c>
      <c r="AN5" s="736">
        <f>F5-G5</f>
        <v/>
      </c>
      <c r="AO5" s="733" t="n"/>
      <c r="AP5" s="733" t="n"/>
      <c r="AQ5" s="733" t="n"/>
      <c r="AR5" s="706" t="inlineStr"/>
      <c r="AS5" s="706" t="inlineStr"/>
      <c r="AT5" s="328" t="n">
        <v>46023</v>
      </c>
      <c r="AU5" s="328" t="n">
        <v>46203</v>
      </c>
      <c r="AV5" s="706" t="inlineStr"/>
      <c r="AW5" s="706" t="inlineStr"/>
      <c r="AX5" s="706" t="inlineStr"/>
      <c r="AY5" s="706" t="inlineStr"/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  <c r="BN5" s="706" t="inlineStr"/>
      <c r="BO5" s="706" t="inlineStr"/>
      <c r="BP5" s="706" t="inlineStr"/>
      <c r="BQ5" s="706" t="inlineStr"/>
    </row>
    <row r="6" outlineLevel="1" ht="14.25" customFormat="1" customHeight="1" s="483">
      <c r="A6" s="733" t="n"/>
      <c r="B6" s="734" t="inlineStr">
        <is>
          <t>理财师018</t>
        </is>
      </c>
      <c r="C6" s="734" t="inlineStr">
        <is>
          <t>首席私人财富管理专家PWA5-1</t>
        </is>
      </c>
      <c r="D6" s="735" t="n">
        <v>46174</v>
      </c>
      <c r="E6" s="735" t="n">
        <v>46387</v>
      </c>
      <c r="F6" s="734" t="n">
        <v>54670.7161</v>
      </c>
      <c r="G6" s="734" t="n">
        <v>49362.771321</v>
      </c>
      <c r="H6" s="734" t="n">
        <v>1691.433104</v>
      </c>
      <c r="I6" s="734" t="n">
        <v>0</v>
      </c>
      <c r="J6" s="734" t="n">
        <v>0</v>
      </c>
      <c r="K6" s="734">
        <f>SUM(H6:J6)</f>
        <v/>
      </c>
      <c r="L6" s="734" t="n">
        <v>11371.418899</v>
      </c>
      <c r="M6" s="734" t="n">
        <v>28777.196448</v>
      </c>
      <c r="N6" s="734" t="n">
        <v>2367.643353</v>
      </c>
      <c r="O6" s="734">
        <f>SUM(L6:N6)</f>
        <v/>
      </c>
      <c r="P6" s="734" t="n">
        <v>1893.590051</v>
      </c>
      <c r="Q6" s="734" t="n">
        <v>0</v>
      </c>
      <c r="R6" s="734" t="n">
        <v>3261.489465</v>
      </c>
      <c r="S6" s="734">
        <f>SUM(P6:R6)</f>
        <v/>
      </c>
      <c r="T6" s="734" t="n">
        <v>15009.556327</v>
      </c>
      <c r="U6" s="734" t="n">
        <v>0</v>
      </c>
      <c r="V6" s="734" t="n">
        <v>1609.578423</v>
      </c>
      <c r="W6" s="734">
        <f>SUM(T6:V6)</f>
        <v/>
      </c>
      <c r="X6" s="734" t="n">
        <v>3788.477067</v>
      </c>
      <c r="Y6" s="734" t="n">
        <v>0</v>
      </c>
      <c r="Z6" s="734" t="n">
        <v>1122.243766</v>
      </c>
      <c r="AA6" s="734">
        <f>SUM(X6:Z6)</f>
        <v/>
      </c>
      <c r="AB6" s="734" t="n">
        <v>1444.66245</v>
      </c>
      <c r="AC6" s="734" t="n">
        <v>0</v>
      </c>
      <c r="AD6" s="734" t="n">
        <v>1063.763858</v>
      </c>
      <c r="AE6" s="734">
        <f>SUM(AB6:AD6)</f>
        <v/>
      </c>
      <c r="AF6" s="734" t="n">
        <v>9688.821542</v>
      </c>
      <c r="AG6" s="734" t="n">
        <v>0</v>
      </c>
      <c r="AH6" s="734" t="n">
        <v>606.6776630000001</v>
      </c>
      <c r="AI6" s="734">
        <f>SUM(AF6:AH6)</f>
        <v/>
      </c>
      <c r="AJ6" s="734" t="n">
        <v>13116.995922</v>
      </c>
      <c r="AK6" s="372">
        <f>SUM(K6+O6+S6+W6+AA6+AE6+AI6+AJ6)</f>
        <v/>
      </c>
      <c r="AL6" s="373">
        <f>IF(F6=0,"",K6/(F6/((YEAR(E6)*12+MONTH(E6))-(YEAR(D6)*12+MONTH(D6))+1)))</f>
        <v/>
      </c>
      <c r="AM6" s="373">
        <f>G6/F6</f>
        <v/>
      </c>
      <c r="AN6" s="736">
        <f>F6-G6</f>
        <v/>
      </c>
      <c r="AO6" s="733" t="n"/>
      <c r="AP6" s="733" t="n"/>
      <c r="AQ6" s="733" t="n"/>
      <c r="AR6" s="706" t="inlineStr"/>
      <c r="AS6" s="706" t="inlineStr"/>
      <c r="AT6" s="706" t="inlineStr">
        <is>
          <t>计算日期</t>
        </is>
      </c>
      <c r="AU6" s="706">
        <f>W5-V5</f>
        <v/>
      </c>
      <c r="AV6" s="706" t="inlineStr">
        <is>
          <t>时间进度</t>
        </is>
      </c>
      <c r="AW6" s="706" t="inlineStr"/>
      <c r="AX6" s="706" t="inlineStr"/>
      <c r="AY6" s="706" t="inlineStr"/>
      <c r="AZ6" s="706" t="inlineStr"/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  <c r="BN6" s="706" t="inlineStr"/>
      <c r="BO6" s="706" t="inlineStr"/>
      <c r="BP6" s="706" t="inlineStr"/>
      <c r="BQ6" s="706" t="inlineStr"/>
    </row>
    <row r="7" outlineLevel="1" ht="14.25" customFormat="1" customHeight="1" s="483">
      <c r="A7" s="733" t="n"/>
      <c r="B7" s="734" t="inlineStr">
        <is>
          <t>理财师019</t>
        </is>
      </c>
      <c r="C7" s="734" t="inlineStr">
        <is>
          <t>观察期PWA0-1</t>
        </is>
      </c>
      <c r="D7" s="735" t="n">
        <v>46204</v>
      </c>
      <c r="E7" s="735" t="n">
        <v>46387</v>
      </c>
      <c r="F7" s="734" t="n">
        <v>3595.62</v>
      </c>
      <c r="G7" s="734" t="n">
        <v>785.714744</v>
      </c>
      <c r="H7" s="734" t="n">
        <v>0</v>
      </c>
      <c r="I7" s="734" t="n">
        <v>567.5943</v>
      </c>
      <c r="J7" s="734" t="n">
        <v>0</v>
      </c>
      <c r="K7" s="734">
        <f>SUM(H7:J7)</f>
        <v/>
      </c>
      <c r="L7" s="734" t="n">
        <v>191.980425</v>
      </c>
      <c r="M7" s="734" t="n">
        <v>0</v>
      </c>
      <c r="N7" s="734" t="n">
        <v>26.140019</v>
      </c>
      <c r="O7" s="734">
        <f>SUM(L7:N7)</f>
        <v/>
      </c>
      <c r="P7" s="734" t="n">
        <v>125.538504</v>
      </c>
      <c r="Q7" s="734" t="n">
        <v>0</v>
      </c>
      <c r="R7" s="734" t="n">
        <v>202.092562</v>
      </c>
      <c r="S7" s="734">
        <f>SUM(P7:R7)</f>
        <v/>
      </c>
      <c r="T7" s="734" t="n">
        <v>66.7758</v>
      </c>
      <c r="U7" s="734" t="n">
        <v>0</v>
      </c>
      <c r="V7" s="734" t="n">
        <v>22.323011</v>
      </c>
      <c r="W7" s="734">
        <f>SUM(T7:V7)</f>
        <v/>
      </c>
      <c r="X7" s="734" t="n">
        <v>133.5516</v>
      </c>
      <c r="Y7" s="734" t="n">
        <v>0</v>
      </c>
      <c r="Z7" s="734" t="n">
        <v>22.107856</v>
      </c>
      <c r="AA7" s="734">
        <f>SUM(X7:Z7)</f>
        <v/>
      </c>
      <c r="AB7" s="734" t="n">
        <v>500.150742</v>
      </c>
      <c r="AC7" s="734" t="n">
        <v>0</v>
      </c>
      <c r="AD7" s="734" t="n">
        <v>157.397938</v>
      </c>
      <c r="AE7" s="734">
        <f>SUM(AB7:AD7)</f>
        <v/>
      </c>
      <c r="AF7" s="734" t="n">
        <v>267.1032</v>
      </c>
      <c r="AG7" s="734" t="n">
        <v>0</v>
      </c>
      <c r="AH7" s="734" t="n">
        <v>25.494675</v>
      </c>
      <c r="AI7" s="734">
        <f>SUM(AF7:AH7)</f>
        <v/>
      </c>
      <c r="AJ7" s="734" t="n">
        <v>2351.885696</v>
      </c>
      <c r="AK7" s="372">
        <f>SUM(K7+O7+S7+W7+AA7+AE7+AI7+AJ7)</f>
        <v/>
      </c>
      <c r="AL7" s="373">
        <f>IF(F7=0,"",K7/(F7/((YEAR(E7)*12+MONTH(E7))-(YEAR(D7)*12+MONTH(D7))+1)))</f>
        <v/>
      </c>
      <c r="AM7" s="373">
        <f>G7/F7</f>
        <v/>
      </c>
      <c r="AN7" s="736">
        <f>F7-G7</f>
        <v/>
      </c>
      <c r="AO7" s="733" t="n"/>
      <c r="AP7" s="733" t="n"/>
      <c r="AQ7" s="733" t="n"/>
      <c r="AR7" s="706" t="inlineStr"/>
      <c r="AS7" s="706" t="inlineStr"/>
      <c r="AT7" s="709" t="n">
        <v>46262</v>
      </c>
      <c r="AU7" s="330">
        <f>AU5-AT5+1</f>
        <v/>
      </c>
      <c r="AV7" s="331">
        <f>(AT7-AT5+1)/AU7</f>
        <v/>
      </c>
      <c r="AW7" s="706" t="inlineStr"/>
      <c r="AX7" s="706" t="inlineStr"/>
      <c r="AY7" s="706" t="inlineStr"/>
      <c r="AZ7" s="706" t="inlineStr"/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  <c r="BN7" s="706" t="inlineStr"/>
      <c r="BO7" s="706" t="inlineStr"/>
      <c r="BP7" s="706" t="inlineStr"/>
      <c r="BQ7" s="706" t="inlineStr"/>
    </row>
    <row r="8" outlineLevel="1" ht="14.25" customFormat="1" customHeight="1" s="483">
      <c r="A8" s="737" t="n"/>
      <c r="B8" s="734" t="inlineStr">
        <is>
          <t>理财师025</t>
        </is>
      </c>
      <c r="C8" s="734" t="inlineStr">
        <is>
          <t>私人财富管理专家PWA4-5</t>
        </is>
      </c>
      <c r="D8" s="735" t="n">
        <v>46097</v>
      </c>
      <c r="E8" s="735" t="n">
        <v>46295</v>
      </c>
      <c r="F8" s="734" t="n">
        <v>34622.728767</v>
      </c>
      <c r="G8" s="734" t="n">
        <v>8070.969885</v>
      </c>
      <c r="H8" s="734" t="n">
        <v>59.192078</v>
      </c>
      <c r="I8" s="734" t="n">
        <v>0</v>
      </c>
      <c r="J8" s="734" t="n">
        <v>0</v>
      </c>
      <c r="K8" s="734">
        <f>SUM(H8:J8)</f>
        <v/>
      </c>
      <c r="L8" s="734" t="n">
        <v>257.985</v>
      </c>
      <c r="M8" s="734" t="n">
        <v>7079.164538</v>
      </c>
      <c r="N8" s="734" t="n">
        <v>74.758757</v>
      </c>
      <c r="O8" s="734">
        <f>SUM(L8:N8)</f>
        <v/>
      </c>
      <c r="P8" s="734" t="n">
        <v>95.21789800000001</v>
      </c>
      <c r="Q8" s="734" t="n">
        <v>264.17664</v>
      </c>
      <c r="R8" s="734" t="n">
        <v>67.830038</v>
      </c>
      <c r="S8" s="734">
        <f>SUM(P8:R8)</f>
        <v/>
      </c>
      <c r="T8" s="734" t="n">
        <v>130.02444</v>
      </c>
      <c r="U8" s="734" t="n">
        <v>0</v>
      </c>
      <c r="V8" s="734" t="n">
        <v>16.066547</v>
      </c>
      <c r="W8" s="734">
        <f>SUM(T8:V8)</f>
        <v/>
      </c>
      <c r="X8" s="734" t="n">
        <v>0</v>
      </c>
      <c r="Y8" s="734" t="n">
        <v>0</v>
      </c>
      <c r="Z8" s="734" t="n">
        <v>12.779778</v>
      </c>
      <c r="AA8" s="734">
        <f>SUM(X8:Z8)</f>
        <v/>
      </c>
      <c r="AB8" s="734" t="n">
        <v>0</v>
      </c>
      <c r="AC8" s="734" t="n">
        <v>25509.5568</v>
      </c>
      <c r="AD8" s="734" t="n">
        <v>13.774172</v>
      </c>
      <c r="AE8" s="734">
        <f>SUM(AB8:AD8)</f>
        <v/>
      </c>
      <c r="AF8" s="734" t="n">
        <v>41.2776</v>
      </c>
      <c r="AG8" s="734" t="n">
        <v>0</v>
      </c>
      <c r="AH8" s="734" t="n">
        <v>18.646322</v>
      </c>
      <c r="AI8" s="734">
        <f>SUM(AF8:AH8)</f>
        <v/>
      </c>
      <c r="AJ8" s="734" t="n">
        <v>683.02396</v>
      </c>
      <c r="AK8" s="372">
        <f>SUM(K8+O8+S8+W8+AA8+AE8+AI8+AJ8)</f>
        <v/>
      </c>
      <c r="AL8" s="373">
        <f>IF(F8=0,"",K8/(F8/((YEAR(E8)*12+MONTH(E8))-(YEAR(D8)*12+MONTH(D8))+1)))</f>
        <v/>
      </c>
      <c r="AM8" s="373">
        <f>G8/F8</f>
        <v/>
      </c>
      <c r="AN8" s="736">
        <f>F8-G8</f>
        <v/>
      </c>
      <c r="AO8" s="737" t="n"/>
      <c r="AP8" s="737" t="n"/>
      <c r="AQ8" s="737" t="n"/>
      <c r="AR8" s="706" t="inlineStr"/>
      <c r="AS8" s="706" t="inlineStr"/>
      <c r="AT8" s="706" t="inlineStr"/>
      <c r="AU8" s="706" t="inlineStr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  <c r="BN8" s="706" t="inlineStr"/>
      <c r="BO8" s="706" t="inlineStr"/>
      <c r="BP8" s="706" t="inlineStr"/>
      <c r="BQ8" s="706" t="inlineStr"/>
    </row>
    <row r="9" outlineLevel="1" ht="14.25" customFormat="1" customHeight="1" s="483">
      <c r="A9" s="738" t="inlineStr">
        <is>
          <t>合计</t>
        </is>
      </c>
      <c r="B9" s="739" t="n"/>
      <c r="C9" s="739" t="n"/>
      <c r="D9" s="739" t="n"/>
      <c r="E9" s="740" t="n"/>
      <c r="F9" s="379">
        <f>SUM(F4:F8)</f>
        <v/>
      </c>
      <c r="G9" s="738">
        <f>SUM(G4:G8)</f>
        <v/>
      </c>
      <c r="H9" s="738">
        <f>SUM(H4:H8)</f>
        <v/>
      </c>
      <c r="I9" s="738">
        <f>SUM(I4:I8)</f>
        <v/>
      </c>
      <c r="J9" s="738">
        <f>SUM(J4:J8)</f>
        <v/>
      </c>
      <c r="K9" s="738">
        <f>SUM(K4:K8)</f>
        <v/>
      </c>
      <c r="L9" s="738">
        <f>SUM(L4:L8)</f>
        <v/>
      </c>
      <c r="M9" s="738">
        <f>SUM(M4:M8)</f>
        <v/>
      </c>
      <c r="N9" s="738">
        <f>SUM(N4:N8)</f>
        <v/>
      </c>
      <c r="O9" s="738">
        <f>SUM(O4:O8)</f>
        <v/>
      </c>
      <c r="P9" s="738">
        <f>SUM(P4:P8)</f>
        <v/>
      </c>
      <c r="Q9" s="738">
        <f>SUM(Q4:Q8)</f>
        <v/>
      </c>
      <c r="R9" s="738">
        <f>SUM(R4:R8)</f>
        <v/>
      </c>
      <c r="S9" s="738">
        <f>SUM(S4:S8)</f>
        <v/>
      </c>
      <c r="T9" s="738">
        <f>SUM(T4:T8)</f>
        <v/>
      </c>
      <c r="U9" s="738">
        <f>SUM(U4:U8)</f>
        <v/>
      </c>
      <c r="V9" s="738">
        <f>SUM(V4:V8)</f>
        <v/>
      </c>
      <c r="W9" s="738">
        <f>SUM(W4:W8)</f>
        <v/>
      </c>
      <c r="X9" s="738">
        <f>SUM(X4:X8)</f>
        <v/>
      </c>
      <c r="Y9" s="738">
        <f>SUM(Y4:Y8)</f>
        <v/>
      </c>
      <c r="Z9" s="738">
        <f>SUM(Z4:Z8)</f>
        <v/>
      </c>
      <c r="AA9" s="738">
        <f>SUM(AA4:AA8)</f>
        <v/>
      </c>
      <c r="AB9" s="738">
        <f>SUM(AB4:AB8)</f>
        <v/>
      </c>
      <c r="AC9" s="738">
        <f>SUM(AC4:AC8)</f>
        <v/>
      </c>
      <c r="AD9" s="738">
        <f>SUM(AD4:AD8)</f>
        <v/>
      </c>
      <c r="AE9" s="738">
        <f>SUM(AE4:AE8)</f>
        <v/>
      </c>
      <c r="AF9" s="738">
        <f>SUM(AF4:AF8)</f>
        <v/>
      </c>
      <c r="AG9" s="738">
        <f>SUM(AG4:AG8)</f>
        <v/>
      </c>
      <c r="AH9" s="738">
        <f>SUM(AH4:AH8)</f>
        <v/>
      </c>
      <c r="AI9" s="738">
        <f>SUM(AI4:AI8)</f>
        <v/>
      </c>
      <c r="AJ9" s="738">
        <f>SUM(AJ4:AJ8)</f>
        <v/>
      </c>
      <c r="AK9" s="741">
        <f>SUM(K9+O9+S9+W9+AA9+AE9+AI9+AJ9)</f>
        <v/>
      </c>
      <c r="AL9" s="381">
        <f>IF(F9=0,"",K9/(F9/((YEAR(E4)*12+MONTH(E4))-(YEAR(D4)*12+MONTH(D4))+1)))</f>
        <v/>
      </c>
      <c r="AM9" s="382">
        <f>G9/F9</f>
        <v/>
      </c>
      <c r="AN9" s="741">
        <f>F9-G9</f>
        <v/>
      </c>
      <c r="AO9" s="383">
        <f>AO4</f>
        <v/>
      </c>
      <c r="AP9" s="381">
        <f>AK9/AO4</f>
        <v/>
      </c>
      <c r="AQ9" s="742">
        <f>AO4-AK9</f>
        <v/>
      </c>
      <c r="AR9" s="713" t="inlineStr"/>
      <c r="AS9" s="713" t="inlineStr"/>
      <c r="AT9" s="340" t="n">
        <v>46136</v>
      </c>
      <c r="AU9" s="713" t="inlineStr"/>
      <c r="AV9" s="341">
        <f>(AD10-DATE(YEAR(AD10),1,1)+1)/AE9</f>
        <v/>
      </c>
      <c r="AW9" s="713" t="inlineStr"/>
      <c r="AX9" s="713" t="inlineStr"/>
      <c r="AY9" s="713" t="inlineStr"/>
      <c r="AZ9" s="713" t="inlineStr"/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  <c r="BN9" s="713" t="inlineStr"/>
      <c r="BO9" s="713" t="inlineStr"/>
      <c r="BP9" s="713" t="inlineStr"/>
      <c r="BQ9" s="713" t="inlineStr"/>
    </row>
    <row r="10" outlineLevel="1" ht="14.25" customFormat="1" customHeight="1" s="483">
      <c r="A10" s="729" t="inlineStr">
        <is>
          <t>理财师014</t>
        </is>
      </c>
      <c r="B10" s="729" t="inlineStr">
        <is>
          <t>理财师014</t>
        </is>
      </c>
      <c r="C10" s="729" t="inlineStr">
        <is>
          <t>私人财富管理专家PWA4-5</t>
        </is>
      </c>
      <c r="D10" s="730" t="n">
        <v>46204</v>
      </c>
      <c r="E10" s="730" t="n">
        <v>46387</v>
      </c>
      <c r="F10" s="729" t="n">
        <v>18162</v>
      </c>
      <c r="G10" s="729" t="n">
        <v>3276.951815</v>
      </c>
      <c r="H10" s="729" t="n">
        <v>243.667059</v>
      </c>
      <c r="I10" s="729" t="n">
        <v>0</v>
      </c>
      <c r="J10" s="729" t="n">
        <v>0</v>
      </c>
      <c r="K10" s="729">
        <f>SUM(H10:J10)</f>
        <v/>
      </c>
      <c r="L10" s="729" t="n">
        <v>2834.050594</v>
      </c>
      <c r="M10" s="729" t="n">
        <v>0</v>
      </c>
      <c r="N10" s="729" t="n">
        <v>199.234162</v>
      </c>
      <c r="O10" s="729">
        <f>SUM(L10:N10)</f>
        <v/>
      </c>
      <c r="P10" s="729" t="n">
        <v>3599.205131</v>
      </c>
      <c r="Q10" s="729" t="n">
        <v>0</v>
      </c>
      <c r="R10" s="729" t="n">
        <v>206.636572</v>
      </c>
      <c r="S10" s="729">
        <f>SUM(P10:R10)</f>
        <v/>
      </c>
      <c r="T10" s="729" t="n">
        <v>4233.38058</v>
      </c>
      <c r="U10" s="729" t="n">
        <v>0</v>
      </c>
      <c r="V10" s="729" t="n">
        <v>103.388547</v>
      </c>
      <c r="W10" s="729">
        <f>SUM(T10:V10)</f>
        <v/>
      </c>
      <c r="X10" s="729" t="n">
        <v>2418.943367</v>
      </c>
      <c r="Y10" s="729" t="n">
        <v>2443.706261</v>
      </c>
      <c r="Z10" s="729" t="n">
        <v>88.105912</v>
      </c>
      <c r="AA10" s="729">
        <f>SUM(X10:Z10)</f>
        <v/>
      </c>
      <c r="AB10" s="729" t="n">
        <v>2574.496213</v>
      </c>
      <c r="AC10" s="729" t="n">
        <v>2927.70165</v>
      </c>
      <c r="AD10" s="729" t="n">
        <v>154.748145</v>
      </c>
      <c r="AE10" s="729">
        <f>SUM(AB10:AD10)</f>
        <v/>
      </c>
      <c r="AF10" s="729" t="n">
        <v>745.691219</v>
      </c>
      <c r="AG10" s="729" t="n">
        <v>2330.36622</v>
      </c>
      <c r="AH10" s="729" t="n">
        <v>72.478376</v>
      </c>
      <c r="AI10" s="729">
        <f>SUM(AF10:AH10)</f>
        <v/>
      </c>
      <c r="AJ10" s="729" t="n">
        <v>3042.835811</v>
      </c>
      <c r="AK10" s="363">
        <f>SUM(K10+O10+S10+W10+AA10+AE10+AI10+AJ10)</f>
        <v/>
      </c>
      <c r="AL10" s="364">
        <f>IF(F10=0,"",K10/(F10/((YEAR(E10)*12+MONTH(E10))-(YEAR(D10)*12+MONTH(D10))+1)))</f>
        <v/>
      </c>
      <c r="AM10" s="364">
        <f>G10/F10</f>
        <v/>
      </c>
      <c r="AN10" s="731">
        <f>F10-G10</f>
        <v/>
      </c>
      <c r="AO10" s="366">
        <f>SUM(F10:F13)</f>
        <v/>
      </c>
      <c r="AP10" s="367">
        <f>AP14</f>
        <v/>
      </c>
      <c r="AQ10" s="732">
        <f>AQ14</f>
        <v/>
      </c>
      <c r="AR10" s="706" t="inlineStr"/>
      <c r="AS10" s="706" t="inlineStr"/>
      <c r="AT10" s="706" t="inlineStr"/>
      <c r="AU10" s="706" t="inlineStr"/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  <c r="BN10" s="706" t="inlineStr"/>
      <c r="BO10" s="706" t="inlineStr"/>
      <c r="BP10" s="706" t="inlineStr"/>
      <c r="BQ10" s="706" t="inlineStr"/>
    </row>
    <row r="11" outlineLevel="1" ht="14.25" customFormat="1" customHeight="1" s="483">
      <c r="A11" s="733" t="n"/>
      <c r="B11" s="734" t="inlineStr">
        <is>
          <t>理财师022</t>
        </is>
      </c>
      <c r="C11" s="734" t="inlineStr">
        <is>
          <t>观察期PWA0-1</t>
        </is>
      </c>
      <c r="D11" s="735" t="n">
        <v>46174</v>
      </c>
      <c r="E11" s="735" t="n">
        <v>46356</v>
      </c>
      <c r="F11" s="734" t="n">
        <v>5907.91</v>
      </c>
      <c r="G11" s="734" t="n">
        <v>5242.838518</v>
      </c>
      <c r="H11" s="734" t="n">
        <v>0</v>
      </c>
      <c r="I11" s="734" t="n">
        <v>0</v>
      </c>
      <c r="J11" s="734" t="n">
        <v>0</v>
      </c>
      <c r="K11" s="734">
        <f>SUM(H11:J11)</f>
        <v/>
      </c>
      <c r="L11" s="734" t="n">
        <v>0</v>
      </c>
      <c r="M11" s="734" t="n">
        <v>4869.403051</v>
      </c>
      <c r="N11" s="734" t="n">
        <v>33.172446</v>
      </c>
      <c r="O11" s="734">
        <f>SUM(L11:N11)</f>
        <v/>
      </c>
      <c r="P11" s="734" t="n">
        <v>304.3131</v>
      </c>
      <c r="Q11" s="734" t="n">
        <v>0</v>
      </c>
      <c r="R11" s="734" t="n">
        <v>35.949921</v>
      </c>
      <c r="S11" s="734">
        <f>SUM(P11:R11)</f>
        <v/>
      </c>
      <c r="T11" s="734" t="n">
        <v>139.11456</v>
      </c>
      <c r="U11" s="734" t="n">
        <v>2956.1844</v>
      </c>
      <c r="V11" s="734" t="n">
        <v>14.716853</v>
      </c>
      <c r="W11" s="734">
        <f>SUM(T11:V11)</f>
        <v/>
      </c>
      <c r="X11" s="734" t="n">
        <v>280.185418</v>
      </c>
      <c r="Y11" s="734" t="n">
        <v>773.505646</v>
      </c>
      <c r="Z11" s="734" t="n">
        <v>3.573146</v>
      </c>
      <c r="AA11" s="734">
        <f>SUM(X11:Z11)</f>
        <v/>
      </c>
      <c r="AB11" s="734" t="n">
        <v>43.4733</v>
      </c>
      <c r="AC11" s="734" t="n">
        <v>0</v>
      </c>
      <c r="AD11" s="734" t="n">
        <v>10.334614</v>
      </c>
      <c r="AE11" s="734">
        <f>SUM(AB11:AD11)</f>
        <v/>
      </c>
      <c r="AF11" s="734" t="n">
        <v>0</v>
      </c>
      <c r="AG11" s="734" t="n">
        <v>0</v>
      </c>
      <c r="AH11" s="734" t="n">
        <v>0</v>
      </c>
      <c r="AI11" s="734">
        <f>SUM(AF11:AH11)</f>
        <v/>
      </c>
      <c r="AJ11" s="734" t="n">
        <v>0</v>
      </c>
      <c r="AK11" s="372">
        <f>SUM(K11+O11+S11+W11+AA11+AE11+AI11+AJ11)</f>
        <v/>
      </c>
      <c r="AL11" s="373">
        <f>IF(F11=0,"",K11/(F11/((YEAR(E11)*12+MONTH(E11))-(YEAR(D11)*12+MONTH(D11))+1)))</f>
        <v/>
      </c>
      <c r="AM11" s="373">
        <f>G11/F11</f>
        <v/>
      </c>
      <c r="AN11" s="736">
        <f>F11-G11</f>
        <v/>
      </c>
      <c r="AO11" s="733" t="n"/>
      <c r="AP11" s="733" t="n"/>
      <c r="AQ11" s="733" t="n"/>
      <c r="AR11" s="706" t="inlineStr"/>
      <c r="AS11" s="706" t="inlineStr"/>
      <c r="AT11" s="706" t="inlineStr"/>
      <c r="AU11" s="706" t="inlineStr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  <c r="BN11" s="706" t="inlineStr"/>
      <c r="BO11" s="706" t="inlineStr"/>
      <c r="BP11" s="706" t="inlineStr"/>
      <c r="BQ11" s="706" t="inlineStr"/>
    </row>
    <row r="12" outlineLevel="1" ht="14.25" customFormat="1" customHeight="1" s="483">
      <c r="A12" s="733" t="n"/>
      <c r="B12" s="734" t="inlineStr">
        <is>
          <t>理财师013</t>
        </is>
      </c>
      <c r="C12" s="734" t="inlineStr">
        <is>
          <t>私人财富管理总监PWA3-3</t>
        </is>
      </c>
      <c r="D12" s="735" t="n">
        <v>46204</v>
      </c>
      <c r="E12" s="735" t="n">
        <v>46387</v>
      </c>
      <c r="F12" s="734" t="n">
        <v>21002.4</v>
      </c>
      <c r="G12" s="734" t="n">
        <v>6031.033074</v>
      </c>
      <c r="H12" s="734" t="n">
        <v>357.47975</v>
      </c>
      <c r="I12" s="734" t="n">
        <v>0</v>
      </c>
      <c r="J12" s="734" t="n">
        <v>0</v>
      </c>
      <c r="K12" s="734">
        <f>SUM(H12:J12)</f>
        <v/>
      </c>
      <c r="L12" s="734" t="n">
        <v>5487.872514</v>
      </c>
      <c r="M12" s="734" t="n">
        <v>0</v>
      </c>
      <c r="N12" s="734" t="n">
        <v>185.68081</v>
      </c>
      <c r="O12" s="734">
        <f>SUM(L12:N12)</f>
        <v/>
      </c>
      <c r="P12" s="734" t="n">
        <v>5138.663789</v>
      </c>
      <c r="Q12" s="734" t="n">
        <v>0</v>
      </c>
      <c r="R12" s="734" t="n">
        <v>787.892575</v>
      </c>
      <c r="S12" s="734">
        <f>SUM(P12:R12)</f>
        <v/>
      </c>
      <c r="T12" s="734" t="n">
        <v>527.86032</v>
      </c>
      <c r="U12" s="734" t="n">
        <v>0</v>
      </c>
      <c r="V12" s="734" t="n">
        <v>176.99322</v>
      </c>
      <c r="W12" s="734">
        <f>SUM(T12:V12)</f>
        <v/>
      </c>
      <c r="X12" s="734" t="n">
        <v>5719.894428</v>
      </c>
      <c r="Y12" s="734" t="n">
        <v>0</v>
      </c>
      <c r="Z12" s="734" t="n">
        <v>170.991639</v>
      </c>
      <c r="AA12" s="734">
        <f>SUM(X12:Z12)</f>
        <v/>
      </c>
      <c r="AB12" s="734" t="n">
        <v>2659.960961</v>
      </c>
      <c r="AC12" s="734" t="n">
        <v>0</v>
      </c>
      <c r="AD12" s="734" t="n">
        <v>743.622962</v>
      </c>
      <c r="AE12" s="734">
        <f>SUM(AB12:AD12)</f>
        <v/>
      </c>
      <c r="AF12" s="734" t="n">
        <v>0</v>
      </c>
      <c r="AG12" s="734" t="n">
        <v>0</v>
      </c>
      <c r="AH12" s="734" t="n">
        <v>144.157177</v>
      </c>
      <c r="AI12" s="734">
        <f>SUM(AF12:AH12)</f>
        <v/>
      </c>
      <c r="AJ12" s="734" t="n">
        <v>6482.195956</v>
      </c>
      <c r="AK12" s="372">
        <f>SUM(K12+O12+S12+W12+AA12+AE12+AI12+AJ12)</f>
        <v/>
      </c>
      <c r="AL12" s="373">
        <f>IF(F12=0,"",K12/(F12/((YEAR(E12)*12+MONTH(E12))-(YEAR(D12)*12+MONTH(D12))+1)))</f>
        <v/>
      </c>
      <c r="AM12" s="373">
        <f>G12/F12</f>
        <v/>
      </c>
      <c r="AN12" s="736">
        <f>F12-G12</f>
        <v/>
      </c>
      <c r="AO12" s="733" t="n"/>
      <c r="AP12" s="733" t="n"/>
      <c r="AQ12" s="733" t="n"/>
      <c r="AR12" s="706" t="inlineStr"/>
      <c r="AS12" s="706" t="inlineStr"/>
      <c r="AT12" s="706" t="inlineStr"/>
      <c r="AU12" s="706" t="inlineStr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  <c r="BN12" s="706" t="inlineStr"/>
      <c r="BO12" s="706" t="inlineStr"/>
      <c r="BP12" s="706" t="inlineStr"/>
      <c r="BQ12" s="706" t="inlineStr"/>
    </row>
    <row r="13" outlineLevel="1" ht="14.25" customFormat="1" customHeight="1" s="483">
      <c r="A13" s="737" t="n"/>
      <c r="B13" s="734" t="inlineStr">
        <is>
          <t>理财师024</t>
        </is>
      </c>
      <c r="C13" s="734" t="inlineStr">
        <is>
          <t>私人财富管理总监PWA3-1</t>
        </is>
      </c>
      <c r="D13" s="735" t="n">
        <v>46204</v>
      </c>
      <c r="E13" s="735" t="n">
        <v>46387</v>
      </c>
      <c r="F13" s="734" t="n">
        <v>15122.64</v>
      </c>
      <c r="G13" s="734" t="n">
        <v>4053.777353</v>
      </c>
      <c r="H13" s="734" t="n">
        <v>0</v>
      </c>
      <c r="I13" s="734" t="n">
        <v>0</v>
      </c>
      <c r="J13" s="734" t="n">
        <v>0</v>
      </c>
      <c r="K13" s="734">
        <f>SUM(H13:J13)</f>
        <v/>
      </c>
      <c r="L13" s="734" t="n">
        <v>3763.612289</v>
      </c>
      <c r="M13" s="734" t="n">
        <v>0</v>
      </c>
      <c r="N13" s="734" t="n">
        <v>290.165065</v>
      </c>
      <c r="O13" s="734">
        <f>SUM(L13:N13)</f>
        <v/>
      </c>
      <c r="P13" s="734" t="n">
        <v>2826.176184</v>
      </c>
      <c r="Q13" s="734" t="n">
        <v>0</v>
      </c>
      <c r="R13" s="734" t="n">
        <v>536.034869</v>
      </c>
      <c r="S13" s="734">
        <f>SUM(P13:R13)</f>
        <v/>
      </c>
      <c r="T13" s="734" t="n">
        <v>1000.951193</v>
      </c>
      <c r="U13" s="734" t="n">
        <v>0</v>
      </c>
      <c r="V13" s="734" t="n">
        <v>278.383375</v>
      </c>
      <c r="W13" s="734">
        <f>SUM(T13:V13)</f>
        <v/>
      </c>
      <c r="X13" s="734" t="n">
        <v>3291.566745</v>
      </c>
      <c r="Y13" s="734" t="n">
        <v>0</v>
      </c>
      <c r="Z13" s="734" t="n">
        <v>242.965979</v>
      </c>
      <c r="AA13" s="734">
        <f>SUM(X13:Z13)</f>
        <v/>
      </c>
      <c r="AB13" s="734" t="n">
        <v>3556.620439</v>
      </c>
      <c r="AC13" s="734" t="n">
        <v>0</v>
      </c>
      <c r="AD13" s="734" t="n">
        <v>446.103228</v>
      </c>
      <c r="AE13" s="734">
        <f>SUM(AB13:AD13)</f>
        <v/>
      </c>
      <c r="AF13" s="734" t="n">
        <v>1054.327266</v>
      </c>
      <c r="AG13" s="734" t="n">
        <v>0</v>
      </c>
      <c r="AH13" s="734" t="n">
        <v>170.580309</v>
      </c>
      <c r="AI13" s="734">
        <f>SUM(AF13:AH13)</f>
        <v/>
      </c>
      <c r="AJ13" s="734" t="n">
        <v>692.512431</v>
      </c>
      <c r="AK13" s="372">
        <f>SUM(K13+O13+S13+W13+AA13+AE13+AI13+AJ13)</f>
        <v/>
      </c>
      <c r="AL13" s="373">
        <f>IF(F13=0,"",K13/(F13/((YEAR(E13)*12+MONTH(E13))-(YEAR(D13)*12+MONTH(D13))+1)))</f>
        <v/>
      </c>
      <c r="AM13" s="373">
        <f>G13/F13</f>
        <v/>
      </c>
      <c r="AN13" s="736">
        <f>F13-G13</f>
        <v/>
      </c>
      <c r="AO13" s="737" t="n"/>
      <c r="AP13" s="737" t="n"/>
      <c r="AQ13" s="737" t="n"/>
      <c r="AR13" s="706" t="inlineStr"/>
      <c r="AS13" s="706" t="inlineStr"/>
      <c r="AT13" s="706" t="inlineStr"/>
      <c r="AU13" s="706" t="inlineStr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  <c r="BN13" s="706" t="inlineStr"/>
      <c r="BO13" s="706" t="inlineStr"/>
      <c r="BP13" s="706" t="inlineStr"/>
      <c r="BQ13" s="706" t="inlineStr"/>
    </row>
    <row r="14" outlineLevel="1" ht="14.25" customFormat="1" customHeight="1" s="483">
      <c r="A14" s="738" t="inlineStr">
        <is>
          <t>合计</t>
        </is>
      </c>
      <c r="B14" s="739" t="n"/>
      <c r="C14" s="739" t="n"/>
      <c r="D14" s="739" t="n"/>
      <c r="E14" s="740" t="n"/>
      <c r="F14" s="379">
        <f>SUM(F10:F13)</f>
        <v/>
      </c>
      <c r="G14" s="738">
        <f>SUM(G10:G13)</f>
        <v/>
      </c>
      <c r="H14" s="738">
        <f>SUM(H10:H13)</f>
        <v/>
      </c>
      <c r="I14" s="738">
        <f>SUM(I10:I13)</f>
        <v/>
      </c>
      <c r="J14" s="738">
        <f>SUM(J10:J13)</f>
        <v/>
      </c>
      <c r="K14" s="738">
        <f>SUM(K10:K13)</f>
        <v/>
      </c>
      <c r="L14" s="738">
        <f>SUM(L10:L13)</f>
        <v/>
      </c>
      <c r="M14" s="738">
        <f>SUM(M10:M13)</f>
        <v/>
      </c>
      <c r="N14" s="738">
        <f>SUM(N10:N13)</f>
        <v/>
      </c>
      <c r="O14" s="738">
        <f>SUM(O10:O13)</f>
        <v/>
      </c>
      <c r="P14" s="738">
        <f>SUM(P10:P13)</f>
        <v/>
      </c>
      <c r="Q14" s="738">
        <f>SUM(Q10:Q13)</f>
        <v/>
      </c>
      <c r="R14" s="738">
        <f>SUM(R10:R13)</f>
        <v/>
      </c>
      <c r="S14" s="738">
        <f>SUM(S10:S13)</f>
        <v/>
      </c>
      <c r="T14" s="738">
        <f>SUM(T10:T13)</f>
        <v/>
      </c>
      <c r="U14" s="738">
        <f>SUM(U10:U13)</f>
        <v/>
      </c>
      <c r="V14" s="738">
        <f>SUM(V10:V13)</f>
        <v/>
      </c>
      <c r="W14" s="738">
        <f>SUM(W10:W13)</f>
        <v/>
      </c>
      <c r="X14" s="738">
        <f>SUM(X10:X13)</f>
        <v/>
      </c>
      <c r="Y14" s="738">
        <f>SUM(Y10:Y13)</f>
        <v/>
      </c>
      <c r="Z14" s="738">
        <f>SUM(Z10:Z13)</f>
        <v/>
      </c>
      <c r="AA14" s="738">
        <f>SUM(AA10:AA13)</f>
        <v/>
      </c>
      <c r="AB14" s="738">
        <f>SUM(AB10:AB13)</f>
        <v/>
      </c>
      <c r="AC14" s="738">
        <f>SUM(AC10:AC13)</f>
        <v/>
      </c>
      <c r="AD14" s="738">
        <f>SUM(AD10:AD13)</f>
        <v/>
      </c>
      <c r="AE14" s="738">
        <f>SUM(AE10:AE13)</f>
        <v/>
      </c>
      <c r="AF14" s="738">
        <f>SUM(AF10:AF13)</f>
        <v/>
      </c>
      <c r="AG14" s="738">
        <f>SUM(AG10:AG13)</f>
        <v/>
      </c>
      <c r="AH14" s="738">
        <f>SUM(AH10:AH13)</f>
        <v/>
      </c>
      <c r="AI14" s="738">
        <f>SUM(AI10:AI13)</f>
        <v/>
      </c>
      <c r="AJ14" s="738">
        <f>SUM(AJ10:AJ13)</f>
        <v/>
      </c>
      <c r="AK14" s="379">
        <f>SUM(K14+O14+S14+W14+AA14+AE14+AI14+AJ14)</f>
        <v/>
      </c>
      <c r="AL14" s="381">
        <f>IF(F14=0,"",K14/(F14/((YEAR(E10)*12+MONTH(E10))-(YEAR(D10)*12+MONTH(D10))+1)))</f>
        <v/>
      </c>
      <c r="AM14" s="382">
        <f>G14/F14</f>
        <v/>
      </c>
      <c r="AN14" s="743">
        <f>F14-G14</f>
        <v/>
      </c>
      <c r="AO14" s="383">
        <f>AO10</f>
        <v/>
      </c>
      <c r="AP14" s="381">
        <f>AK14/AO10</f>
        <v/>
      </c>
      <c r="AQ14" s="742">
        <f>AO10-AK14</f>
        <v/>
      </c>
      <c r="AR14" s="713" t="inlineStr"/>
      <c r="AS14" s="713" t="inlineStr"/>
      <c r="AT14" s="713" t="inlineStr"/>
      <c r="AU14" s="713" t="inlineStr"/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  <c r="BN14" s="713" t="inlineStr"/>
      <c r="BO14" s="713" t="inlineStr"/>
      <c r="BP14" s="713" t="inlineStr"/>
      <c r="BQ14" s="713" t="inlineStr"/>
    </row>
    <row r="15" outlineLevel="1" ht="14.25" customFormat="1" customHeight="1" s="483">
      <c r="A15" s="729" t="inlineStr">
        <is>
          <t>理财师007</t>
        </is>
      </c>
      <c r="B15" s="729" t="inlineStr">
        <is>
          <t>理财师023</t>
        </is>
      </c>
      <c r="C15" s="729" t="inlineStr">
        <is>
          <t>私人财富管理资深顾问PWA2-5</t>
        </is>
      </c>
      <c r="D15" s="730" t="n">
        <v>46204</v>
      </c>
      <c r="E15" s="730" t="n">
        <v>46387</v>
      </c>
      <c r="F15" s="729" t="n">
        <v>17806.8</v>
      </c>
      <c r="G15" s="729" t="n">
        <v>1652.29107</v>
      </c>
      <c r="H15" s="729" t="n">
        <v>267.141588</v>
      </c>
      <c r="I15" s="729" t="n">
        <v>0</v>
      </c>
      <c r="J15" s="729" t="n">
        <v>0</v>
      </c>
      <c r="K15" s="729">
        <f>SUM(H15:J15)</f>
        <v/>
      </c>
      <c r="L15" s="729" t="n">
        <v>1190.323875</v>
      </c>
      <c r="M15" s="729" t="n">
        <v>0</v>
      </c>
      <c r="N15" s="729" t="n">
        <v>194.825606</v>
      </c>
      <c r="O15" s="729">
        <f>SUM(L15:N15)</f>
        <v/>
      </c>
      <c r="P15" s="729" t="n">
        <v>1521.715752</v>
      </c>
      <c r="Q15" s="729" t="n">
        <v>14101.410508</v>
      </c>
      <c r="R15" s="729" t="n">
        <v>201.494206</v>
      </c>
      <c r="S15" s="729">
        <f>SUM(P15:R15)</f>
        <v/>
      </c>
      <c r="T15" s="729" t="n">
        <v>1776.618655</v>
      </c>
      <c r="U15" s="729" t="n">
        <v>0</v>
      </c>
      <c r="V15" s="729" t="n">
        <v>64.972886</v>
      </c>
      <c r="W15" s="729">
        <f>SUM(T15:V15)</f>
        <v/>
      </c>
      <c r="X15" s="729" t="n">
        <v>2171.402323</v>
      </c>
      <c r="Y15" s="729" t="n">
        <v>0</v>
      </c>
      <c r="Z15" s="729" t="n">
        <v>15.631431</v>
      </c>
      <c r="AA15" s="729">
        <f>SUM(X15:Z15)</f>
        <v/>
      </c>
      <c r="AB15" s="729" t="n">
        <v>1305.1575</v>
      </c>
      <c r="AC15" s="729" t="n">
        <v>1178.4864</v>
      </c>
      <c r="AD15" s="729" t="n">
        <v>22.441342</v>
      </c>
      <c r="AE15" s="729">
        <f>SUM(AB15:AD15)</f>
        <v/>
      </c>
      <c r="AF15" s="729" t="n">
        <v>0</v>
      </c>
      <c r="AG15" s="729" t="n">
        <v>0</v>
      </c>
      <c r="AH15" s="729" t="n">
        <v>15.177921</v>
      </c>
      <c r="AI15" s="729">
        <f>SUM(AF15:AH15)</f>
        <v/>
      </c>
      <c r="AJ15" s="729" t="n">
        <v>2630.55</v>
      </c>
      <c r="AK15" s="744">
        <f>SUM(K15+O15+S15+W15+AA15+AE15+AI15+AJ15)</f>
        <v/>
      </c>
      <c r="AL15" s="364">
        <f>IF(F15=0,"",K15/(F15/((YEAR(E15)*12+MONTH(E15))-(YEAR(D15)*12+MONTH(D15))+1)))</f>
        <v/>
      </c>
      <c r="AM15" s="364">
        <f>G15/F15</f>
        <v/>
      </c>
      <c r="AN15" s="744">
        <f>F15-G15</f>
        <v/>
      </c>
      <c r="AO15" s="366">
        <f>SUM(F15:F18)</f>
        <v/>
      </c>
      <c r="AP15" s="367">
        <f>AP19</f>
        <v/>
      </c>
      <c r="AQ15" s="745">
        <f>AQ19</f>
        <v/>
      </c>
      <c r="AR15" s="706" t="inlineStr"/>
      <c r="AS15" s="706" t="inlineStr"/>
      <c r="AT15" s="706" t="inlineStr"/>
      <c r="AU15" s="706" t="inlineStr"/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  <c r="BN15" s="706" t="inlineStr"/>
      <c r="BO15" s="706" t="inlineStr"/>
      <c r="BP15" s="706" t="inlineStr"/>
      <c r="BQ15" s="706" t="inlineStr"/>
    </row>
    <row r="16" outlineLevel="1" ht="14.25" customFormat="1" customHeight="1" s="483">
      <c r="A16" s="733" t="n"/>
      <c r="B16" s="734" t="inlineStr">
        <is>
          <t>理财师091</t>
        </is>
      </c>
      <c r="C16" s="734" t="inlineStr">
        <is>
          <t>C3</t>
        </is>
      </c>
      <c r="D16" s="735" t="n">
        <v>45866</v>
      </c>
      <c r="E16" s="735" t="n">
        <v>46049</v>
      </c>
      <c r="F16" s="734" t="n">
        <v>4042.08</v>
      </c>
      <c r="G16" s="734" t="n">
        <v>1691.696497</v>
      </c>
      <c r="H16" s="734" t="n">
        <v>0</v>
      </c>
      <c r="I16" s="734" t="n">
        <v>0</v>
      </c>
      <c r="J16" s="734" t="n">
        <v>0</v>
      </c>
      <c r="K16" s="734">
        <f>SUM(H16:J16)</f>
        <v/>
      </c>
      <c r="L16" s="734" t="n">
        <v>0</v>
      </c>
      <c r="M16" s="734" t="n">
        <v>0</v>
      </c>
      <c r="N16" s="734" t="n">
        <v>10.748728</v>
      </c>
      <c r="O16" s="734">
        <f>SUM(L16:N16)</f>
        <v/>
      </c>
      <c r="P16" s="734" t="n">
        <v>0</v>
      </c>
      <c r="Q16" s="734" t="n">
        <v>0</v>
      </c>
      <c r="R16" s="734" t="n">
        <v>11.31433</v>
      </c>
      <c r="S16" s="734">
        <f>SUM(P16:R16)</f>
        <v/>
      </c>
      <c r="T16" s="734" t="n">
        <v>0</v>
      </c>
      <c r="U16" s="734" t="n">
        <v>0</v>
      </c>
      <c r="V16" s="734" t="n">
        <v>2.157894</v>
      </c>
      <c r="W16" s="734">
        <f>SUM(T16:V16)</f>
        <v/>
      </c>
      <c r="X16" s="734" t="n">
        <v>0</v>
      </c>
      <c r="Y16" s="734" t="n">
        <v>0</v>
      </c>
      <c r="Z16" s="734" t="n">
        <v>2.058637</v>
      </c>
      <c r="AA16" s="734">
        <f>SUM(X16:Z16)</f>
        <v/>
      </c>
      <c r="AB16" s="734" t="n">
        <v>0</v>
      </c>
      <c r="AC16" s="734" t="n">
        <v>0</v>
      </c>
      <c r="AD16" s="734" t="n">
        <v>3.23046</v>
      </c>
      <c r="AE16" s="734">
        <f>SUM(AB16:AD16)</f>
        <v/>
      </c>
      <c r="AF16" s="734" t="n">
        <v>25.0224</v>
      </c>
      <c r="AG16" s="734" t="n">
        <v>1050.9408</v>
      </c>
      <c r="AH16" s="734" t="n">
        <v>3.667668</v>
      </c>
      <c r="AI16" s="734">
        <f>SUM(AF16:AH16)</f>
        <v/>
      </c>
      <c r="AJ16" s="734" t="n">
        <v>125.112</v>
      </c>
      <c r="AK16" s="372">
        <f>SUM(K16+O16+S16+W16+AA16+AE16+AI16+AJ16)</f>
        <v/>
      </c>
      <c r="AL16" s="373">
        <f>IF(F16=0,"",K16/(F16/((YEAR(E16)*12+MONTH(E16))-(YEAR(D16)*12+MONTH(D16))+1)))</f>
        <v/>
      </c>
      <c r="AM16" s="373">
        <f>G16/F16</f>
        <v/>
      </c>
      <c r="AN16" s="736">
        <f>F16-G16</f>
        <v/>
      </c>
      <c r="AO16" s="733" t="n"/>
      <c r="AP16" s="733" t="n"/>
      <c r="AQ16" s="733" t="n"/>
      <c r="AR16" s="706" t="inlineStr"/>
      <c r="AS16" s="706" t="inlineStr"/>
      <c r="AT16" s="706" t="inlineStr"/>
      <c r="AU16" s="706" t="inlineStr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  <c r="BN16" s="706" t="inlineStr"/>
      <c r="BO16" s="706" t="inlineStr"/>
      <c r="BP16" s="706" t="inlineStr"/>
      <c r="BQ16" s="706" t="inlineStr"/>
    </row>
    <row r="17" outlineLevel="1" ht="14.25" customFormat="1" customHeight="1" s="483">
      <c r="A17" s="733" t="n"/>
      <c r="B17" s="734" t="inlineStr">
        <is>
          <t>理财师035</t>
        </is>
      </c>
      <c r="C17" s="734" t="inlineStr"/>
      <c r="D17" s="735" t="n">
        <v>46052</v>
      </c>
      <c r="E17" s="735" t="n">
        <v>46232</v>
      </c>
      <c r="F17" s="734" t="n">
        <v>0</v>
      </c>
      <c r="G17" s="734" t="n">
        <v>5598.599415</v>
      </c>
      <c r="H17" s="734" t="n">
        <v>1774.64196</v>
      </c>
      <c r="I17" s="734" t="n">
        <v>0</v>
      </c>
      <c r="J17" s="734" t="n">
        <v>0</v>
      </c>
      <c r="K17" s="734">
        <f>SUM(H17:J17)</f>
        <v/>
      </c>
      <c r="L17" s="734" t="n">
        <v>683.565792</v>
      </c>
      <c r="M17" s="734" t="n">
        <v>0</v>
      </c>
      <c r="N17" s="734" t="n">
        <v>24.884003</v>
      </c>
      <c r="O17" s="734">
        <f>SUM(L17:N17)</f>
        <v/>
      </c>
      <c r="P17" s="734" t="n">
        <v>412.205196</v>
      </c>
      <c r="Q17" s="734" t="n">
        <v>0</v>
      </c>
      <c r="R17" s="734" t="n">
        <v>61.849591</v>
      </c>
      <c r="S17" s="734">
        <f>SUM(P17:R17)</f>
        <v/>
      </c>
      <c r="T17" s="734" t="n">
        <v>539.9043</v>
      </c>
      <c r="U17" s="734" t="n">
        <v>1859.14872</v>
      </c>
      <c r="V17" s="734" t="n">
        <v>44.064709</v>
      </c>
      <c r="W17" s="734">
        <f>SUM(T17:V17)</f>
        <v/>
      </c>
      <c r="X17" s="734" t="n">
        <v>0</v>
      </c>
      <c r="Y17" s="734" t="n">
        <v>0</v>
      </c>
      <c r="Z17" s="734" t="n">
        <v>43.453355</v>
      </c>
      <c r="AA17" s="734">
        <f>SUM(X17:Z17)</f>
        <v/>
      </c>
      <c r="AB17" s="734" t="n">
        <v>0</v>
      </c>
      <c r="AC17" s="734" t="n">
        <v>1943.65548</v>
      </c>
      <c r="AD17" s="734" t="n">
        <v>10.752272</v>
      </c>
      <c r="AE17" s="734">
        <f>SUM(AB17:AD17)</f>
        <v/>
      </c>
      <c r="AF17" s="734" t="n">
        <v>0</v>
      </c>
      <c r="AG17" s="734" t="n">
        <v>0</v>
      </c>
      <c r="AH17" s="734" t="n">
        <v>0</v>
      </c>
      <c r="AI17" s="734">
        <f>SUM(AF17:AH17)</f>
        <v/>
      </c>
      <c r="AJ17" s="734" t="n">
        <v>0</v>
      </c>
      <c r="AK17" s="372">
        <f>SUM(K17+O17+S17+W17+AA17+AE17+AI17+AJ17)</f>
        <v/>
      </c>
      <c r="AL17" s="373">
        <f>IF(F17=0,"",K17/(F17/MAX(1,(YEAR(E17)*12+MONTH(E17))-(YEAR(D17)*12+MONTH(D17))+1)))</f>
        <v/>
      </c>
      <c r="AM17" s="373">
        <f>G17/F17</f>
        <v/>
      </c>
      <c r="AN17" s="736">
        <f>F17-G17</f>
        <v/>
      </c>
      <c r="AO17" s="733" t="n"/>
      <c r="AP17" s="733" t="n"/>
      <c r="AQ17" s="733" t="n"/>
      <c r="AR17" s="706" t="inlineStr"/>
      <c r="AS17" s="706" t="inlineStr"/>
      <c r="AT17" s="706" t="inlineStr"/>
      <c r="AU17" s="706" t="inlineStr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  <c r="BN17" s="706" t="inlineStr"/>
      <c r="BO17" s="706" t="inlineStr"/>
      <c r="BP17" s="706" t="inlineStr"/>
      <c r="BQ17" s="706" t="inlineStr"/>
    </row>
    <row r="18" outlineLevel="1" ht="14.25" customFormat="1" customHeight="1" s="483">
      <c r="A18" s="737" t="n"/>
      <c r="B18" s="734" t="inlineStr">
        <is>
          <t>理财师007</t>
        </is>
      </c>
      <c r="C18" s="734" t="inlineStr">
        <is>
          <t>私人财富管理专家PWA4-4</t>
        </is>
      </c>
      <c r="D18" s="735" t="n">
        <v>46204</v>
      </c>
      <c r="E18" s="735" t="n">
        <v>46387</v>
      </c>
      <c r="F18" s="734" t="n">
        <v>31044.75</v>
      </c>
      <c r="G18" s="734" t="n">
        <v>5572.538129</v>
      </c>
      <c r="H18" s="734" t="n">
        <v>1549.2344</v>
      </c>
      <c r="I18" s="734" t="n">
        <v>0</v>
      </c>
      <c r="J18" s="734" t="n">
        <v>0</v>
      </c>
      <c r="K18" s="734">
        <f>SUM(H18:J18)</f>
        <v/>
      </c>
      <c r="L18" s="734" t="n">
        <v>3696.581357</v>
      </c>
      <c r="M18" s="734" t="n">
        <v>0</v>
      </c>
      <c r="N18" s="734" t="n">
        <v>326.722372</v>
      </c>
      <c r="O18" s="734">
        <f>SUM(L18:N18)</f>
        <v/>
      </c>
      <c r="P18" s="734" t="n">
        <v>4030.216259</v>
      </c>
      <c r="Q18" s="734" t="n">
        <v>0</v>
      </c>
      <c r="R18" s="734" t="n">
        <v>591.792457</v>
      </c>
      <c r="S18" s="734">
        <f>SUM(P18:R18)</f>
        <v/>
      </c>
      <c r="T18" s="734" t="n">
        <v>1274.903482</v>
      </c>
      <c r="U18" s="734" t="n">
        <v>3566.1951</v>
      </c>
      <c r="V18" s="734" t="n">
        <v>343.572179</v>
      </c>
      <c r="W18" s="734">
        <f>SUM(T18:V18)</f>
        <v/>
      </c>
      <c r="X18" s="734" t="n">
        <v>2660.12632</v>
      </c>
      <c r="Y18" s="734" t="n">
        <v>0</v>
      </c>
      <c r="Z18" s="734" t="n">
        <v>331.400492</v>
      </c>
      <c r="AA18" s="734">
        <f>SUM(X18:Z18)</f>
        <v/>
      </c>
      <c r="AB18" s="734" t="n">
        <v>3406.959578</v>
      </c>
      <c r="AC18" s="734" t="n">
        <v>14793.1056</v>
      </c>
      <c r="AD18" s="734" t="n">
        <v>606.358521</v>
      </c>
      <c r="AE18" s="734">
        <f>SUM(AB18:AD18)</f>
        <v/>
      </c>
      <c r="AF18" s="734" t="n">
        <v>3557.362586</v>
      </c>
      <c r="AG18" s="734" t="n">
        <v>0</v>
      </c>
      <c r="AH18" s="734" t="n">
        <v>301.023526</v>
      </c>
      <c r="AI18" s="734">
        <f>SUM(AF18:AH18)</f>
        <v/>
      </c>
      <c r="AJ18" s="734" t="n">
        <v>8988.571889000001</v>
      </c>
      <c r="AK18" s="372">
        <f>SUM(K18+O18+S18+W18+AA18+AE18+AI18+AJ18)</f>
        <v/>
      </c>
      <c r="AL18" s="373">
        <f>IF(F18=0,"",K18/(F18/((YEAR(E18)*12+MONTH(E18))-(YEAR(D18)*12+MONTH(D18))+1)))</f>
        <v/>
      </c>
      <c r="AM18" s="373">
        <f>G18/F18</f>
        <v/>
      </c>
      <c r="AN18" s="736">
        <f>F18-G18</f>
        <v/>
      </c>
      <c r="AO18" s="737" t="n"/>
      <c r="AP18" s="737" t="n"/>
      <c r="AQ18" s="737" t="n"/>
      <c r="AR18" s="706" t="inlineStr"/>
      <c r="AS18" s="706" t="inlineStr"/>
      <c r="AT18" s="706" t="inlineStr"/>
      <c r="AU18" s="706" t="inlineStr"/>
      <c r="AV18" s="706" t="inlineStr"/>
      <c r="AW18" s="706" t="inlineStr"/>
      <c r="AX18" s="706" t="inlineStr"/>
      <c r="AY18" s="706" t="inlineStr"/>
      <c r="AZ18" s="706" t="inlineStr"/>
      <c r="BA18" s="706" t="inlineStr"/>
      <c r="BB18" s="706" t="inlineStr"/>
      <c r="BC18" s="706" t="inlineStr"/>
      <c r="BD18" s="706" t="inlineStr"/>
      <c r="BE18" s="706" t="inlineStr"/>
      <c r="BF18" s="706" t="inlineStr"/>
      <c r="BG18" s="706" t="inlineStr"/>
      <c r="BH18" s="706" t="inlineStr"/>
      <c r="BI18" s="706" t="inlineStr"/>
      <c r="BJ18" s="706" t="inlineStr"/>
      <c r="BK18" s="706" t="inlineStr"/>
      <c r="BL18" s="706" t="inlineStr"/>
      <c r="BM18" s="706" t="inlineStr"/>
      <c r="BN18" s="706" t="inlineStr"/>
      <c r="BO18" s="706" t="inlineStr"/>
      <c r="BP18" s="706" t="inlineStr"/>
      <c r="BQ18" s="706" t="inlineStr"/>
    </row>
    <row r="19" outlineLevel="1" ht="14.25" customFormat="1" customHeight="1" s="483">
      <c r="A19" s="738" t="inlineStr">
        <is>
          <t>合计</t>
        </is>
      </c>
      <c r="B19" s="739" t="n"/>
      <c r="C19" s="739" t="n"/>
      <c r="D19" s="739" t="n"/>
      <c r="E19" s="740" t="n"/>
      <c r="F19" s="379">
        <f>SUM(F15:F18)</f>
        <v/>
      </c>
      <c r="G19" s="738">
        <f>SUM(G15:G18)</f>
        <v/>
      </c>
      <c r="H19" s="738">
        <f>SUM(H15:H18)</f>
        <v/>
      </c>
      <c r="I19" s="738">
        <f>SUM(I15:I18)</f>
        <v/>
      </c>
      <c r="J19" s="738">
        <f>SUM(J15:J18)</f>
        <v/>
      </c>
      <c r="K19" s="738">
        <f>SUM(K15:K18)</f>
        <v/>
      </c>
      <c r="L19" s="738">
        <f>SUM(L15:L18)</f>
        <v/>
      </c>
      <c r="M19" s="738">
        <f>SUM(M15:M18)</f>
        <v/>
      </c>
      <c r="N19" s="738">
        <f>SUM(N15:N18)</f>
        <v/>
      </c>
      <c r="O19" s="738">
        <f>SUM(O15:O18)</f>
        <v/>
      </c>
      <c r="P19" s="738">
        <f>SUM(P15:P18)</f>
        <v/>
      </c>
      <c r="Q19" s="738">
        <f>SUM(Q15:Q18)</f>
        <v/>
      </c>
      <c r="R19" s="738">
        <f>SUM(R15:R18)</f>
        <v/>
      </c>
      <c r="S19" s="738">
        <f>SUM(S15:S18)</f>
        <v/>
      </c>
      <c r="T19" s="738">
        <f>SUM(T15:T18)</f>
        <v/>
      </c>
      <c r="U19" s="738">
        <f>SUM(U15:U18)</f>
        <v/>
      </c>
      <c r="V19" s="738">
        <f>SUM(V15:V18)</f>
        <v/>
      </c>
      <c r="W19" s="738">
        <f>SUM(W15:W18)</f>
        <v/>
      </c>
      <c r="X19" s="738">
        <f>SUM(X15:X18)</f>
        <v/>
      </c>
      <c r="Y19" s="738">
        <f>SUM(Y15:Y18)</f>
        <v/>
      </c>
      <c r="Z19" s="738">
        <f>SUM(Z15:Z18)</f>
        <v/>
      </c>
      <c r="AA19" s="738">
        <f>SUM(AA15:AA18)</f>
        <v/>
      </c>
      <c r="AB19" s="738">
        <f>SUM(AB15:AB18)</f>
        <v/>
      </c>
      <c r="AC19" s="738">
        <f>SUM(AC15:AC18)</f>
        <v/>
      </c>
      <c r="AD19" s="738">
        <f>SUM(AD15:AD18)</f>
        <v/>
      </c>
      <c r="AE19" s="738">
        <f>SUM(AE15:AE18)</f>
        <v/>
      </c>
      <c r="AF19" s="738">
        <f>SUM(AF15:AF18)</f>
        <v/>
      </c>
      <c r="AG19" s="738">
        <f>SUM(AG15:AG18)</f>
        <v/>
      </c>
      <c r="AH19" s="738">
        <f>SUM(AH15:AH18)</f>
        <v/>
      </c>
      <c r="AI19" s="738">
        <f>SUM(AI15:AI18)</f>
        <v/>
      </c>
      <c r="AJ19" s="738">
        <f>SUM(AJ15:AJ18)</f>
        <v/>
      </c>
      <c r="AK19" s="741">
        <f>SUM(K19+O19+S19+W19+AA19+AE19+AI19+AJ19)</f>
        <v/>
      </c>
      <c r="AL19" s="381">
        <f>IF(F19=0,"",K19/(F19/((YEAR(E15)*12+MONTH(E15))-(YEAR(D15)*12+MONTH(D15))+1)))</f>
        <v/>
      </c>
      <c r="AM19" s="382">
        <f>G19/F19</f>
        <v/>
      </c>
      <c r="AN19" s="741">
        <f>F19-G19</f>
        <v/>
      </c>
      <c r="AO19" s="383">
        <f>AO15</f>
        <v/>
      </c>
      <c r="AP19" s="381">
        <f>AK19/AO15</f>
        <v/>
      </c>
      <c r="AQ19" s="742">
        <f>AO15-AK19</f>
        <v/>
      </c>
      <c r="AR19" s="713" t="inlineStr"/>
      <c r="AS19" s="713" t="inlineStr"/>
      <c r="AT19" s="713" t="inlineStr"/>
      <c r="AU19" s="713" t="inlineStr"/>
      <c r="AV19" s="713" t="inlineStr"/>
      <c r="AW19" s="713" t="inlineStr"/>
      <c r="AX19" s="713" t="inlineStr"/>
      <c r="AY19" s="713" t="inlineStr"/>
      <c r="AZ19" s="713" t="inlineStr"/>
      <c r="BA19" s="713" t="inlineStr"/>
      <c r="BB19" s="713" t="inlineStr"/>
      <c r="BC19" s="713" t="inlineStr"/>
      <c r="BD19" s="713" t="inlineStr"/>
      <c r="BE19" s="713" t="inlineStr"/>
      <c r="BF19" s="713" t="inlineStr"/>
      <c r="BG19" s="713" t="inlineStr"/>
      <c r="BH19" s="713" t="inlineStr"/>
      <c r="BI19" s="713" t="inlineStr"/>
      <c r="BJ19" s="713" t="inlineStr"/>
      <c r="BK19" s="713" t="inlineStr"/>
      <c r="BL19" s="713" t="inlineStr"/>
      <c r="BM19" s="713" t="inlineStr"/>
      <c r="BN19" s="713" t="inlineStr"/>
      <c r="BO19" s="713" t="inlineStr"/>
      <c r="BP19" s="713" t="inlineStr"/>
      <c r="BQ19" s="713" t="inlineStr"/>
    </row>
    <row r="20" outlineLevel="1" ht="14.25" customFormat="1" customHeight="1" s="483">
      <c r="A20" s="729" t="inlineStr">
        <is>
          <t>理财师016</t>
        </is>
      </c>
      <c r="B20" s="729" t="inlineStr">
        <is>
          <t>理财师028</t>
        </is>
      </c>
      <c r="C20" s="729" t="inlineStr">
        <is>
          <t>私人财富管理专家PWA4-5</t>
        </is>
      </c>
      <c r="D20" s="730" t="n">
        <v>46001</v>
      </c>
      <c r="E20" s="730" t="n">
        <v>46182</v>
      </c>
      <c r="F20" s="729" t="n">
        <v>23502</v>
      </c>
      <c r="G20" s="729" t="n">
        <v>337.57095</v>
      </c>
      <c r="H20" s="729" t="n">
        <v>0</v>
      </c>
      <c r="I20" s="729" t="n">
        <v>0</v>
      </c>
      <c r="J20" s="729" t="n">
        <v>0</v>
      </c>
      <c r="K20" s="729">
        <f>SUM(H20:J20)</f>
        <v/>
      </c>
      <c r="L20" s="729" t="n">
        <v>76.3815</v>
      </c>
      <c r="M20" s="729" t="n">
        <v>0</v>
      </c>
      <c r="N20" s="729" t="n">
        <v>19.558102</v>
      </c>
      <c r="O20" s="729">
        <f>SUM(L20:N20)</f>
        <v/>
      </c>
      <c r="P20" s="729" t="n">
        <v>488.8416</v>
      </c>
      <c r="Q20" s="729" t="n">
        <v>0</v>
      </c>
      <c r="R20" s="729" t="n">
        <v>90.34230599999999</v>
      </c>
      <c r="S20" s="729">
        <f>SUM(P20:R20)</f>
        <v/>
      </c>
      <c r="T20" s="729" t="n">
        <v>305.526</v>
      </c>
      <c r="U20" s="729" t="n">
        <v>0</v>
      </c>
      <c r="V20" s="729" t="n">
        <v>0</v>
      </c>
      <c r="W20" s="729">
        <f>SUM(T20:V20)</f>
        <v/>
      </c>
      <c r="X20" s="729" t="n">
        <v>0</v>
      </c>
      <c r="Y20" s="729" t="n">
        <v>0</v>
      </c>
      <c r="Z20" s="729" t="n">
        <v>0</v>
      </c>
      <c r="AA20" s="729">
        <f>SUM(X20:Z20)</f>
        <v/>
      </c>
      <c r="AB20" s="729" t="n">
        <v>0</v>
      </c>
      <c r="AC20" s="729" t="n">
        <v>0</v>
      </c>
      <c r="AD20" s="729" t="n">
        <v>32.04495</v>
      </c>
      <c r="AE20" s="729">
        <f>SUM(AB20:AD20)</f>
        <v/>
      </c>
      <c r="AF20" s="729" t="n">
        <v>0</v>
      </c>
      <c r="AG20" s="729" t="n">
        <v>0</v>
      </c>
      <c r="AH20" s="729" t="n">
        <v>0</v>
      </c>
      <c r="AI20" s="729">
        <f>SUM(AF20:AH20)</f>
        <v/>
      </c>
      <c r="AJ20" s="729" t="n">
        <v>0</v>
      </c>
      <c r="AK20" s="363">
        <f>SUM(K20+O20+S20+W20+AA20+AE20+AI20+AJ20)</f>
        <v/>
      </c>
      <c r="AL20" s="364">
        <f>IF(F20=0,"",K20/(F20/((YEAR(E20)*12+MONTH(E20))-(YEAR(D20)*12+MONTH(D20))+1)))</f>
        <v/>
      </c>
      <c r="AM20" s="364">
        <f>G20/F20</f>
        <v/>
      </c>
      <c r="AN20" s="731">
        <f>F20-G20</f>
        <v/>
      </c>
      <c r="AO20" s="366">
        <f>SUM(F20:F22)</f>
        <v/>
      </c>
      <c r="AP20" s="367">
        <f>AP23</f>
        <v/>
      </c>
      <c r="AQ20" s="745">
        <f>AQ23</f>
        <v/>
      </c>
      <c r="AR20" s="706" t="inlineStr"/>
      <c r="AS20" s="706" t="inlineStr"/>
      <c r="AT20" s="706" t="inlineStr"/>
      <c r="AU20" s="706" t="inlineStr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  <c r="BN20" s="706" t="inlineStr"/>
      <c r="BO20" s="706" t="inlineStr"/>
      <c r="BP20" s="706" t="inlineStr"/>
      <c r="BQ20" s="706" t="inlineStr"/>
    </row>
    <row r="21" outlineLevel="1" ht="14.25" customFormat="1" customHeight="1" s="483">
      <c r="A21" s="733" t="n"/>
      <c r="B21" s="734" t="inlineStr">
        <is>
          <t>理财师015</t>
        </is>
      </c>
      <c r="C21" s="734" t="inlineStr">
        <is>
          <t>私人财富管理顾问PWA1-3</t>
        </is>
      </c>
      <c r="D21" s="735" t="n">
        <v>46204</v>
      </c>
      <c r="E21" s="735" t="n">
        <v>46387</v>
      </c>
      <c r="F21" s="734" t="n">
        <v>5335.47</v>
      </c>
      <c r="G21" s="734" t="n">
        <v>2464.866558</v>
      </c>
      <c r="H21" s="734" t="n">
        <v>198.1746</v>
      </c>
      <c r="I21" s="734" t="n">
        <v>0</v>
      </c>
      <c r="J21" s="734" t="n">
        <v>0</v>
      </c>
      <c r="K21" s="734">
        <f>SUM(H21:J21)</f>
        <v/>
      </c>
      <c r="L21" s="734" t="n">
        <v>0</v>
      </c>
      <c r="M21" s="734" t="n">
        <v>2212.9497</v>
      </c>
      <c r="N21" s="734" t="n">
        <v>53.742258</v>
      </c>
      <c r="O21" s="734">
        <f>SUM(L21:N21)</f>
        <v/>
      </c>
      <c r="P21" s="734" t="n">
        <v>42.846788</v>
      </c>
      <c r="Q21" s="734" t="n">
        <v>0</v>
      </c>
      <c r="R21" s="734" t="n">
        <v>56.785916</v>
      </c>
      <c r="S21" s="734">
        <f>SUM(P21:R21)</f>
        <v/>
      </c>
      <c r="T21" s="734" t="n">
        <v>494.115336</v>
      </c>
      <c r="U21" s="734" t="n">
        <v>0</v>
      </c>
      <c r="V21" s="734" t="n">
        <v>46.211266</v>
      </c>
      <c r="W21" s="734">
        <f>SUM(T21:V21)</f>
        <v/>
      </c>
      <c r="X21" s="734" t="n">
        <v>0</v>
      </c>
      <c r="Y21" s="734" t="n">
        <v>0</v>
      </c>
      <c r="Z21" s="734" t="n">
        <v>37.443523</v>
      </c>
      <c r="AA21" s="734">
        <f>SUM(X21:Z21)</f>
        <v/>
      </c>
      <c r="AB21" s="734" t="n">
        <v>198.1746</v>
      </c>
      <c r="AC21" s="734" t="n">
        <v>0</v>
      </c>
      <c r="AD21" s="734" t="n">
        <v>29.640215</v>
      </c>
      <c r="AE21" s="734">
        <f>SUM(AB21:AD21)</f>
        <v/>
      </c>
      <c r="AF21" s="734" t="n">
        <v>0.8469</v>
      </c>
      <c r="AG21" s="734" t="n">
        <v>4558.0158</v>
      </c>
      <c r="AH21" s="734" t="n">
        <v>19.389048</v>
      </c>
      <c r="AI21" s="734">
        <f>SUM(AF21:AH21)</f>
        <v/>
      </c>
      <c r="AJ21" s="734" t="n">
        <v>21.644177</v>
      </c>
      <c r="AK21" s="372">
        <f>SUM(K21+O21+S21+W21+AA21+AE21+AI21+AJ21)</f>
        <v/>
      </c>
      <c r="AL21" s="373">
        <f>IF(F21=0,"",K21/(F21/((YEAR(E21)*12+MONTH(E21))-(YEAR(D21)*12+MONTH(D21))+1)))</f>
        <v/>
      </c>
      <c r="AM21" s="373">
        <f>G21/F21</f>
        <v/>
      </c>
      <c r="AN21" s="736">
        <f>F21-G21</f>
        <v/>
      </c>
      <c r="AO21" s="733" t="n"/>
      <c r="AP21" s="733" t="n"/>
      <c r="AQ21" s="733" t="n"/>
      <c r="AR21" s="706" t="inlineStr"/>
      <c r="AS21" s="706" t="inlineStr"/>
      <c r="AT21" s="706" t="inlineStr"/>
      <c r="AU21" s="706" t="inlineStr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  <c r="BN21" s="706" t="inlineStr"/>
      <c r="BO21" s="706" t="inlineStr"/>
      <c r="BP21" s="706" t="inlineStr"/>
      <c r="BQ21" s="706" t="inlineStr"/>
    </row>
    <row r="22" outlineLevel="1" ht="14.25" customFormat="1" customHeight="1" s="483">
      <c r="A22" s="737" t="n"/>
      <c r="B22" s="734" t="inlineStr">
        <is>
          <t>理财师016</t>
        </is>
      </c>
      <c r="C22" s="734" t="inlineStr">
        <is>
          <t>私人财富管理资深顾问PWA2-5</t>
        </is>
      </c>
      <c r="D22" s="735" t="n">
        <v>46204</v>
      </c>
      <c r="E22" s="735" t="n">
        <v>46387</v>
      </c>
      <c r="F22" s="734" t="n">
        <v>9935.639999999999</v>
      </c>
      <c r="G22" s="734" t="n">
        <v>2946.105646</v>
      </c>
      <c r="H22" s="734" t="n">
        <v>0</v>
      </c>
      <c r="I22" s="734" t="n">
        <v>0</v>
      </c>
      <c r="J22" s="734" t="n">
        <v>0</v>
      </c>
      <c r="K22" s="734">
        <f>SUM(H22:J22)</f>
        <v/>
      </c>
      <c r="L22" s="734" t="n">
        <v>1489.781475</v>
      </c>
      <c r="M22" s="734" t="n">
        <v>1188.904234</v>
      </c>
      <c r="N22" s="734" t="n">
        <v>267.419938</v>
      </c>
      <c r="O22" s="734">
        <f>SUM(L22:N22)</f>
        <v/>
      </c>
      <c r="P22" s="734" t="n">
        <v>1356.21486</v>
      </c>
      <c r="Q22" s="734" t="n">
        <v>0</v>
      </c>
      <c r="R22" s="734" t="n">
        <v>318.635116</v>
      </c>
      <c r="S22" s="734">
        <f>SUM(P22:R22)</f>
        <v/>
      </c>
      <c r="T22" s="734" t="n">
        <v>2200.72469</v>
      </c>
      <c r="U22" s="734" t="n">
        <v>0</v>
      </c>
      <c r="V22" s="734" t="n">
        <v>130.270558</v>
      </c>
      <c r="W22" s="734">
        <f>SUM(T22:V22)</f>
        <v/>
      </c>
      <c r="X22" s="734" t="n">
        <v>1832.902273</v>
      </c>
      <c r="Y22" s="734" t="n">
        <v>0</v>
      </c>
      <c r="Z22" s="734" t="n">
        <v>114.994826</v>
      </c>
      <c r="AA22" s="734">
        <f>SUM(X22:Z22)</f>
        <v/>
      </c>
      <c r="AB22" s="734" t="n">
        <v>220.16475</v>
      </c>
      <c r="AC22" s="734" t="n">
        <v>0</v>
      </c>
      <c r="AD22" s="734" t="n">
        <v>158.674065</v>
      </c>
      <c r="AE22" s="734">
        <f>SUM(AB22:AD22)</f>
        <v/>
      </c>
      <c r="AF22" s="734" t="n">
        <v>3847.561596</v>
      </c>
      <c r="AG22" s="734" t="n">
        <v>0</v>
      </c>
      <c r="AH22" s="734" t="n">
        <v>39.036743</v>
      </c>
      <c r="AI22" s="734">
        <f>SUM(AF22:AH22)</f>
        <v/>
      </c>
      <c r="AJ22" s="734" t="n">
        <v>2540.064804</v>
      </c>
      <c r="AK22" s="372">
        <f>SUM(K22+O22+S22+W22+AA22+AE22+AI22+AJ22)</f>
        <v/>
      </c>
      <c r="AL22" s="373">
        <f>IF(F22=0,"",K22/(F22/((YEAR(E22)*12+MONTH(E22))-(YEAR(D22)*12+MONTH(D22))+1)))</f>
        <v/>
      </c>
      <c r="AM22" s="373">
        <f>G22/F22</f>
        <v/>
      </c>
      <c r="AN22" s="736">
        <f>F22-G22</f>
        <v/>
      </c>
      <c r="AO22" s="737" t="n"/>
      <c r="AP22" s="737" t="n"/>
      <c r="AQ22" s="737" t="n"/>
      <c r="AR22" s="706" t="inlineStr"/>
      <c r="AS22" s="706" t="inlineStr"/>
      <c r="AT22" s="706" t="inlineStr"/>
      <c r="AU22" s="706" t="inlineStr"/>
      <c r="AV22" s="706" t="inlineStr"/>
      <c r="AW22" s="706" t="inlineStr"/>
      <c r="AX22" s="706" t="inlineStr"/>
      <c r="AY22" s="706" t="inlineStr"/>
      <c r="AZ22" s="706" t="inlineStr"/>
      <c r="BA22" s="706" t="inlineStr"/>
      <c r="BB22" s="706" t="inlineStr"/>
      <c r="BC22" s="706" t="inlineStr"/>
      <c r="BD22" s="706" t="inlineStr"/>
      <c r="BE22" s="706" t="inlineStr"/>
      <c r="BF22" s="706" t="inlineStr"/>
      <c r="BG22" s="706" t="inlineStr"/>
      <c r="BH22" s="706" t="inlineStr"/>
      <c r="BI22" s="706" t="inlineStr"/>
      <c r="BJ22" s="706" t="inlineStr"/>
      <c r="BK22" s="706" t="inlineStr"/>
      <c r="BL22" s="706" t="inlineStr"/>
      <c r="BM22" s="706" t="inlineStr"/>
      <c r="BN22" s="706" t="inlineStr"/>
      <c r="BO22" s="706" t="inlineStr"/>
      <c r="BP22" s="706" t="inlineStr"/>
      <c r="BQ22" s="706" t="inlineStr"/>
    </row>
    <row r="23" outlineLevel="1" ht="14.25" customFormat="1" customHeight="1" s="483">
      <c r="A23" s="738" t="inlineStr">
        <is>
          <t>合计</t>
        </is>
      </c>
      <c r="B23" s="739" t="n"/>
      <c r="C23" s="739" t="n"/>
      <c r="D23" s="739" t="n"/>
      <c r="E23" s="740" t="n"/>
      <c r="F23" s="379">
        <f>SUM(F20:F22)</f>
        <v/>
      </c>
      <c r="G23" s="738">
        <f>SUM(G20:G22)</f>
        <v/>
      </c>
      <c r="H23" s="738">
        <f>SUM(H20:H22)</f>
        <v/>
      </c>
      <c r="I23" s="738">
        <f>SUM(I20:I22)</f>
        <v/>
      </c>
      <c r="J23" s="738">
        <f>SUM(J20:J22)</f>
        <v/>
      </c>
      <c r="K23" s="738">
        <f>SUM(K20:K22)</f>
        <v/>
      </c>
      <c r="L23" s="738">
        <f>SUM(L20:L22)</f>
        <v/>
      </c>
      <c r="M23" s="738">
        <f>SUM(M20:M22)</f>
        <v/>
      </c>
      <c r="N23" s="738">
        <f>SUM(N20:N22)</f>
        <v/>
      </c>
      <c r="O23" s="738">
        <f>SUM(O20:O22)</f>
        <v/>
      </c>
      <c r="P23" s="738">
        <f>SUM(P20:P22)</f>
        <v/>
      </c>
      <c r="Q23" s="738">
        <f>SUM(Q20:Q22)</f>
        <v/>
      </c>
      <c r="R23" s="738">
        <f>SUM(R20:R22)</f>
        <v/>
      </c>
      <c r="S23" s="738">
        <f>SUM(S20:S22)</f>
        <v/>
      </c>
      <c r="T23" s="738">
        <f>SUM(T20:T22)</f>
        <v/>
      </c>
      <c r="U23" s="738">
        <f>SUM(U20:U22)</f>
        <v/>
      </c>
      <c r="V23" s="738">
        <f>SUM(V20:V22)</f>
        <v/>
      </c>
      <c r="W23" s="738">
        <f>SUM(W20:W22)</f>
        <v/>
      </c>
      <c r="X23" s="738">
        <f>SUM(X20:X22)</f>
        <v/>
      </c>
      <c r="Y23" s="738">
        <f>SUM(Y20:Y22)</f>
        <v/>
      </c>
      <c r="Z23" s="738">
        <f>SUM(Z20:Z22)</f>
        <v/>
      </c>
      <c r="AA23" s="738">
        <f>SUM(AA20:AA22)</f>
        <v/>
      </c>
      <c r="AB23" s="738">
        <f>SUM(AB20:AB22)</f>
        <v/>
      </c>
      <c r="AC23" s="738">
        <f>SUM(AC20:AC22)</f>
        <v/>
      </c>
      <c r="AD23" s="738">
        <f>SUM(AD20:AD22)</f>
        <v/>
      </c>
      <c r="AE23" s="738">
        <f>SUM(AE20:AE22)</f>
        <v/>
      </c>
      <c r="AF23" s="738">
        <f>SUM(AF20:AF22)</f>
        <v/>
      </c>
      <c r="AG23" s="738">
        <f>SUM(AG20:AG22)</f>
        <v/>
      </c>
      <c r="AH23" s="738">
        <f>SUM(AH20:AH22)</f>
        <v/>
      </c>
      <c r="AI23" s="738">
        <f>SUM(AI20:AI22)</f>
        <v/>
      </c>
      <c r="AJ23" s="738">
        <f>SUM(AJ20:AJ22)</f>
        <v/>
      </c>
      <c r="AK23" s="379">
        <f>SUM(K23+O23+S23+W23+AA23+AE23+AI23+AJ23)</f>
        <v/>
      </c>
      <c r="AL23" s="381">
        <f>IF(F23=0,"",K23/(F23/((YEAR(E20)*12+MONTH(E20))-(YEAR(D20)*12+MONTH(D20))+1)))</f>
        <v/>
      </c>
      <c r="AM23" s="382">
        <f>G23/F23</f>
        <v/>
      </c>
      <c r="AN23" s="743">
        <f>F23-G23</f>
        <v/>
      </c>
      <c r="AO23" s="383">
        <f>AO20</f>
        <v/>
      </c>
      <c r="AP23" s="381">
        <f>AK23/AO20</f>
        <v/>
      </c>
      <c r="AQ23" s="742">
        <f>AO20-AK23</f>
        <v/>
      </c>
      <c r="AR23" s="713" t="inlineStr"/>
      <c r="AS23" s="713" t="inlineStr"/>
      <c r="AT23" s="713" t="inlineStr"/>
      <c r="AU23" s="713" t="inlineStr"/>
      <c r="AV23" s="713" t="inlineStr"/>
      <c r="AW23" s="713" t="inlineStr"/>
      <c r="AX23" s="713" t="inlineStr"/>
      <c r="AY23" s="713" t="inlineStr"/>
      <c r="AZ23" s="713" t="inlineStr"/>
      <c r="BA23" s="713" t="inlineStr"/>
      <c r="BB23" s="713" t="inlineStr"/>
      <c r="BC23" s="713" t="inlineStr"/>
      <c r="BD23" s="713" t="inlineStr"/>
      <c r="BE23" s="713" t="inlineStr"/>
      <c r="BF23" s="713" t="inlineStr"/>
      <c r="BG23" s="713" t="inlineStr"/>
      <c r="BH23" s="713" t="inlineStr"/>
      <c r="BI23" s="713" t="inlineStr"/>
      <c r="BJ23" s="713" t="inlineStr"/>
      <c r="BK23" s="713" t="inlineStr"/>
      <c r="BL23" s="713" t="inlineStr"/>
      <c r="BM23" s="713" t="inlineStr"/>
      <c r="BN23" s="713" t="inlineStr"/>
      <c r="BO23" s="713" t="inlineStr"/>
      <c r="BP23" s="713" t="inlineStr"/>
      <c r="BQ23" s="713" t="inlineStr"/>
    </row>
    <row r="24" outlineLevel="1" ht="14.25" customFormat="1" customHeight="1" s="483">
      <c r="A24" s="729" t="inlineStr">
        <is>
          <t>理财师002</t>
        </is>
      </c>
      <c r="B24" s="729" t="inlineStr">
        <is>
          <t>理财师001</t>
        </is>
      </c>
      <c r="C24" s="729" t="inlineStr">
        <is>
          <t>私人财富管理顾问PWA1-3</t>
        </is>
      </c>
      <c r="D24" s="730" t="n">
        <v>46204</v>
      </c>
      <c r="E24" s="730" t="n">
        <v>46387</v>
      </c>
      <c r="F24" s="729" t="n">
        <v>5423.67</v>
      </c>
      <c r="G24" s="729" t="n">
        <v>1247.536726</v>
      </c>
      <c r="H24" s="729" t="n">
        <v>398.066386</v>
      </c>
      <c r="I24" s="729" t="n">
        <v>0</v>
      </c>
      <c r="J24" s="729" t="n">
        <v>0</v>
      </c>
      <c r="K24" s="729">
        <f>SUM(H24:J24)</f>
        <v/>
      </c>
      <c r="L24" s="729" t="n">
        <v>164.672952</v>
      </c>
      <c r="M24" s="729" t="n">
        <v>0</v>
      </c>
      <c r="N24" s="729" t="n">
        <v>684.797389</v>
      </c>
      <c r="O24" s="729">
        <f>SUM(L24:N24)</f>
        <v/>
      </c>
      <c r="P24" s="729" t="n">
        <v>1035.385146</v>
      </c>
      <c r="Q24" s="729" t="n">
        <v>0</v>
      </c>
      <c r="R24" s="729" t="n">
        <v>717.905769</v>
      </c>
      <c r="S24" s="729">
        <f>SUM(P24:R24)</f>
        <v/>
      </c>
      <c r="T24" s="729" t="n">
        <v>121.826127</v>
      </c>
      <c r="U24" s="729" t="n">
        <v>0</v>
      </c>
      <c r="V24" s="729" t="n">
        <v>638.531805</v>
      </c>
      <c r="W24" s="729">
        <f>SUM(T24:V24)</f>
        <v/>
      </c>
      <c r="X24" s="729" t="n">
        <v>88.54274700000001</v>
      </c>
      <c r="Y24" s="729" t="n">
        <v>0</v>
      </c>
      <c r="Z24" s="729" t="n">
        <v>616.124389</v>
      </c>
      <c r="AA24" s="729">
        <f>SUM(X24:Z24)</f>
        <v/>
      </c>
      <c r="AB24" s="729" t="n">
        <v>50.830377</v>
      </c>
      <c r="AC24" s="729" t="n">
        <v>0</v>
      </c>
      <c r="AD24" s="729" t="n">
        <v>791.318135</v>
      </c>
      <c r="AE24" s="729">
        <f>SUM(AB24:AD24)</f>
        <v/>
      </c>
      <c r="AF24" s="729" t="n">
        <v>153.11976</v>
      </c>
      <c r="AG24" s="729" t="n">
        <v>0</v>
      </c>
      <c r="AH24" s="729" t="n">
        <v>560.548117</v>
      </c>
      <c r="AI24" s="729">
        <f>SUM(AF24:AH24)</f>
        <v/>
      </c>
      <c r="AJ24" s="729" t="n">
        <v>2029.518541</v>
      </c>
      <c r="AK24" s="744">
        <f>SUM(K24+O24+S24+W24+AA24+AE24+AI24+AJ24)</f>
        <v/>
      </c>
      <c r="AL24" s="364">
        <f>IF(F24=0,"",K24/(F24/((YEAR(E24)*12+MONTH(E24))-(YEAR(D24)*12+MONTH(D24))+1)))</f>
        <v/>
      </c>
      <c r="AM24" s="364">
        <f>G24/F24</f>
        <v/>
      </c>
      <c r="AN24" s="744">
        <f>F24-G24</f>
        <v/>
      </c>
      <c r="AO24" s="366">
        <f>SUM(F24:F26)</f>
        <v/>
      </c>
      <c r="AP24" s="367">
        <f>AP27</f>
        <v/>
      </c>
      <c r="AQ24" s="745">
        <f>AQ27</f>
        <v/>
      </c>
      <c r="AR24" s="706" t="inlineStr"/>
      <c r="AS24" s="706" t="inlineStr"/>
      <c r="AT24" s="706" t="inlineStr"/>
      <c r="AU24" s="706" t="inlineStr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  <c r="BN24" s="706" t="inlineStr"/>
      <c r="BO24" s="706" t="inlineStr"/>
      <c r="BP24" s="706" t="inlineStr"/>
      <c r="BQ24" s="706" t="inlineStr"/>
    </row>
    <row r="25" outlineLevel="1" ht="14.25" customFormat="1" customHeight="1" s="483">
      <c r="A25" s="733" t="n"/>
      <c r="B25" s="734" t="inlineStr">
        <is>
          <t>理财师027</t>
        </is>
      </c>
      <c r="C25" s="734" t="inlineStr">
        <is>
          <t>私人财富管理顾问PWA1-3</t>
        </is>
      </c>
      <c r="D25" s="735" t="n">
        <v>46125</v>
      </c>
      <c r="E25" s="735" t="n">
        <v>46326</v>
      </c>
      <c r="F25" s="734" t="n">
        <v>4774.516274</v>
      </c>
      <c r="G25" s="734" t="n">
        <v>4823.090327</v>
      </c>
      <c r="H25" s="734" t="n">
        <v>684.1535280000001</v>
      </c>
      <c r="I25" s="734" t="n">
        <v>3685.0554</v>
      </c>
      <c r="J25" s="734" t="n">
        <v>0</v>
      </c>
      <c r="K25" s="734">
        <f>SUM(H25:J25)</f>
        <v/>
      </c>
      <c r="L25" s="734" t="n">
        <v>106.8132</v>
      </c>
      <c r="M25" s="734" t="n">
        <v>0</v>
      </c>
      <c r="N25" s="734" t="n">
        <v>29.433754</v>
      </c>
      <c r="O25" s="734">
        <f>SUM(L25:N25)</f>
        <v/>
      </c>
      <c r="P25" s="734" t="n">
        <v>63.103793</v>
      </c>
      <c r="Q25" s="734" t="n">
        <v>0</v>
      </c>
      <c r="R25" s="734" t="n">
        <v>22.083459</v>
      </c>
      <c r="S25" s="734">
        <f>SUM(P25:R25)</f>
        <v/>
      </c>
      <c r="T25" s="734" t="n">
        <v>63.1797</v>
      </c>
      <c r="U25" s="734" t="n">
        <v>0</v>
      </c>
      <c r="V25" s="734" t="n">
        <v>19.121258</v>
      </c>
      <c r="W25" s="734">
        <f>SUM(T25:V25)</f>
        <v/>
      </c>
      <c r="X25" s="734" t="n">
        <v>135.387173</v>
      </c>
      <c r="Y25" s="734" t="n">
        <v>3685.0554</v>
      </c>
      <c r="Z25" s="734" t="n">
        <v>14.759064</v>
      </c>
      <c r="AA25" s="734">
        <f>SUM(X25:Z25)</f>
        <v/>
      </c>
      <c r="AB25" s="734" t="n">
        <v>0</v>
      </c>
      <c r="AC25" s="734" t="n">
        <v>0</v>
      </c>
      <c r="AD25" s="734" t="n">
        <v>2.181886</v>
      </c>
      <c r="AE25" s="734">
        <f>SUM(AB25:AD25)</f>
        <v/>
      </c>
      <c r="AF25" s="734" t="n">
        <v>0</v>
      </c>
      <c r="AG25" s="734" t="n">
        <v>0</v>
      </c>
      <c r="AH25" s="734" t="n">
        <v>1.481485</v>
      </c>
      <c r="AI25" s="734">
        <f>SUM(AF25:AH25)</f>
        <v/>
      </c>
      <c r="AJ25" s="734" t="n">
        <v>66.75825</v>
      </c>
      <c r="AK25" s="372">
        <f>SUM(K25+O25+S25+W25+AA25+AE25+AI25+AJ25)</f>
        <v/>
      </c>
      <c r="AL25" s="373">
        <f>IF(F25=0,"",K25/(F25/((YEAR(E25)*12+MONTH(E25))-(YEAR(D25)*12+MONTH(D25))+1)))</f>
        <v/>
      </c>
      <c r="AM25" s="373">
        <f>G25/F25</f>
        <v/>
      </c>
      <c r="AN25" s="736">
        <f>F25-G25</f>
        <v/>
      </c>
      <c r="AO25" s="733" t="n"/>
      <c r="AP25" s="733" t="n"/>
      <c r="AQ25" s="733" t="n"/>
      <c r="AR25" s="706" t="inlineStr"/>
      <c r="AS25" s="706" t="inlineStr"/>
      <c r="AT25" s="706" t="inlineStr"/>
      <c r="AU25" s="706" t="inlineStr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  <c r="BN25" s="706" t="inlineStr"/>
      <c r="BO25" s="706" t="inlineStr"/>
      <c r="BP25" s="706" t="inlineStr"/>
      <c r="BQ25" s="706" t="inlineStr"/>
    </row>
    <row r="26" outlineLevel="1" ht="14.25" customFormat="1" customHeight="1" s="483">
      <c r="A26" s="737" t="n"/>
      <c r="B26" s="734" t="inlineStr">
        <is>
          <t>理财师002</t>
        </is>
      </c>
      <c r="C26" s="734" t="inlineStr">
        <is>
          <t>首席私人财富管理专家PWA5-1</t>
        </is>
      </c>
      <c r="D26" s="735" t="n">
        <v>46204</v>
      </c>
      <c r="E26" s="735" t="n">
        <v>46387</v>
      </c>
      <c r="F26" s="734" t="n">
        <v>28479.5</v>
      </c>
      <c r="G26" s="734" t="n">
        <v>22542.697662</v>
      </c>
      <c r="H26" s="734" t="n">
        <v>19144.754352</v>
      </c>
      <c r="I26" s="734" t="n">
        <v>0</v>
      </c>
      <c r="J26" s="734" t="n">
        <v>0</v>
      </c>
      <c r="K26" s="734">
        <f>SUM(H26:J26)</f>
        <v/>
      </c>
      <c r="L26" s="734" t="n">
        <v>3169.128782</v>
      </c>
      <c r="M26" s="734" t="n">
        <v>0</v>
      </c>
      <c r="N26" s="734" t="n">
        <v>228.814528</v>
      </c>
      <c r="O26" s="734">
        <f>SUM(L26:N26)</f>
        <v/>
      </c>
      <c r="P26" s="734" t="n">
        <v>662.537684</v>
      </c>
      <c r="Q26" s="734" t="n">
        <v>0</v>
      </c>
      <c r="R26" s="734" t="n">
        <v>353.318319</v>
      </c>
      <c r="S26" s="734">
        <f>SUM(P26:R26)</f>
        <v/>
      </c>
      <c r="T26" s="734" t="n">
        <v>2227.154433</v>
      </c>
      <c r="U26" s="734" t="n">
        <v>0</v>
      </c>
      <c r="V26" s="734" t="n">
        <v>234.231608</v>
      </c>
      <c r="W26" s="734">
        <f>SUM(T26:V26)</f>
        <v/>
      </c>
      <c r="X26" s="734" t="n">
        <v>-6272.609198</v>
      </c>
      <c r="Y26" s="734" t="n">
        <v>0</v>
      </c>
      <c r="Z26" s="734" t="n">
        <v>210.102519</v>
      </c>
      <c r="AA26" s="734">
        <f>SUM(X26:Z26)</f>
        <v/>
      </c>
      <c r="AB26" s="734" t="n">
        <v>2164.476574</v>
      </c>
      <c r="AC26" s="734" t="n">
        <v>0</v>
      </c>
      <c r="AD26" s="734" t="n">
        <v>365.27682</v>
      </c>
      <c r="AE26" s="734">
        <f>SUM(AB26:AD26)</f>
        <v/>
      </c>
      <c r="AF26" s="734" t="n">
        <v>2346.171162</v>
      </c>
      <c r="AG26" s="734" t="n">
        <v>0</v>
      </c>
      <c r="AH26" s="734" t="n">
        <v>187.41719</v>
      </c>
      <c r="AI26" s="734">
        <f>SUM(AF26:AH26)</f>
        <v/>
      </c>
      <c r="AJ26" s="734" t="n">
        <v>24919.495747</v>
      </c>
      <c r="AK26" s="372">
        <f>SUM(K26+O26+S26+W26+AA26+AE26+AI26+AJ26)</f>
        <v/>
      </c>
      <c r="AL26" s="373">
        <f>IF(F26=0,"",K26/(F26/((YEAR(E26)*12+MONTH(E26))-(YEAR(D26)*12+MONTH(D26))+1)))</f>
        <v/>
      </c>
      <c r="AM26" s="373">
        <f>G26/F26</f>
        <v/>
      </c>
      <c r="AN26" s="736">
        <f>F26-G26</f>
        <v/>
      </c>
      <c r="AO26" s="737" t="n"/>
      <c r="AP26" s="737" t="n"/>
      <c r="AQ26" s="737" t="n"/>
      <c r="AR26" s="706" t="inlineStr"/>
      <c r="AS26" s="706" t="inlineStr"/>
      <c r="AT26" s="706" t="inlineStr"/>
      <c r="AU26" s="706" t="inlineStr"/>
      <c r="AV26" s="706" t="inlineStr"/>
      <c r="AW26" s="706" t="inlineStr"/>
      <c r="AX26" s="706" t="inlineStr"/>
      <c r="AY26" s="706" t="inlineStr"/>
      <c r="AZ26" s="706" t="inlineStr"/>
      <c r="BA26" s="706" t="inlineStr"/>
      <c r="BB26" s="706" t="inlineStr"/>
      <c r="BC26" s="706" t="inlineStr"/>
      <c r="BD26" s="706" t="inlineStr"/>
      <c r="BE26" s="706" t="inlineStr"/>
      <c r="BF26" s="706" t="inlineStr"/>
      <c r="BG26" s="706" t="inlineStr"/>
      <c r="BH26" s="706" t="inlineStr"/>
      <c r="BI26" s="706" t="inlineStr"/>
      <c r="BJ26" s="706" t="inlineStr"/>
      <c r="BK26" s="706" t="inlineStr"/>
      <c r="BL26" s="706" t="inlineStr"/>
      <c r="BM26" s="706" t="inlineStr"/>
      <c r="BN26" s="706" t="inlineStr"/>
      <c r="BO26" s="706" t="inlineStr"/>
      <c r="BP26" s="706" t="inlineStr"/>
      <c r="BQ26" s="706" t="inlineStr"/>
    </row>
    <row r="27" outlineLevel="1" ht="14.25" customFormat="1" customHeight="1" s="483">
      <c r="A27" s="738" t="inlineStr">
        <is>
          <t>合计</t>
        </is>
      </c>
      <c r="B27" s="739" t="n"/>
      <c r="C27" s="739" t="n"/>
      <c r="D27" s="739" t="n"/>
      <c r="E27" s="740" t="n"/>
      <c r="F27" s="379">
        <f>SUM(F24:F26)</f>
        <v/>
      </c>
      <c r="G27" s="738">
        <f>SUM(G24:G26)</f>
        <v/>
      </c>
      <c r="H27" s="738">
        <f>SUM(H24:H26)</f>
        <v/>
      </c>
      <c r="I27" s="738">
        <f>SUM(I24:I26)</f>
        <v/>
      </c>
      <c r="J27" s="738">
        <f>SUM(J24:J26)</f>
        <v/>
      </c>
      <c r="K27" s="738">
        <f>SUM(K24:K26)</f>
        <v/>
      </c>
      <c r="L27" s="738">
        <f>SUM(L24:L26)</f>
        <v/>
      </c>
      <c r="M27" s="738">
        <f>SUM(M24:M26)</f>
        <v/>
      </c>
      <c r="N27" s="738">
        <f>SUM(N24:N26)</f>
        <v/>
      </c>
      <c r="O27" s="738">
        <f>SUM(O24:O26)</f>
        <v/>
      </c>
      <c r="P27" s="738">
        <f>SUM(P24:P26)</f>
        <v/>
      </c>
      <c r="Q27" s="738">
        <f>SUM(Q24:Q26)</f>
        <v/>
      </c>
      <c r="R27" s="738">
        <f>SUM(R24:R26)</f>
        <v/>
      </c>
      <c r="S27" s="738">
        <f>SUM(S24:S26)</f>
        <v/>
      </c>
      <c r="T27" s="738">
        <f>SUM(T24:T26)</f>
        <v/>
      </c>
      <c r="U27" s="738">
        <f>SUM(U24:U26)</f>
        <v/>
      </c>
      <c r="V27" s="738">
        <f>SUM(V24:V26)</f>
        <v/>
      </c>
      <c r="W27" s="738">
        <f>SUM(W24:W26)</f>
        <v/>
      </c>
      <c r="X27" s="738">
        <f>SUM(X24:X26)</f>
        <v/>
      </c>
      <c r="Y27" s="738">
        <f>SUM(Y24:Y26)</f>
        <v/>
      </c>
      <c r="Z27" s="738">
        <f>SUM(Z24:Z26)</f>
        <v/>
      </c>
      <c r="AA27" s="738">
        <f>SUM(AA24:AA26)</f>
        <v/>
      </c>
      <c r="AB27" s="738">
        <f>SUM(AB24:AB26)</f>
        <v/>
      </c>
      <c r="AC27" s="738">
        <f>SUM(AC24:AC26)</f>
        <v/>
      </c>
      <c r="AD27" s="738">
        <f>SUM(AD24:AD26)</f>
        <v/>
      </c>
      <c r="AE27" s="738">
        <f>SUM(AE24:AE26)</f>
        <v/>
      </c>
      <c r="AF27" s="738">
        <f>SUM(AF24:AF26)</f>
        <v/>
      </c>
      <c r="AG27" s="738">
        <f>SUM(AG24:AG26)</f>
        <v/>
      </c>
      <c r="AH27" s="738">
        <f>SUM(AH24:AH26)</f>
        <v/>
      </c>
      <c r="AI27" s="738">
        <f>SUM(AI24:AI26)</f>
        <v/>
      </c>
      <c r="AJ27" s="738">
        <f>SUM(AJ24:AJ26)</f>
        <v/>
      </c>
      <c r="AK27" s="379">
        <f>SUM(K27+O27+S27+W27+AA27+AE27+AI27+AJ27)</f>
        <v/>
      </c>
      <c r="AL27" s="381">
        <f>IF(F27=0,"",K27/(F27/((YEAR(E24)*12+MONTH(E24))-(YEAR(D24)*12+MONTH(D24))+1)))</f>
        <v/>
      </c>
      <c r="AM27" s="382">
        <f>G27/F27</f>
        <v/>
      </c>
      <c r="AN27" s="743">
        <f>F27-G27</f>
        <v/>
      </c>
      <c r="AO27" s="383">
        <f>AO24</f>
        <v/>
      </c>
      <c r="AP27" s="381">
        <f>AK27/AO24</f>
        <v/>
      </c>
      <c r="AQ27" s="742">
        <f>AO24-AK27</f>
        <v/>
      </c>
      <c r="AR27" s="713" t="inlineStr"/>
      <c r="AS27" s="713" t="inlineStr"/>
      <c r="AT27" s="713" t="inlineStr"/>
      <c r="AU27" s="713" t="inlineStr"/>
      <c r="AV27" s="713" t="inlineStr"/>
      <c r="AW27" s="713" t="inlineStr"/>
      <c r="AX27" s="713" t="inlineStr"/>
      <c r="AY27" s="713" t="inlineStr"/>
      <c r="AZ27" s="713" t="inlineStr"/>
      <c r="BA27" s="713" t="inlineStr"/>
      <c r="BB27" s="713" t="inlineStr"/>
      <c r="BC27" s="713" t="inlineStr"/>
      <c r="BD27" s="713" t="inlineStr"/>
      <c r="BE27" s="713" t="inlineStr"/>
      <c r="BF27" s="713" t="inlineStr"/>
      <c r="BG27" s="713" t="inlineStr"/>
      <c r="BH27" s="713" t="inlineStr"/>
      <c r="BI27" s="713" t="inlineStr"/>
      <c r="BJ27" s="713" t="inlineStr"/>
      <c r="BK27" s="713" t="inlineStr"/>
      <c r="BL27" s="713" t="inlineStr"/>
      <c r="BM27" s="713" t="inlineStr"/>
      <c r="BN27" s="713" t="inlineStr"/>
      <c r="BO27" s="713" t="inlineStr"/>
      <c r="BP27" s="713" t="inlineStr"/>
      <c r="BQ27" s="713" t="inlineStr"/>
    </row>
    <row r="28" outlineLevel="1" ht="14.25" customFormat="1" customHeight="1" s="483">
      <c r="A28" s="729" t="inlineStr">
        <is>
          <t>理财师009</t>
        </is>
      </c>
      <c r="B28" s="729" t="inlineStr">
        <is>
          <t>理财师009</t>
        </is>
      </c>
      <c r="C28" s="729" t="inlineStr">
        <is>
          <t>私人财富管理专家PWA4-3</t>
        </is>
      </c>
      <c r="D28" s="730" t="n">
        <v>46204</v>
      </c>
      <c r="E28" s="730" t="n">
        <v>46387</v>
      </c>
      <c r="F28" s="729" t="n">
        <v>32232.2</v>
      </c>
      <c r="G28" s="729" t="n">
        <v>5471.228564</v>
      </c>
      <c r="H28" s="729" t="n">
        <v>49.686</v>
      </c>
      <c r="I28" s="729" t="n">
        <v>0</v>
      </c>
      <c r="J28" s="729" t="n">
        <v>0</v>
      </c>
      <c r="K28" s="729">
        <f>SUM(H28:J28)</f>
        <v/>
      </c>
      <c r="L28" s="729" t="n">
        <v>4913.9454</v>
      </c>
      <c r="M28" s="729" t="n">
        <v>0</v>
      </c>
      <c r="N28" s="729" t="n">
        <v>507.597164</v>
      </c>
      <c r="O28" s="729">
        <f>SUM(L28:N28)</f>
        <v/>
      </c>
      <c r="P28" s="729" t="n">
        <v>2106.18954</v>
      </c>
      <c r="Q28" s="729" t="n">
        <v>2057.0004</v>
      </c>
      <c r="R28" s="729" t="n">
        <v>965.0387030000001</v>
      </c>
      <c r="S28" s="729">
        <f>SUM(P28:R28)</f>
        <v/>
      </c>
      <c r="T28" s="729" t="n">
        <v>536.6088</v>
      </c>
      <c r="U28" s="729" t="n">
        <v>0</v>
      </c>
      <c r="V28" s="729" t="n">
        <v>722.01536</v>
      </c>
      <c r="W28" s="729">
        <f>SUM(T28:V28)</f>
        <v/>
      </c>
      <c r="X28" s="729" t="n">
        <v>1351.820914</v>
      </c>
      <c r="Y28" s="729" t="n">
        <v>20570.004</v>
      </c>
      <c r="Z28" s="729" t="n">
        <v>668.034433</v>
      </c>
      <c r="AA28" s="729">
        <f>SUM(X28:Z28)</f>
        <v/>
      </c>
      <c r="AB28" s="729" t="n">
        <v>3314.503374</v>
      </c>
      <c r="AC28" s="729" t="n">
        <v>0</v>
      </c>
      <c r="AD28" s="729" t="n">
        <v>713.569709</v>
      </c>
      <c r="AE28" s="729">
        <f>SUM(AB28:AD28)</f>
        <v/>
      </c>
      <c r="AF28" s="729" t="n">
        <v>4769.379014</v>
      </c>
      <c r="AG28" s="729" t="n">
        <v>0</v>
      </c>
      <c r="AH28" s="729" t="n">
        <v>228.136442</v>
      </c>
      <c r="AI28" s="729">
        <f>SUM(AF28:AH28)</f>
        <v/>
      </c>
      <c r="AJ28" s="729" t="n">
        <v>1069.968142</v>
      </c>
      <c r="AK28" s="744">
        <f>SUM(K28+O28+S28+W28+AA28+AE28+AI28+AJ28)</f>
        <v/>
      </c>
      <c r="AL28" s="364">
        <f>IF(F28=0,"",K28/(F28/((YEAR(E28)*12+MONTH(E28))-(YEAR(D28)*12+MONTH(D28))+1)))</f>
        <v/>
      </c>
      <c r="AM28" s="364">
        <f>G28/F28</f>
        <v/>
      </c>
      <c r="AN28" s="744">
        <f>F28-G28</f>
        <v/>
      </c>
      <c r="AO28" s="366">
        <f>SUM(F28:F29)</f>
        <v/>
      </c>
      <c r="AP28" s="367">
        <f>AP30</f>
        <v/>
      </c>
      <c r="AQ28" s="745">
        <f>AQ30</f>
        <v/>
      </c>
      <c r="AR28" s="706" t="inlineStr"/>
      <c r="AS28" s="706" t="inlineStr"/>
      <c r="AT28" s="706" t="inlineStr"/>
      <c r="AU28" s="706" t="inlineStr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  <c r="BN28" s="706" t="inlineStr"/>
      <c r="BO28" s="706" t="inlineStr"/>
      <c r="BP28" s="706" t="inlineStr"/>
      <c r="BQ28" s="706" t="inlineStr"/>
    </row>
    <row r="29" outlineLevel="1" ht="14.25" customFormat="1" customHeight="1" s="483">
      <c r="A29" s="737" t="n"/>
      <c r="B29" s="734" t="inlineStr">
        <is>
          <t>理财师010</t>
        </is>
      </c>
      <c r="C29" s="734" t="inlineStr">
        <is>
          <t>私人财富管理资深顾问PWA2-4</t>
        </is>
      </c>
      <c r="D29" s="735" t="n">
        <v>46204</v>
      </c>
      <c r="E29" s="735" t="n">
        <v>46387</v>
      </c>
      <c r="F29" s="734" t="n">
        <v>11764.72</v>
      </c>
      <c r="G29" s="734" t="n">
        <v>5696.006283</v>
      </c>
      <c r="H29" s="734" t="n">
        <v>2428.520655</v>
      </c>
      <c r="I29" s="734" t="n">
        <v>0</v>
      </c>
      <c r="J29" s="734" t="n">
        <v>0</v>
      </c>
      <c r="K29" s="734">
        <f>SUM(H29:J29)</f>
        <v/>
      </c>
      <c r="L29" s="734" t="n">
        <v>305.355336</v>
      </c>
      <c r="M29" s="734" t="n">
        <v>2729.2122</v>
      </c>
      <c r="N29" s="734" t="n">
        <v>232.918092</v>
      </c>
      <c r="O29" s="734">
        <f>SUM(L29:N29)</f>
        <v/>
      </c>
      <c r="P29" s="734" t="n">
        <v>520.393558</v>
      </c>
      <c r="Q29" s="734" t="n">
        <v>1637.52732</v>
      </c>
      <c r="R29" s="734" t="n">
        <v>284.729185</v>
      </c>
      <c r="S29" s="734">
        <f>SUM(P29:R29)</f>
        <v/>
      </c>
      <c r="T29" s="734" t="n">
        <v>994.77807</v>
      </c>
      <c r="U29" s="734" t="n">
        <v>0</v>
      </c>
      <c r="V29" s="734" t="n">
        <v>185.511372</v>
      </c>
      <c r="W29" s="734">
        <f>SUM(T29:V29)</f>
        <v/>
      </c>
      <c r="X29" s="734" t="n">
        <v>949.2912</v>
      </c>
      <c r="Y29" s="734" t="n">
        <v>0</v>
      </c>
      <c r="Z29" s="734" t="n">
        <v>144.291309</v>
      </c>
      <c r="AA29" s="734">
        <f>SUM(X29:Z29)</f>
        <v/>
      </c>
      <c r="AB29" s="734" t="n">
        <v>2158.292651</v>
      </c>
      <c r="AC29" s="734" t="n">
        <v>8187.6366</v>
      </c>
      <c r="AD29" s="734" t="n">
        <v>194.447373</v>
      </c>
      <c r="AE29" s="734">
        <f>SUM(AB29:AD29)</f>
        <v/>
      </c>
      <c r="AF29" s="734" t="n">
        <v>474.6456</v>
      </c>
      <c r="AG29" s="734" t="n">
        <v>0</v>
      </c>
      <c r="AH29" s="734" t="n">
        <v>122.035472</v>
      </c>
      <c r="AI29" s="734">
        <f>SUM(AF29:AH29)</f>
        <v/>
      </c>
      <c r="AJ29" s="734" t="n">
        <v>1144.784607</v>
      </c>
      <c r="AK29" s="372">
        <f>SUM(K29+O29+S29+W29+AA29+AE29+AI29+AJ29)</f>
        <v/>
      </c>
      <c r="AL29" s="373">
        <f>IF(F29=0,"",K29/(F29/((YEAR(E29)*12+MONTH(E29))-(YEAR(D29)*12+MONTH(D29))+1)))</f>
        <v/>
      </c>
      <c r="AM29" s="373">
        <f>G29/F29</f>
        <v/>
      </c>
      <c r="AN29" s="736">
        <f>F29-G29</f>
        <v/>
      </c>
      <c r="AO29" s="737" t="n"/>
      <c r="AP29" s="737" t="n"/>
      <c r="AQ29" s="737" t="n"/>
      <c r="AR29" s="706" t="inlineStr"/>
      <c r="AS29" s="706" t="inlineStr"/>
      <c r="AT29" s="706" t="inlineStr"/>
      <c r="AU29" s="706" t="inlineStr"/>
      <c r="AV29" s="706" t="inlineStr"/>
      <c r="AW29" s="706" t="inlineStr"/>
      <c r="AX29" s="706" t="inlineStr"/>
      <c r="AY29" s="706" t="inlineStr"/>
      <c r="AZ29" s="706" t="inlineStr"/>
      <c r="BA29" s="706" t="inlineStr"/>
      <c r="BB29" s="706" t="inlineStr"/>
      <c r="BC29" s="706" t="inlineStr"/>
      <c r="BD29" s="706" t="inlineStr"/>
      <c r="BE29" s="706" t="inlineStr"/>
      <c r="BF29" s="706" t="inlineStr"/>
      <c r="BG29" s="706" t="inlineStr"/>
      <c r="BH29" s="706" t="inlineStr"/>
      <c r="BI29" s="706" t="inlineStr"/>
      <c r="BJ29" s="706" t="inlineStr"/>
      <c r="BK29" s="706" t="inlineStr"/>
      <c r="BL29" s="706" t="inlineStr"/>
      <c r="BM29" s="706" t="inlineStr"/>
      <c r="BN29" s="706" t="inlineStr"/>
      <c r="BO29" s="706" t="inlineStr"/>
      <c r="BP29" s="706" t="inlineStr"/>
      <c r="BQ29" s="706" t="inlineStr"/>
    </row>
    <row r="30" outlineLevel="1" ht="14.25" customFormat="1" customHeight="1" s="483">
      <c r="A30" s="738" t="inlineStr">
        <is>
          <t>合计</t>
        </is>
      </c>
      <c r="B30" s="739" t="n"/>
      <c r="C30" s="739" t="n"/>
      <c r="D30" s="739" t="n"/>
      <c r="E30" s="740" t="n"/>
      <c r="F30" s="379">
        <f>SUM(F28:F29)</f>
        <v/>
      </c>
      <c r="G30" s="738">
        <f>SUM(G28:G29)</f>
        <v/>
      </c>
      <c r="H30" s="738">
        <f>SUM(H28:H29)</f>
        <v/>
      </c>
      <c r="I30" s="738">
        <f>SUM(I28:I29)</f>
        <v/>
      </c>
      <c r="J30" s="738">
        <f>SUM(J28:J29)</f>
        <v/>
      </c>
      <c r="K30" s="738">
        <f>SUM(K28:K29)</f>
        <v/>
      </c>
      <c r="L30" s="738">
        <f>SUM(L28:L29)</f>
        <v/>
      </c>
      <c r="M30" s="738">
        <f>SUM(M28:M29)</f>
        <v/>
      </c>
      <c r="N30" s="738">
        <f>SUM(N28:N29)</f>
        <v/>
      </c>
      <c r="O30" s="738">
        <f>SUM(O28:O29)</f>
        <v/>
      </c>
      <c r="P30" s="738">
        <f>SUM(P28:P29)</f>
        <v/>
      </c>
      <c r="Q30" s="738">
        <f>SUM(Q28:Q29)</f>
        <v/>
      </c>
      <c r="R30" s="738">
        <f>SUM(R28:R29)</f>
        <v/>
      </c>
      <c r="S30" s="738">
        <f>SUM(S28:S29)</f>
        <v/>
      </c>
      <c r="T30" s="738">
        <f>SUM(T28:T29)</f>
        <v/>
      </c>
      <c r="U30" s="738">
        <f>SUM(U28:U29)</f>
        <v/>
      </c>
      <c r="V30" s="738">
        <f>SUM(V28:V29)</f>
        <v/>
      </c>
      <c r="W30" s="738">
        <f>SUM(W28:W29)</f>
        <v/>
      </c>
      <c r="X30" s="738">
        <f>SUM(X28:X29)</f>
        <v/>
      </c>
      <c r="Y30" s="738">
        <f>SUM(Y28:Y29)</f>
        <v/>
      </c>
      <c r="Z30" s="738">
        <f>SUM(Z28:Z29)</f>
        <v/>
      </c>
      <c r="AA30" s="738">
        <f>SUM(AA28:AA29)</f>
        <v/>
      </c>
      <c r="AB30" s="738">
        <f>SUM(AB28:AB29)</f>
        <v/>
      </c>
      <c r="AC30" s="738">
        <f>SUM(AC28:AC29)</f>
        <v/>
      </c>
      <c r="AD30" s="738">
        <f>SUM(AD28:AD29)</f>
        <v/>
      </c>
      <c r="AE30" s="738">
        <f>SUM(AE28:AE29)</f>
        <v/>
      </c>
      <c r="AF30" s="738">
        <f>SUM(AF28:AF29)</f>
        <v/>
      </c>
      <c r="AG30" s="738">
        <f>SUM(AG28:AG29)</f>
        <v/>
      </c>
      <c r="AH30" s="738">
        <f>SUM(AH28:AH29)</f>
        <v/>
      </c>
      <c r="AI30" s="738">
        <f>SUM(AI28:AI29)</f>
        <v/>
      </c>
      <c r="AJ30" s="738">
        <f>SUM(AJ28:AJ29)</f>
        <v/>
      </c>
      <c r="AK30" s="379">
        <f>SUM(K30+O30+S30+W30+AA30+AE30+AI30+AJ30)</f>
        <v/>
      </c>
      <c r="AL30" s="381">
        <f>IF(F30=0,"",K30/(F30/((YEAR(E28)*12+MONTH(E28))-(YEAR(D28)*12+MONTH(D28))+1)))</f>
        <v/>
      </c>
      <c r="AM30" s="382">
        <f>G30/F30</f>
        <v/>
      </c>
      <c r="AN30" s="743">
        <f>F30-G30</f>
        <v/>
      </c>
      <c r="AO30" s="383">
        <f>AO28</f>
        <v/>
      </c>
      <c r="AP30" s="381">
        <f>AK30/AO28</f>
        <v/>
      </c>
      <c r="AQ30" s="742">
        <f>AO28-AK30</f>
        <v/>
      </c>
      <c r="AR30" s="713" t="inlineStr"/>
      <c r="AS30" s="713" t="inlineStr"/>
      <c r="AT30" s="713" t="inlineStr"/>
      <c r="AU30" s="713" t="inlineStr"/>
      <c r="AV30" s="713" t="inlineStr"/>
      <c r="AW30" s="713" t="inlineStr"/>
      <c r="AX30" s="713" t="inlineStr"/>
      <c r="AY30" s="713" t="inlineStr"/>
      <c r="AZ30" s="713" t="inlineStr"/>
      <c r="BA30" s="713" t="inlineStr"/>
      <c r="BB30" s="713" t="inlineStr"/>
      <c r="BC30" s="713" t="inlineStr"/>
      <c r="BD30" s="713" t="inlineStr"/>
      <c r="BE30" s="713" t="inlineStr"/>
      <c r="BF30" s="713" t="inlineStr"/>
      <c r="BG30" s="713" t="inlineStr"/>
      <c r="BH30" s="713" t="inlineStr"/>
      <c r="BI30" s="713" t="inlineStr"/>
      <c r="BJ30" s="713" t="inlineStr"/>
      <c r="BK30" s="713" t="inlineStr"/>
      <c r="BL30" s="713" t="inlineStr"/>
      <c r="BM30" s="713" t="inlineStr"/>
      <c r="BN30" s="713" t="inlineStr"/>
      <c r="BO30" s="713" t="inlineStr"/>
      <c r="BP30" s="713" t="inlineStr"/>
      <c r="BQ30" s="713" t="inlineStr"/>
    </row>
    <row r="31" outlineLevel="1" ht="14.25" customFormat="1" customHeight="1" s="483">
      <c r="A31" s="729" t="inlineStr">
        <is>
          <t>理财师020</t>
        </is>
      </c>
      <c r="B31" s="729" t="inlineStr">
        <is>
          <t>理财师032</t>
        </is>
      </c>
      <c r="C31" s="729" t="inlineStr">
        <is>
          <t>C3</t>
        </is>
      </c>
      <c r="D31" s="730" t="n">
        <v>46049</v>
      </c>
      <c r="E31" s="730" t="n">
        <v>46229</v>
      </c>
      <c r="F31" s="729" t="n">
        <v>7912.17</v>
      </c>
      <c r="G31" s="729" t="n">
        <v>10047.458061</v>
      </c>
      <c r="H31" s="729" t="n">
        <v>1522.301508</v>
      </c>
      <c r="I31" s="729" t="n">
        <v>0</v>
      </c>
      <c r="J31" s="729" t="n">
        <v>0</v>
      </c>
      <c r="K31" s="729">
        <f>SUM(H31:J31)</f>
        <v/>
      </c>
      <c r="L31" s="729" t="n">
        <v>1878.958678</v>
      </c>
      <c r="M31" s="729" t="n">
        <v>0</v>
      </c>
      <c r="N31" s="729" t="n">
        <v>168.696368</v>
      </c>
      <c r="O31" s="729">
        <f>SUM(L31:N31)</f>
        <v/>
      </c>
      <c r="P31" s="729" t="n">
        <v>2009.44</v>
      </c>
      <c r="Q31" s="729" t="n">
        <v>646.53732</v>
      </c>
      <c r="R31" s="729" t="n">
        <v>145.435162</v>
      </c>
      <c r="S31" s="729">
        <f>SUM(P31:R31)</f>
        <v/>
      </c>
      <c r="T31" s="729" t="n">
        <v>1610.465688</v>
      </c>
      <c r="U31" s="729" t="n">
        <v>110.192882</v>
      </c>
      <c r="V31" s="729" t="n">
        <v>40.927608</v>
      </c>
      <c r="W31" s="729">
        <f>SUM(T31:V31)</f>
        <v/>
      </c>
      <c r="X31" s="729" t="n">
        <v>1602.628872</v>
      </c>
      <c r="Y31" s="729" t="n">
        <v>0</v>
      </c>
      <c r="Z31" s="729" t="n">
        <v>47.95381</v>
      </c>
      <c r="AA31" s="729">
        <f>SUM(X31:Z31)</f>
        <v/>
      </c>
      <c r="AB31" s="729" t="n">
        <v>0</v>
      </c>
      <c r="AC31" s="729" t="n">
        <v>342.296351</v>
      </c>
      <c r="AD31" s="729" t="n">
        <v>116.811754</v>
      </c>
      <c r="AE31" s="729">
        <f>SUM(AB31:AD31)</f>
        <v/>
      </c>
      <c r="AF31" s="729" t="n">
        <v>440.8209</v>
      </c>
      <c r="AG31" s="729" t="n">
        <v>0</v>
      </c>
      <c r="AH31" s="729" t="n">
        <v>32.909035</v>
      </c>
      <c r="AI31" s="729">
        <f>SUM(AF31:AH31)</f>
        <v/>
      </c>
      <c r="AJ31" s="729" t="n">
        <v>1319.585129</v>
      </c>
      <c r="AK31" s="363">
        <f>SUM(K31+O31+S31+W31+AA31+AE31+AI31+AJ31)</f>
        <v/>
      </c>
      <c r="AL31" s="364">
        <f>IF(F31=0,"",K31/(F31/((YEAR(E31)*12+MONTH(E31))-(YEAR(D31)*12+MONTH(D31))+1)))</f>
        <v/>
      </c>
      <c r="AM31" s="364">
        <f>G31/F31</f>
        <v/>
      </c>
      <c r="AN31" s="731">
        <f>F31-G31</f>
        <v/>
      </c>
      <c r="AO31" s="366">
        <f>SUM(F31:F32)</f>
        <v/>
      </c>
      <c r="AP31" s="367">
        <f>AP33</f>
        <v/>
      </c>
      <c r="AQ31" s="745">
        <f>AQ33</f>
        <v/>
      </c>
      <c r="AR31" s="706" t="inlineStr"/>
      <c r="AS31" s="706" t="inlineStr"/>
      <c r="AT31" s="706" t="inlineStr"/>
      <c r="AU31" s="706" t="inlineStr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  <c r="BN31" s="706" t="inlineStr"/>
      <c r="BO31" s="706" t="inlineStr"/>
      <c r="BP31" s="706" t="inlineStr"/>
      <c r="BQ31" s="706" t="inlineStr"/>
    </row>
    <row r="32" outlineLevel="1" ht="14.25" customFormat="1" customHeight="1" s="483">
      <c r="A32" s="737" t="n"/>
      <c r="B32" s="734" t="inlineStr">
        <is>
          <t>理财师020</t>
        </is>
      </c>
      <c r="C32" s="734" t="inlineStr">
        <is>
          <t>首席私人财富管理专家PWA5-1</t>
        </is>
      </c>
      <c r="D32" s="735" t="n">
        <v>46204</v>
      </c>
      <c r="E32" s="735" t="n">
        <v>46387</v>
      </c>
      <c r="F32" s="734" t="n">
        <v>42178.5</v>
      </c>
      <c r="G32" s="734" t="n">
        <v>5537.660805</v>
      </c>
      <c r="H32" s="734" t="n">
        <v>789.58152</v>
      </c>
      <c r="I32" s="734" t="n">
        <v>0</v>
      </c>
      <c r="J32" s="734" t="n">
        <v>0</v>
      </c>
      <c r="K32" s="734">
        <f>SUM(H32:J32)</f>
        <v/>
      </c>
      <c r="L32" s="734" t="n">
        <v>1888.180808</v>
      </c>
      <c r="M32" s="734" t="n">
        <v>2400.703812</v>
      </c>
      <c r="N32" s="734" t="n">
        <v>459.194666</v>
      </c>
      <c r="O32" s="734">
        <f>SUM(L32:N32)</f>
        <v/>
      </c>
      <c r="P32" s="734" t="n">
        <v>7288.783433</v>
      </c>
      <c r="Q32" s="734" t="n">
        <v>601.58592</v>
      </c>
      <c r="R32" s="734" t="n">
        <v>605.597413</v>
      </c>
      <c r="S32" s="734">
        <f>SUM(P32:R32)</f>
        <v/>
      </c>
      <c r="T32" s="734" t="n">
        <v>8333.122670999999</v>
      </c>
      <c r="U32" s="734" t="n">
        <v>0</v>
      </c>
      <c r="V32" s="734" t="n">
        <v>367.634218</v>
      </c>
      <c r="W32" s="734">
        <f>SUM(T32:V32)</f>
        <v/>
      </c>
      <c r="X32" s="734" t="n">
        <v>1259.210798</v>
      </c>
      <c r="Y32" s="734" t="n">
        <v>3101.9274</v>
      </c>
      <c r="Z32" s="734" t="n">
        <v>318.667286</v>
      </c>
      <c r="AA32" s="734">
        <f>SUM(X32:Z32)</f>
        <v/>
      </c>
      <c r="AB32" s="734" t="n">
        <v>10803.329409</v>
      </c>
      <c r="AC32" s="734" t="n">
        <v>0</v>
      </c>
      <c r="AD32" s="734" t="n">
        <v>396.373158</v>
      </c>
      <c r="AE32" s="734">
        <f>SUM(AB32:AD32)</f>
        <v/>
      </c>
      <c r="AF32" s="734" t="n">
        <v>6594.535422</v>
      </c>
      <c r="AG32" s="734" t="n">
        <v>0</v>
      </c>
      <c r="AH32" s="734" t="n">
        <v>271.914403</v>
      </c>
      <c r="AI32" s="734">
        <f>SUM(AF32:AH32)</f>
        <v/>
      </c>
      <c r="AJ32" s="734" t="n">
        <v>9115.509121999999</v>
      </c>
      <c r="AK32" s="746">
        <f>SUM(K32+O32+S32+W32+AA32+AE32+AI32+AJ32)</f>
        <v/>
      </c>
      <c r="AL32" s="373">
        <f>IF(F32=0,"",K32/(F32/((YEAR(E32)*12+MONTH(E32))-(YEAR(D32)*12+MONTH(D32))+1)))</f>
        <v/>
      </c>
      <c r="AM32" s="373">
        <f>G32/F32</f>
        <v/>
      </c>
      <c r="AN32" s="746">
        <f>F32-G32</f>
        <v/>
      </c>
      <c r="AO32" s="737" t="n"/>
      <c r="AP32" s="737" t="n"/>
      <c r="AQ32" s="737" t="n"/>
      <c r="AR32" s="706" t="inlineStr"/>
      <c r="AS32" s="706" t="inlineStr"/>
      <c r="AT32" s="706" t="inlineStr"/>
      <c r="AU32" s="706" t="inlineStr"/>
      <c r="AV32" s="706" t="inlineStr"/>
      <c r="AW32" s="706" t="inlineStr"/>
      <c r="AX32" s="706" t="inlineStr"/>
      <c r="AY32" s="706" t="inlineStr"/>
      <c r="AZ32" s="706" t="inlineStr"/>
      <c r="BA32" s="706" t="inlineStr"/>
      <c r="BB32" s="706" t="inlineStr"/>
      <c r="BC32" s="706" t="inlineStr"/>
      <c r="BD32" s="706" t="inlineStr"/>
      <c r="BE32" s="706" t="inlineStr"/>
      <c r="BF32" s="706" t="inlineStr"/>
      <c r="BG32" s="706" t="inlineStr"/>
      <c r="BH32" s="706" t="inlineStr"/>
      <c r="BI32" s="706" t="inlineStr"/>
      <c r="BJ32" s="706" t="inlineStr"/>
      <c r="BK32" s="706" t="inlineStr"/>
      <c r="BL32" s="706" t="inlineStr"/>
      <c r="BM32" s="706" t="inlineStr"/>
      <c r="BN32" s="706" t="inlineStr"/>
      <c r="BO32" s="706" t="inlineStr"/>
      <c r="BP32" s="706" t="inlineStr"/>
      <c r="BQ32" s="706" t="inlineStr"/>
    </row>
    <row r="33" outlineLevel="1" ht="14.25" customFormat="1" customHeight="1" s="483">
      <c r="A33" s="738" t="inlineStr">
        <is>
          <t>合计</t>
        </is>
      </c>
      <c r="B33" s="739" t="n"/>
      <c r="C33" s="739" t="n"/>
      <c r="D33" s="739" t="n"/>
      <c r="E33" s="740" t="n"/>
      <c r="F33" s="379">
        <f>SUM(F31:F32)</f>
        <v/>
      </c>
      <c r="G33" s="738">
        <f>SUM(G31:G32)</f>
        <v/>
      </c>
      <c r="H33" s="738">
        <f>SUM(H31:H32)</f>
        <v/>
      </c>
      <c r="I33" s="738">
        <f>SUM(I31:I32)</f>
        <v/>
      </c>
      <c r="J33" s="738">
        <f>SUM(J31:J32)</f>
        <v/>
      </c>
      <c r="K33" s="738">
        <f>SUM(K31:K32)</f>
        <v/>
      </c>
      <c r="L33" s="738">
        <f>SUM(L31:L32)</f>
        <v/>
      </c>
      <c r="M33" s="738">
        <f>SUM(M31:M32)</f>
        <v/>
      </c>
      <c r="N33" s="738">
        <f>SUM(N31:N32)</f>
        <v/>
      </c>
      <c r="O33" s="738">
        <f>SUM(O31:O32)</f>
        <v/>
      </c>
      <c r="P33" s="738">
        <f>SUM(P31:P32)</f>
        <v/>
      </c>
      <c r="Q33" s="738">
        <f>SUM(Q31:Q32)</f>
        <v/>
      </c>
      <c r="R33" s="738">
        <f>SUM(R31:R32)</f>
        <v/>
      </c>
      <c r="S33" s="738">
        <f>SUM(S31:S32)</f>
        <v/>
      </c>
      <c r="T33" s="738">
        <f>SUM(T31:T32)</f>
        <v/>
      </c>
      <c r="U33" s="738">
        <f>SUM(U31:U32)</f>
        <v/>
      </c>
      <c r="V33" s="738">
        <f>SUM(V31:V32)</f>
        <v/>
      </c>
      <c r="W33" s="738">
        <f>SUM(W31:W32)</f>
        <v/>
      </c>
      <c r="X33" s="738">
        <f>SUM(X31:X32)</f>
        <v/>
      </c>
      <c r="Y33" s="738">
        <f>SUM(Y31:Y32)</f>
        <v/>
      </c>
      <c r="Z33" s="738">
        <f>SUM(Z31:Z32)</f>
        <v/>
      </c>
      <c r="AA33" s="738">
        <f>SUM(AA31:AA32)</f>
        <v/>
      </c>
      <c r="AB33" s="738">
        <f>SUM(AB31:AB32)</f>
        <v/>
      </c>
      <c r="AC33" s="738">
        <f>SUM(AC31:AC32)</f>
        <v/>
      </c>
      <c r="AD33" s="738">
        <f>SUM(AD31:AD32)</f>
        <v/>
      </c>
      <c r="AE33" s="738">
        <f>SUM(AE31:AE32)</f>
        <v/>
      </c>
      <c r="AF33" s="738">
        <f>SUM(AF31:AF32)</f>
        <v/>
      </c>
      <c r="AG33" s="738">
        <f>SUM(AG31:AG32)</f>
        <v/>
      </c>
      <c r="AH33" s="738">
        <f>SUM(AH31:AH32)</f>
        <v/>
      </c>
      <c r="AI33" s="738">
        <f>SUM(AI31:AI32)</f>
        <v/>
      </c>
      <c r="AJ33" s="738">
        <f>SUM(AJ31:AJ32)</f>
        <v/>
      </c>
      <c r="AK33" s="379">
        <f>SUM(K33+O33+S33+W33+AA33+AE33+AI33+AJ33)</f>
        <v/>
      </c>
      <c r="AL33" s="381">
        <f>IF(F33=0,"",K33/(F33/((YEAR(E31)*12+MONTH(E31))-(YEAR(D31)*12+MONTH(D31))+1)))</f>
        <v/>
      </c>
      <c r="AM33" s="382">
        <f>G33/F33</f>
        <v/>
      </c>
      <c r="AN33" s="743">
        <f>F33-G33</f>
        <v/>
      </c>
      <c r="AO33" s="383">
        <f>AO31</f>
        <v/>
      </c>
      <c r="AP33" s="381">
        <f>AK33/AO31</f>
        <v/>
      </c>
      <c r="AQ33" s="742">
        <f>AO31-AK33</f>
        <v/>
      </c>
      <c r="AR33" s="713" t="inlineStr"/>
      <c r="AS33" s="713" t="inlineStr"/>
      <c r="AT33" s="713" t="inlineStr"/>
      <c r="AU33" s="713" t="inlineStr"/>
      <c r="AV33" s="713" t="inlineStr"/>
      <c r="AW33" s="713" t="inlineStr"/>
      <c r="AX33" s="713" t="inlineStr"/>
      <c r="AY33" s="713" t="inlineStr"/>
      <c r="AZ33" s="713" t="inlineStr"/>
      <c r="BA33" s="713" t="inlineStr"/>
      <c r="BB33" s="713" t="inlineStr"/>
      <c r="BC33" s="713" t="inlineStr"/>
      <c r="BD33" s="713" t="inlineStr"/>
      <c r="BE33" s="713" t="inlineStr"/>
      <c r="BF33" s="713" t="inlineStr"/>
      <c r="BG33" s="713" t="inlineStr"/>
      <c r="BH33" s="713" t="inlineStr"/>
      <c r="BI33" s="713" t="inlineStr"/>
      <c r="BJ33" s="713" t="inlineStr"/>
      <c r="BK33" s="713" t="inlineStr"/>
      <c r="BL33" s="713" t="inlineStr"/>
      <c r="BM33" s="713" t="inlineStr"/>
      <c r="BN33" s="713" t="inlineStr"/>
      <c r="BO33" s="713" t="inlineStr"/>
      <c r="BP33" s="713" t="inlineStr"/>
      <c r="BQ33" s="713" t="inlineStr"/>
    </row>
    <row r="34" outlineLevel="1" ht="14.25" customFormat="1" customHeight="1" s="483">
      <c r="A34" s="729" t="inlineStr">
        <is>
          <t>理财师005</t>
        </is>
      </c>
      <c r="B34" s="729" t="inlineStr">
        <is>
          <t>理财师030</t>
        </is>
      </c>
      <c r="C34" s="729" t="inlineStr">
        <is>
          <t>私人财富管理顾问PWA1-1</t>
        </is>
      </c>
      <c r="D34" s="730" t="n">
        <v>46195</v>
      </c>
      <c r="E34" s="730" t="n">
        <v>46377</v>
      </c>
      <c r="F34" s="729" t="n">
        <v>7461.34</v>
      </c>
      <c r="G34" s="729" t="n">
        <v>153.986741</v>
      </c>
      <c r="H34" s="729" t="n">
        <v>0</v>
      </c>
      <c r="I34" s="729" t="n">
        <v>0</v>
      </c>
      <c r="J34" s="729" t="n">
        <v>0</v>
      </c>
      <c r="K34" s="729">
        <f>SUM(H34:J34)</f>
        <v/>
      </c>
      <c r="L34" s="729" t="n">
        <v>0</v>
      </c>
      <c r="M34" s="729" t="n">
        <v>0</v>
      </c>
      <c r="N34" s="729" t="n">
        <v>15.372437</v>
      </c>
      <c r="O34" s="729">
        <f>SUM(L34:N34)</f>
        <v/>
      </c>
      <c r="P34" s="729" t="n">
        <v>247.0689</v>
      </c>
      <c r="Q34" s="729" t="n">
        <v>0</v>
      </c>
      <c r="R34" s="729" t="n">
        <v>1.353804</v>
      </c>
      <c r="S34" s="729">
        <f>SUM(P34:R34)</f>
        <v/>
      </c>
      <c r="T34" s="729" t="n">
        <v>0</v>
      </c>
      <c r="U34" s="729" t="n">
        <v>0</v>
      </c>
      <c r="V34" s="729" t="n">
        <v>0</v>
      </c>
      <c r="W34" s="729">
        <f>SUM(T34:V34)</f>
        <v/>
      </c>
      <c r="X34" s="729" t="n">
        <v>0</v>
      </c>
      <c r="Y34" s="729" t="n">
        <v>0</v>
      </c>
      <c r="Z34" s="729" t="n">
        <v>0</v>
      </c>
      <c r="AA34" s="729">
        <f>SUM(X34:Z34)</f>
        <v/>
      </c>
      <c r="AB34" s="729" t="n">
        <v>0</v>
      </c>
      <c r="AC34" s="729" t="n">
        <v>0</v>
      </c>
      <c r="AD34" s="729" t="n">
        <v>0</v>
      </c>
      <c r="AE34" s="729">
        <f>SUM(AB34:AD34)</f>
        <v/>
      </c>
      <c r="AF34" s="729" t="n">
        <v>0</v>
      </c>
      <c r="AG34" s="729" t="n">
        <v>0</v>
      </c>
      <c r="AH34" s="729" t="n">
        <v>0</v>
      </c>
      <c r="AI34" s="729">
        <f>SUM(AF34:AH34)</f>
        <v/>
      </c>
      <c r="AJ34" s="729" t="n">
        <v>0</v>
      </c>
      <c r="AK34" s="363">
        <f>SUM(K34+O34+S34+W34+AA34+AE34+AI34+AJ34)</f>
        <v/>
      </c>
      <c r="AL34" s="364">
        <f>IF(F34=0,"",K34/(F34/((YEAR(E34)*12+MONTH(E34))-(YEAR(D34)*12+MONTH(D34))+1)))</f>
        <v/>
      </c>
      <c r="AM34" s="364">
        <f>G34/F34</f>
        <v/>
      </c>
      <c r="AN34" s="731">
        <f>F34-G34</f>
        <v/>
      </c>
      <c r="AO34" s="366">
        <f>SUM(F34:F36)</f>
        <v/>
      </c>
      <c r="AP34" s="367">
        <f>AP37</f>
        <v/>
      </c>
      <c r="AQ34" s="745">
        <f>AQ37</f>
        <v/>
      </c>
      <c r="AR34" s="706" t="inlineStr"/>
      <c r="AS34" s="706" t="inlineStr"/>
      <c r="AT34" s="706" t="inlineStr"/>
      <c r="AU34" s="706" t="inlineStr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  <c r="BN34" s="706" t="inlineStr"/>
      <c r="BO34" s="706" t="inlineStr"/>
      <c r="BP34" s="706" t="inlineStr"/>
      <c r="BQ34" s="706" t="inlineStr"/>
    </row>
    <row r="35" outlineLevel="1" ht="14.25" customFormat="1" customHeight="1" s="483">
      <c r="A35" s="733" t="n"/>
      <c r="B35" s="734" t="inlineStr">
        <is>
          <t>理财师026</t>
        </is>
      </c>
      <c r="C35" s="734" t="inlineStr">
        <is>
          <t>观察期PWA0-1</t>
        </is>
      </c>
      <c r="D35" s="735" t="n">
        <v>46113</v>
      </c>
      <c r="E35" s="735" t="n">
        <v>46203</v>
      </c>
      <c r="F35" s="734" t="n">
        <v>1943.13</v>
      </c>
      <c r="G35" s="734" t="n">
        <v>465.481988</v>
      </c>
      <c r="H35" s="734" t="n">
        <v>0</v>
      </c>
      <c r="I35" s="734" t="n">
        <v>0</v>
      </c>
      <c r="J35" s="734" t="n">
        <v>0</v>
      </c>
      <c r="K35" s="734">
        <f>SUM(H35:J35)</f>
        <v/>
      </c>
      <c r="L35" s="734" t="n">
        <v>0</v>
      </c>
      <c r="M35" s="734" t="n">
        <v>0</v>
      </c>
      <c r="N35" s="734" t="n">
        <v>18.717729</v>
      </c>
      <c r="O35" s="734">
        <f>SUM(L35:N35)</f>
        <v/>
      </c>
      <c r="P35" s="734" t="n">
        <v>288.6936</v>
      </c>
      <c r="Q35" s="734" t="n">
        <v>0</v>
      </c>
      <c r="R35" s="734" t="n">
        <v>29.573753</v>
      </c>
      <c r="S35" s="734">
        <f>SUM(P35:R35)</f>
        <v/>
      </c>
      <c r="T35" s="734" t="n">
        <v>114.611359</v>
      </c>
      <c r="U35" s="734" t="n">
        <v>0</v>
      </c>
      <c r="V35" s="734" t="n">
        <v>18.055825</v>
      </c>
      <c r="W35" s="734">
        <f>SUM(T35:V35)</f>
        <v/>
      </c>
      <c r="X35" s="734" t="n">
        <v>0</v>
      </c>
      <c r="Y35" s="734" t="n">
        <v>0</v>
      </c>
      <c r="Z35" s="734" t="n">
        <v>14.547451</v>
      </c>
      <c r="AA35" s="734">
        <f>SUM(X35:Z35)</f>
        <v/>
      </c>
      <c r="AB35" s="734" t="n">
        <v>809.929895</v>
      </c>
      <c r="AC35" s="734" t="n">
        <v>0</v>
      </c>
      <c r="AD35" s="734" t="n">
        <v>47.501776</v>
      </c>
      <c r="AE35" s="734">
        <f>SUM(AB35:AD35)</f>
        <v/>
      </c>
      <c r="AF35" s="734" t="n">
        <v>176.20858</v>
      </c>
      <c r="AG35" s="734" t="n">
        <v>0</v>
      </c>
      <c r="AH35" s="734" t="n">
        <v>11.404098</v>
      </c>
      <c r="AI35" s="734">
        <f>SUM(AF35:AH35)</f>
        <v/>
      </c>
      <c r="AJ35" s="734" t="n">
        <v>12.282809</v>
      </c>
      <c r="AK35" s="746">
        <f>SUM(K35+O35+S35+W35+AA35+AE35+AI35+AJ35)</f>
        <v/>
      </c>
      <c r="AL35" s="373">
        <f>IF(F35=0,"",K35/(F35/((YEAR(E35)*12+MONTH(E35))-(YEAR(D35)*12+MONTH(D35))+1)))</f>
        <v/>
      </c>
      <c r="AM35" s="373">
        <f>G35/F35</f>
        <v/>
      </c>
      <c r="AN35" s="746">
        <f>F35-G35</f>
        <v/>
      </c>
      <c r="AO35" s="733" t="n"/>
      <c r="AP35" s="733" t="n"/>
      <c r="AQ35" s="733" t="n"/>
      <c r="AR35" s="706" t="inlineStr"/>
      <c r="AS35" s="706" t="inlineStr"/>
      <c r="AT35" s="706" t="inlineStr"/>
      <c r="AU35" s="706" t="inlineStr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  <c r="BN35" s="706" t="inlineStr"/>
      <c r="BO35" s="706" t="inlineStr"/>
      <c r="BP35" s="706" t="inlineStr"/>
      <c r="BQ35" s="706" t="inlineStr"/>
    </row>
    <row r="36" outlineLevel="1" ht="14.25" customFormat="1" customHeight="1" s="483">
      <c r="A36" s="737" t="n"/>
      <c r="B36" s="734" t="inlineStr">
        <is>
          <t>理财师005</t>
        </is>
      </c>
      <c r="C36" s="734" t="inlineStr">
        <is>
          <t>私人财富管理资深顾问PWA2-5</t>
        </is>
      </c>
      <c r="D36" s="735" t="n">
        <v>46204</v>
      </c>
      <c r="E36" s="735" t="n">
        <v>46387</v>
      </c>
      <c r="F36" s="734" t="n">
        <v>13123.44</v>
      </c>
      <c r="G36" s="734" t="n">
        <v>2297.330902</v>
      </c>
      <c r="H36" s="734" t="n">
        <v>490.876308</v>
      </c>
      <c r="I36" s="734" t="n">
        <v>0</v>
      </c>
      <c r="J36" s="734" t="n">
        <v>0</v>
      </c>
      <c r="K36" s="734">
        <f>SUM(H36:J36)</f>
        <v/>
      </c>
      <c r="L36" s="734" t="n">
        <v>1292.819304</v>
      </c>
      <c r="M36" s="734" t="n">
        <v>0</v>
      </c>
      <c r="N36" s="734" t="n">
        <v>513.6352900000001</v>
      </c>
      <c r="O36" s="734">
        <f>SUM(L36:N36)</f>
        <v/>
      </c>
      <c r="P36" s="734" t="n">
        <v>3750.483593</v>
      </c>
      <c r="Q36" s="734" t="n">
        <v>0</v>
      </c>
      <c r="R36" s="734" t="n">
        <v>577.821105</v>
      </c>
      <c r="S36" s="734">
        <f>SUM(P36:R36)</f>
        <v/>
      </c>
      <c r="T36" s="734" t="n">
        <v>907.591957</v>
      </c>
      <c r="U36" s="734" t="n">
        <v>0</v>
      </c>
      <c r="V36" s="734" t="n">
        <v>364.243787</v>
      </c>
      <c r="W36" s="734">
        <f>SUM(T36:V36)</f>
        <v/>
      </c>
      <c r="X36" s="734" t="n">
        <v>1870.349984</v>
      </c>
      <c r="Y36" s="734" t="n">
        <v>2312.474666</v>
      </c>
      <c r="Z36" s="734" t="n">
        <v>319.48223</v>
      </c>
      <c r="AA36" s="734">
        <f>SUM(X36:Z36)</f>
        <v/>
      </c>
      <c r="AB36" s="734" t="n">
        <v>731.292658</v>
      </c>
      <c r="AC36" s="734" t="n">
        <v>1925.150771</v>
      </c>
      <c r="AD36" s="734" t="n">
        <v>383.775324</v>
      </c>
      <c r="AE36" s="734">
        <f>SUM(AB36:AD36)</f>
        <v/>
      </c>
      <c r="AF36" s="734" t="n">
        <v>1738.204897</v>
      </c>
      <c r="AG36" s="734" t="n">
        <v>0</v>
      </c>
      <c r="AH36" s="734" t="n">
        <v>284.706769</v>
      </c>
      <c r="AI36" s="734">
        <f>SUM(AF36:AH36)</f>
        <v/>
      </c>
      <c r="AJ36" s="734" t="n">
        <v>1538.392041</v>
      </c>
      <c r="AK36" s="372">
        <f>SUM(K36+O36+S36+W36+AA36+AE36+AI36+AJ36)</f>
        <v/>
      </c>
      <c r="AL36" s="373">
        <f>IF(F36=0,"",K36/(F36/((YEAR(E36)*12+MONTH(E36))-(YEAR(D36)*12+MONTH(D36))+1)))</f>
        <v/>
      </c>
      <c r="AM36" s="373">
        <f>G36/F36</f>
        <v/>
      </c>
      <c r="AN36" s="736">
        <f>F36-G36</f>
        <v/>
      </c>
      <c r="AO36" s="737" t="n"/>
      <c r="AP36" s="737" t="n"/>
      <c r="AQ36" s="737" t="n"/>
      <c r="AR36" s="706" t="inlineStr"/>
      <c r="AS36" s="706" t="inlineStr"/>
      <c r="AT36" s="706" t="inlineStr"/>
      <c r="AU36" s="706" t="inlineStr"/>
      <c r="AV36" s="706" t="inlineStr"/>
      <c r="AW36" s="706" t="inlineStr"/>
      <c r="AX36" s="706" t="inlineStr"/>
      <c r="AY36" s="706" t="inlineStr"/>
      <c r="AZ36" s="706" t="inlineStr"/>
      <c r="BA36" s="706" t="inlineStr"/>
      <c r="BB36" s="706" t="inlineStr"/>
      <c r="BC36" s="706" t="inlineStr"/>
      <c r="BD36" s="706" t="inlineStr"/>
      <c r="BE36" s="706" t="inlineStr"/>
      <c r="BF36" s="706" t="inlineStr"/>
      <c r="BG36" s="706" t="inlineStr"/>
      <c r="BH36" s="706" t="inlineStr"/>
      <c r="BI36" s="706" t="inlineStr"/>
      <c r="BJ36" s="706" t="inlineStr"/>
      <c r="BK36" s="706" t="inlineStr"/>
      <c r="BL36" s="706" t="inlineStr"/>
      <c r="BM36" s="706" t="inlineStr"/>
      <c r="BN36" s="706" t="inlineStr"/>
      <c r="BO36" s="706" t="inlineStr"/>
      <c r="BP36" s="706" t="inlineStr"/>
      <c r="BQ36" s="706" t="inlineStr"/>
    </row>
    <row r="37" outlineLevel="1" ht="14.25" customFormat="1" customHeight="1" s="483">
      <c r="A37" s="738" t="inlineStr">
        <is>
          <t>合计</t>
        </is>
      </c>
      <c r="B37" s="739" t="n"/>
      <c r="C37" s="739" t="n"/>
      <c r="D37" s="739" t="n"/>
      <c r="E37" s="740" t="n"/>
      <c r="F37" s="379">
        <f>SUM(F34:F36)</f>
        <v/>
      </c>
      <c r="G37" s="738">
        <f>SUM(G34:G36)</f>
        <v/>
      </c>
      <c r="H37" s="738">
        <f>SUM(H34:H36)</f>
        <v/>
      </c>
      <c r="I37" s="738">
        <f>SUM(I34:I36)</f>
        <v/>
      </c>
      <c r="J37" s="738">
        <f>SUM(J34:J36)</f>
        <v/>
      </c>
      <c r="K37" s="738">
        <f>SUM(K34:K36)</f>
        <v/>
      </c>
      <c r="L37" s="738">
        <f>SUM(L34:L36)</f>
        <v/>
      </c>
      <c r="M37" s="738">
        <f>SUM(M34:M36)</f>
        <v/>
      </c>
      <c r="N37" s="738">
        <f>SUM(N34:N36)</f>
        <v/>
      </c>
      <c r="O37" s="738">
        <f>SUM(O34:O36)</f>
        <v/>
      </c>
      <c r="P37" s="738">
        <f>SUM(P34:P36)</f>
        <v/>
      </c>
      <c r="Q37" s="738">
        <f>SUM(Q34:Q36)</f>
        <v/>
      </c>
      <c r="R37" s="738">
        <f>SUM(R34:R36)</f>
        <v/>
      </c>
      <c r="S37" s="738">
        <f>SUM(S34:S36)</f>
        <v/>
      </c>
      <c r="T37" s="738">
        <f>SUM(T34:T36)</f>
        <v/>
      </c>
      <c r="U37" s="738">
        <f>SUM(U34:U36)</f>
        <v/>
      </c>
      <c r="V37" s="738">
        <f>SUM(V34:V36)</f>
        <v/>
      </c>
      <c r="W37" s="738">
        <f>SUM(W34:W36)</f>
        <v/>
      </c>
      <c r="X37" s="738">
        <f>SUM(X34:X36)</f>
        <v/>
      </c>
      <c r="Y37" s="738">
        <f>SUM(Y34:Y36)</f>
        <v/>
      </c>
      <c r="Z37" s="738">
        <f>SUM(Z34:Z36)</f>
        <v/>
      </c>
      <c r="AA37" s="738">
        <f>SUM(AA34:AA36)</f>
        <v/>
      </c>
      <c r="AB37" s="738">
        <f>SUM(AB34:AB36)</f>
        <v/>
      </c>
      <c r="AC37" s="738">
        <f>SUM(AC34:AC36)</f>
        <v/>
      </c>
      <c r="AD37" s="738">
        <f>SUM(AD34:AD36)</f>
        <v/>
      </c>
      <c r="AE37" s="738">
        <f>SUM(AE34:AE36)</f>
        <v/>
      </c>
      <c r="AF37" s="738">
        <f>SUM(AF34:AF36)</f>
        <v/>
      </c>
      <c r="AG37" s="738">
        <f>SUM(AG34:AG36)</f>
        <v/>
      </c>
      <c r="AH37" s="738">
        <f>SUM(AH34:AH36)</f>
        <v/>
      </c>
      <c r="AI37" s="738">
        <f>SUM(AI34:AI36)</f>
        <v/>
      </c>
      <c r="AJ37" s="738">
        <f>SUM(AJ34:AJ36)</f>
        <v/>
      </c>
      <c r="AK37" s="379">
        <f>SUM(K37+O37+S37+W37+AA37+AE37+AI37+AJ37)</f>
        <v/>
      </c>
      <c r="AL37" s="381">
        <f>IF(F37=0,"",K37/(F37/((YEAR(E34)*12+MONTH(E34))-(YEAR(D34)*12+MONTH(D34))+1)))</f>
        <v/>
      </c>
      <c r="AM37" s="382">
        <f>G37/F37</f>
        <v/>
      </c>
      <c r="AN37" s="743">
        <f>F37-G37</f>
        <v/>
      </c>
      <c r="AO37" s="383">
        <f>AO34</f>
        <v/>
      </c>
      <c r="AP37" s="381">
        <f>AK37/AO34</f>
        <v/>
      </c>
      <c r="AQ37" s="742">
        <f>AO34-AK37</f>
        <v/>
      </c>
      <c r="AR37" s="713" t="inlineStr"/>
      <c r="AS37" s="713" t="inlineStr"/>
      <c r="AT37" s="713" t="inlineStr"/>
      <c r="AU37" s="713" t="inlineStr"/>
      <c r="AV37" s="713" t="inlineStr"/>
      <c r="AW37" s="713" t="inlineStr"/>
      <c r="AX37" s="713" t="inlineStr"/>
      <c r="AY37" s="713" t="inlineStr"/>
      <c r="AZ37" s="713" t="inlineStr"/>
      <c r="BA37" s="713" t="inlineStr"/>
      <c r="BB37" s="713" t="inlineStr"/>
      <c r="BC37" s="713" t="inlineStr"/>
      <c r="BD37" s="713" t="inlineStr"/>
      <c r="BE37" s="713" t="inlineStr"/>
      <c r="BF37" s="713" t="inlineStr"/>
      <c r="BG37" s="713" t="inlineStr"/>
      <c r="BH37" s="713" t="inlineStr"/>
      <c r="BI37" s="713" t="inlineStr"/>
      <c r="BJ37" s="713" t="inlineStr"/>
      <c r="BK37" s="713" t="inlineStr"/>
      <c r="BL37" s="713" t="inlineStr"/>
      <c r="BM37" s="713" t="inlineStr"/>
      <c r="BN37" s="713" t="inlineStr"/>
      <c r="BO37" s="713" t="inlineStr"/>
      <c r="BP37" s="713" t="inlineStr"/>
      <c r="BQ37" s="713" t="inlineStr"/>
    </row>
    <row r="38" outlineLevel="1" ht="14.25" customFormat="1" customHeight="1" s="483">
      <c r="A38" s="729" t="inlineStr">
        <is>
          <t>理财师008</t>
        </is>
      </c>
      <c r="B38" s="729" t="inlineStr">
        <is>
          <t>理财师011</t>
        </is>
      </c>
      <c r="C38" s="729" t="inlineStr">
        <is>
          <t>私人财富管理顾问PWA1-2</t>
        </is>
      </c>
      <c r="D38" s="730" t="n">
        <v>46204</v>
      </c>
      <c r="E38" s="730" t="n">
        <v>46387</v>
      </c>
      <c r="F38" s="729" t="n">
        <v>3484.06</v>
      </c>
      <c r="G38" s="729" t="n">
        <v>408.740456</v>
      </c>
      <c r="H38" s="729" t="n">
        <v>0</v>
      </c>
      <c r="I38" s="729" t="n">
        <v>0</v>
      </c>
      <c r="J38" s="729" t="n">
        <v>0</v>
      </c>
      <c r="K38" s="729">
        <f>SUM(H38:J38)</f>
        <v/>
      </c>
      <c r="L38" s="729" t="n">
        <v>84.068866</v>
      </c>
      <c r="M38" s="729" t="n">
        <v>323.29674</v>
      </c>
      <c r="N38" s="729" t="n">
        <v>1.37485</v>
      </c>
      <c r="O38" s="729">
        <f>SUM(L38:N38)</f>
        <v/>
      </c>
      <c r="P38" s="729" t="n">
        <v>564.94934</v>
      </c>
      <c r="Q38" s="729" t="n">
        <v>0</v>
      </c>
      <c r="R38" s="729" t="n">
        <v>82.099047</v>
      </c>
      <c r="S38" s="729">
        <f>SUM(P38:R38)</f>
        <v/>
      </c>
      <c r="T38" s="729" t="n">
        <v>0</v>
      </c>
      <c r="U38" s="729" t="n">
        <v>3092.4036</v>
      </c>
      <c r="V38" s="729" t="n">
        <v>61.007408</v>
      </c>
      <c r="W38" s="729">
        <f>SUM(T38:V38)</f>
        <v/>
      </c>
      <c r="X38" s="729" t="n">
        <v>178.04748</v>
      </c>
      <c r="Y38" s="729" t="n">
        <v>0</v>
      </c>
      <c r="Z38" s="729" t="n">
        <v>32.11807</v>
      </c>
      <c r="AA38" s="729">
        <f>SUM(X38:Z38)</f>
        <v/>
      </c>
      <c r="AB38" s="729" t="n">
        <v>47.229437</v>
      </c>
      <c r="AC38" s="729" t="n">
        <v>0</v>
      </c>
      <c r="AD38" s="729" t="n">
        <v>24.120644</v>
      </c>
      <c r="AE38" s="729">
        <f>SUM(AB38:AD38)</f>
        <v/>
      </c>
      <c r="AF38" s="729" t="n">
        <v>524.574731</v>
      </c>
      <c r="AG38" s="729" t="n">
        <v>0</v>
      </c>
      <c r="AH38" s="729" t="n">
        <v>1.216481</v>
      </c>
      <c r="AI38" s="729">
        <f>SUM(AF38:AH38)</f>
        <v/>
      </c>
      <c r="AJ38" s="729" t="n">
        <v>0</v>
      </c>
      <c r="AK38" s="744">
        <f>SUM(K38+O38+S38+W38+AA38+AE38+AI38+AJ38)</f>
        <v/>
      </c>
      <c r="AL38" s="364">
        <f>IF(F38=0,"",K38/(F38/((YEAR(E38)*12+MONTH(E38))-(YEAR(D38)*12+MONTH(D38))+1)))</f>
        <v/>
      </c>
      <c r="AM38" s="364">
        <f>G38/F38</f>
        <v/>
      </c>
      <c r="AN38" s="744">
        <f>F38-G38</f>
        <v/>
      </c>
      <c r="AO38" s="366">
        <f>SUM(F38:F39)</f>
        <v/>
      </c>
      <c r="AP38" s="367">
        <f>AP40</f>
        <v/>
      </c>
      <c r="AQ38" s="745">
        <f>AQ40</f>
        <v/>
      </c>
      <c r="AR38" s="706" t="inlineStr"/>
      <c r="AS38" s="706" t="inlineStr"/>
      <c r="AT38" s="706" t="inlineStr"/>
      <c r="AU38" s="706" t="inlineStr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  <c r="BN38" s="706" t="inlineStr"/>
      <c r="BO38" s="706" t="inlineStr"/>
      <c r="BP38" s="706" t="inlineStr"/>
      <c r="BQ38" s="706" t="inlineStr"/>
    </row>
    <row r="39" outlineLevel="1" ht="14.25" customFormat="1" customHeight="1" s="483">
      <c r="A39" s="737" t="n"/>
      <c r="B39" s="734" t="inlineStr">
        <is>
          <t>理财师008</t>
        </is>
      </c>
      <c r="C39" s="734" t="inlineStr">
        <is>
          <t>私人财富管理专家PWA4-3</t>
        </is>
      </c>
      <c r="D39" s="735" t="n">
        <v>46204</v>
      </c>
      <c r="E39" s="735" t="n">
        <v>46387</v>
      </c>
      <c r="F39" s="734" t="n">
        <v>25727.57</v>
      </c>
      <c r="G39" s="734" t="n">
        <v>2468.961095</v>
      </c>
      <c r="H39" s="734" t="n">
        <v>694.03425</v>
      </c>
      <c r="I39" s="734" t="n">
        <v>0</v>
      </c>
      <c r="J39" s="734" t="n">
        <v>0</v>
      </c>
      <c r="K39" s="734">
        <f>SUM(H39:J39)</f>
        <v/>
      </c>
      <c r="L39" s="734" t="n">
        <v>1531.095078</v>
      </c>
      <c r="M39" s="734" t="n">
        <v>0</v>
      </c>
      <c r="N39" s="734" t="n">
        <v>243.831766</v>
      </c>
      <c r="O39" s="734">
        <f>SUM(L39:N39)</f>
        <v/>
      </c>
      <c r="P39" s="734" t="n">
        <v>3874.376797</v>
      </c>
      <c r="Q39" s="734" t="n">
        <v>253.81824</v>
      </c>
      <c r="R39" s="734" t="n">
        <v>421.509645</v>
      </c>
      <c r="S39" s="734">
        <f>SUM(P39:R39)</f>
        <v/>
      </c>
      <c r="T39" s="734" t="n">
        <v>5263.972173</v>
      </c>
      <c r="U39" s="734" t="n">
        <v>1110.4548</v>
      </c>
      <c r="V39" s="734" t="n">
        <v>271.92657</v>
      </c>
      <c r="W39" s="734">
        <f>SUM(T39:V39)</f>
        <v/>
      </c>
      <c r="X39" s="734" t="n">
        <v>3533.62581</v>
      </c>
      <c r="Y39" s="734" t="n">
        <v>2435.06874</v>
      </c>
      <c r="Z39" s="734" t="n">
        <v>188.462147</v>
      </c>
      <c r="AA39" s="734">
        <f>SUM(X39:Z39)</f>
        <v/>
      </c>
      <c r="AB39" s="734" t="n">
        <v>9546.464904</v>
      </c>
      <c r="AC39" s="734" t="n">
        <v>0</v>
      </c>
      <c r="AD39" s="734" t="n">
        <v>401.214551</v>
      </c>
      <c r="AE39" s="734">
        <f>SUM(AB39:AD39)</f>
        <v/>
      </c>
      <c r="AF39" s="734" t="n">
        <v>1081.878995</v>
      </c>
      <c r="AG39" s="734" t="n">
        <v>523.50012</v>
      </c>
      <c r="AH39" s="734" t="n">
        <v>135.589522</v>
      </c>
      <c r="AI39" s="734">
        <f>SUM(AF39:AH39)</f>
        <v/>
      </c>
      <c r="AJ39" s="734" t="n">
        <v>1873.958877</v>
      </c>
      <c r="AK39" s="372">
        <f>SUM(K39+O39+S39+W39+AA39+AE39+AI39+AJ39)</f>
        <v/>
      </c>
      <c r="AL39" s="373">
        <f>IF(F39=0,"",K39/(F39/((YEAR(E39)*12+MONTH(E39))-(YEAR(D39)*12+MONTH(D39))+1)))</f>
        <v/>
      </c>
      <c r="AM39" s="373">
        <f>G39/F39</f>
        <v/>
      </c>
      <c r="AN39" s="736">
        <f>F39-G39</f>
        <v/>
      </c>
      <c r="AO39" s="737" t="n"/>
      <c r="AP39" s="737" t="n"/>
      <c r="AQ39" s="737" t="n"/>
      <c r="AR39" s="706" t="inlineStr"/>
      <c r="AS39" s="706" t="inlineStr"/>
      <c r="AT39" s="706" t="inlineStr"/>
      <c r="AU39" s="706" t="inlineStr"/>
      <c r="AV39" s="706" t="inlineStr"/>
      <c r="AW39" s="706" t="inlineStr"/>
      <c r="AX39" s="706" t="inlineStr"/>
      <c r="AY39" s="706" t="inlineStr"/>
      <c r="AZ39" s="706" t="inlineStr"/>
      <c r="BA39" s="706" t="inlineStr"/>
      <c r="BB39" s="706" t="inlineStr"/>
      <c r="BC39" s="706" t="inlineStr"/>
      <c r="BD39" s="706" t="inlineStr"/>
      <c r="BE39" s="706" t="inlineStr"/>
      <c r="BF39" s="706" t="inlineStr"/>
      <c r="BG39" s="706" t="inlineStr"/>
      <c r="BH39" s="706" t="inlineStr"/>
      <c r="BI39" s="706" t="inlineStr"/>
      <c r="BJ39" s="706" t="inlineStr"/>
      <c r="BK39" s="706" t="inlineStr"/>
      <c r="BL39" s="706" t="inlineStr"/>
      <c r="BM39" s="706" t="inlineStr"/>
      <c r="BN39" s="706" t="inlineStr"/>
      <c r="BO39" s="706" t="inlineStr"/>
      <c r="BP39" s="706" t="inlineStr"/>
      <c r="BQ39" s="706" t="inlineStr"/>
    </row>
    <row r="40" outlineLevel="1" ht="14.25" customFormat="1" customHeight="1" s="483">
      <c r="A40" s="738" t="inlineStr">
        <is>
          <t>合计</t>
        </is>
      </c>
      <c r="B40" s="739" t="n"/>
      <c r="C40" s="739" t="n"/>
      <c r="D40" s="739" t="n"/>
      <c r="E40" s="740" t="n"/>
      <c r="F40" s="379">
        <f>SUM(F38:F39)</f>
        <v/>
      </c>
      <c r="G40" s="738">
        <f>SUM(G38:G39)</f>
        <v/>
      </c>
      <c r="H40" s="738">
        <f>SUM(H38:H39)</f>
        <v/>
      </c>
      <c r="I40" s="738">
        <f>SUM(I38:I39)</f>
        <v/>
      </c>
      <c r="J40" s="738">
        <f>SUM(J38:J39)</f>
        <v/>
      </c>
      <c r="K40" s="738">
        <f>SUM(K38:K39)</f>
        <v/>
      </c>
      <c r="L40" s="738">
        <f>SUM(L38:L39)</f>
        <v/>
      </c>
      <c r="M40" s="738">
        <f>SUM(M38:M39)</f>
        <v/>
      </c>
      <c r="N40" s="738">
        <f>SUM(N38:N39)</f>
        <v/>
      </c>
      <c r="O40" s="738">
        <f>SUM(O38:O39)</f>
        <v/>
      </c>
      <c r="P40" s="738">
        <f>SUM(P38:P39)</f>
        <v/>
      </c>
      <c r="Q40" s="738">
        <f>SUM(Q38:Q39)</f>
        <v/>
      </c>
      <c r="R40" s="738">
        <f>SUM(R38:R39)</f>
        <v/>
      </c>
      <c r="S40" s="738">
        <f>SUM(S38:S39)</f>
        <v/>
      </c>
      <c r="T40" s="738">
        <f>SUM(T38:T39)</f>
        <v/>
      </c>
      <c r="U40" s="738">
        <f>SUM(U38:U39)</f>
        <v/>
      </c>
      <c r="V40" s="738">
        <f>SUM(V38:V39)</f>
        <v/>
      </c>
      <c r="W40" s="738">
        <f>SUM(W38:W39)</f>
        <v/>
      </c>
      <c r="X40" s="738">
        <f>SUM(X38:X39)</f>
        <v/>
      </c>
      <c r="Y40" s="738">
        <f>SUM(Y38:Y39)</f>
        <v/>
      </c>
      <c r="Z40" s="738">
        <f>SUM(Z38:Z39)</f>
        <v/>
      </c>
      <c r="AA40" s="738">
        <f>SUM(AA38:AA39)</f>
        <v/>
      </c>
      <c r="AB40" s="738">
        <f>SUM(AB38:AB39)</f>
        <v/>
      </c>
      <c r="AC40" s="738">
        <f>SUM(AC38:AC39)</f>
        <v/>
      </c>
      <c r="AD40" s="738">
        <f>SUM(AD38:AD39)</f>
        <v/>
      </c>
      <c r="AE40" s="738">
        <f>SUM(AE38:AE39)</f>
        <v/>
      </c>
      <c r="AF40" s="738">
        <f>SUM(AF38:AF39)</f>
        <v/>
      </c>
      <c r="AG40" s="738">
        <f>SUM(AG38:AG39)</f>
        <v/>
      </c>
      <c r="AH40" s="738">
        <f>SUM(AH38:AH39)</f>
        <v/>
      </c>
      <c r="AI40" s="738">
        <f>SUM(AI38:AI39)</f>
        <v/>
      </c>
      <c r="AJ40" s="738">
        <f>SUM(AJ38:AJ39)</f>
        <v/>
      </c>
      <c r="AK40" s="379">
        <f>SUM(K40+O40+S40+W40+AA40+AE40+AI40+AJ40)</f>
        <v/>
      </c>
      <c r="AL40" s="381">
        <f>IF(F40=0,"",K40/(F40/((YEAR(E38)*12+MONTH(E38))-(YEAR(D38)*12+MONTH(D38))+1)))</f>
        <v/>
      </c>
      <c r="AM40" s="382">
        <f>G40/F40</f>
        <v/>
      </c>
      <c r="AN40" s="743">
        <f>F40-G40</f>
        <v/>
      </c>
      <c r="AO40" s="383">
        <f>AO38</f>
        <v/>
      </c>
      <c r="AP40" s="381">
        <f>AK40/AO38</f>
        <v/>
      </c>
      <c r="AQ40" s="742">
        <f>AO38-AK40</f>
        <v/>
      </c>
      <c r="AR40" s="713" t="inlineStr"/>
      <c r="AS40" s="713" t="inlineStr"/>
      <c r="AT40" s="713" t="inlineStr"/>
      <c r="AU40" s="713" t="inlineStr"/>
      <c r="AV40" s="713" t="inlineStr"/>
      <c r="AW40" s="713" t="inlineStr"/>
      <c r="AX40" s="713" t="inlineStr"/>
      <c r="AY40" s="713" t="inlineStr"/>
      <c r="AZ40" s="713" t="inlineStr"/>
      <c r="BA40" s="713" t="inlineStr"/>
      <c r="BB40" s="713" t="inlineStr"/>
      <c r="BC40" s="713" t="inlineStr"/>
      <c r="BD40" s="713" t="inlineStr"/>
      <c r="BE40" s="713" t="inlineStr"/>
      <c r="BF40" s="713" t="inlineStr"/>
      <c r="BG40" s="713" t="inlineStr"/>
      <c r="BH40" s="713" t="inlineStr"/>
      <c r="BI40" s="713" t="inlineStr"/>
      <c r="BJ40" s="713" t="inlineStr"/>
      <c r="BK40" s="713" t="inlineStr"/>
      <c r="BL40" s="713" t="inlineStr"/>
      <c r="BM40" s="713" t="inlineStr"/>
      <c r="BN40" s="713" t="inlineStr"/>
      <c r="BO40" s="713" t="inlineStr"/>
      <c r="BP40" s="713" t="inlineStr"/>
      <c r="BQ40" s="713" t="inlineStr"/>
    </row>
    <row r="41" outlineLevel="1" ht="14.25" customFormat="1" customHeight="1" s="483">
      <c r="A41" s="729" t="inlineStr">
        <is>
          <t>理财师004</t>
        </is>
      </c>
      <c r="B41" s="729" t="inlineStr">
        <is>
          <t>理财师006</t>
        </is>
      </c>
      <c r="C41" s="729" t="inlineStr">
        <is>
          <t>私人财富管理专家PWA4-5</t>
        </is>
      </c>
      <c r="D41" s="730" t="n">
        <v>46204</v>
      </c>
      <c r="E41" s="730" t="n">
        <v>46387</v>
      </c>
      <c r="F41" s="729" t="n">
        <v>17235</v>
      </c>
      <c r="G41" s="729" t="n">
        <v>5540.291386</v>
      </c>
      <c r="H41" s="729" t="n">
        <v>1154.308033</v>
      </c>
      <c r="I41" s="729" t="n">
        <v>0</v>
      </c>
      <c r="J41" s="729" t="n">
        <v>0</v>
      </c>
      <c r="K41" s="729">
        <f>SUM(H41:J41)</f>
        <v/>
      </c>
      <c r="L41" s="729" t="n">
        <v>2476.143832</v>
      </c>
      <c r="M41" s="729" t="n">
        <v>1523.574</v>
      </c>
      <c r="N41" s="729" t="n">
        <v>386.265521</v>
      </c>
      <c r="O41" s="729">
        <f>SUM(L41:N41)</f>
        <v/>
      </c>
      <c r="P41" s="729" t="n">
        <v>2664.507449</v>
      </c>
      <c r="Q41" s="729" t="n">
        <v>384.193382</v>
      </c>
      <c r="R41" s="729" t="n">
        <v>712.728125</v>
      </c>
      <c r="S41" s="729">
        <f>SUM(P41:R41)</f>
        <v/>
      </c>
      <c r="T41" s="729" t="n">
        <v>3250.598551</v>
      </c>
      <c r="U41" s="729" t="n">
        <v>241.63794</v>
      </c>
      <c r="V41" s="729" t="n">
        <v>443.427462</v>
      </c>
      <c r="W41" s="729">
        <f>SUM(T41:V41)</f>
        <v/>
      </c>
      <c r="X41" s="729" t="n">
        <v>1492.14231</v>
      </c>
      <c r="Y41" s="729" t="n">
        <v>0</v>
      </c>
      <c r="Z41" s="729" t="n">
        <v>381.121236</v>
      </c>
      <c r="AA41" s="729">
        <f>SUM(X41:Z41)</f>
        <v/>
      </c>
      <c r="AB41" s="729" t="n">
        <v>2747.788321</v>
      </c>
      <c r="AC41" s="729" t="n">
        <v>0</v>
      </c>
      <c r="AD41" s="729" t="n">
        <v>613.27548</v>
      </c>
      <c r="AE41" s="729">
        <f>SUM(AB41:AD41)</f>
        <v/>
      </c>
      <c r="AF41" s="729" t="n">
        <v>1566.390968</v>
      </c>
      <c r="AG41" s="729" t="n">
        <v>1037.679365</v>
      </c>
      <c r="AH41" s="729" t="n">
        <v>313.732955</v>
      </c>
      <c r="AI41" s="729">
        <f>SUM(AF41:AH41)</f>
        <v/>
      </c>
      <c r="AJ41" s="729" t="n">
        <v>4335.866577</v>
      </c>
      <c r="AK41" s="744">
        <f>SUM(K41+O41+S41+W41+AA41+AE41+AI41+AJ41)</f>
        <v/>
      </c>
      <c r="AL41" s="364">
        <f>IF(F41=0,"",K41/(F41/((YEAR(E41)*12+MONTH(E41))-(YEAR(D41)*12+MONTH(D41))+1)))</f>
        <v/>
      </c>
      <c r="AM41" s="364">
        <f>G41/F41</f>
        <v/>
      </c>
      <c r="AN41" s="744">
        <f>F41-G41</f>
        <v/>
      </c>
      <c r="AO41" s="366">
        <f>SUM(F41:F46)</f>
        <v/>
      </c>
      <c r="AP41" s="367">
        <f>AP47</f>
        <v/>
      </c>
      <c r="AQ41" s="745">
        <f>AQ47</f>
        <v/>
      </c>
      <c r="AR41" s="706" t="inlineStr"/>
      <c r="AS41" s="706" t="inlineStr"/>
      <c r="AT41" s="706" t="inlineStr"/>
      <c r="AU41" s="706" t="inlineStr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  <c r="BN41" s="706" t="inlineStr"/>
      <c r="BO41" s="706" t="inlineStr"/>
      <c r="BP41" s="706" t="inlineStr"/>
      <c r="BQ41" s="706" t="inlineStr"/>
    </row>
    <row r="42" outlineLevel="1" ht="14.25" customFormat="1" customHeight="1" s="483">
      <c r="A42" s="733" t="n"/>
      <c r="B42" s="734" t="inlineStr">
        <is>
          <t>理财师003</t>
        </is>
      </c>
      <c r="C42" s="734" t="inlineStr">
        <is>
          <t>私人财富管理专家PWA4-1</t>
        </is>
      </c>
      <c r="D42" s="735" t="n">
        <v>46204</v>
      </c>
      <c r="E42" s="735" t="n">
        <v>46387</v>
      </c>
      <c r="F42" s="734" t="n">
        <v>27907.62</v>
      </c>
      <c r="G42" s="734" t="n">
        <v>6155.490508</v>
      </c>
      <c r="H42" s="734" t="n">
        <v>2384.893142</v>
      </c>
      <c r="I42" s="734" t="n">
        <v>0</v>
      </c>
      <c r="J42" s="734" t="n">
        <v>0</v>
      </c>
      <c r="K42" s="734">
        <f>SUM(H42:J42)</f>
        <v/>
      </c>
      <c r="L42" s="734" t="n">
        <v>2152.648612</v>
      </c>
      <c r="M42" s="734" t="n">
        <v>0</v>
      </c>
      <c r="N42" s="734" t="n">
        <v>1617.948754</v>
      </c>
      <c r="O42" s="734">
        <f>SUM(L42:N42)</f>
        <v/>
      </c>
      <c r="P42" s="734" t="n">
        <v>3023.349137</v>
      </c>
      <c r="Q42" s="734" t="n">
        <v>0</v>
      </c>
      <c r="R42" s="734" t="n">
        <v>2172.888255</v>
      </c>
      <c r="S42" s="734">
        <f>SUM(P42:R42)</f>
        <v/>
      </c>
      <c r="T42" s="734" t="n">
        <v>2530.119274</v>
      </c>
      <c r="U42" s="734" t="n">
        <v>2029.71366</v>
      </c>
      <c r="V42" s="734" t="n">
        <v>1772.582909</v>
      </c>
      <c r="W42" s="734">
        <f>SUM(T42:V42)</f>
        <v/>
      </c>
      <c r="X42" s="734" t="n">
        <v>567.268131</v>
      </c>
      <c r="Y42" s="734" t="n">
        <v>0</v>
      </c>
      <c r="Z42" s="734" t="n">
        <v>1666.262563</v>
      </c>
      <c r="AA42" s="734">
        <f>SUM(X42:Z42)</f>
        <v/>
      </c>
      <c r="AB42" s="734" t="n">
        <v>1550.383391</v>
      </c>
      <c r="AC42" s="734" t="n">
        <v>0</v>
      </c>
      <c r="AD42" s="734" t="n">
        <v>2273.498356</v>
      </c>
      <c r="AE42" s="734">
        <f>SUM(AB42:AD42)</f>
        <v/>
      </c>
      <c r="AF42" s="734" t="n">
        <v>1396.194268</v>
      </c>
      <c r="AG42" s="734" t="n">
        <v>0</v>
      </c>
      <c r="AH42" s="734" t="n">
        <v>1388.558583</v>
      </c>
      <c r="AI42" s="734">
        <f>SUM(AF42:AH42)</f>
        <v/>
      </c>
      <c r="AJ42" s="734" t="n">
        <v>7202.586607</v>
      </c>
      <c r="AK42" s="372">
        <f>SUM(K42+O42+S42+W42+AA42+AE42+AI42+AJ42)</f>
        <v/>
      </c>
      <c r="AL42" s="373">
        <f>IF(F42=0,"",K42/(F42/((YEAR(E42)*12+MONTH(E42))-(YEAR(D42)*12+MONTH(D42))+1)))</f>
        <v/>
      </c>
      <c r="AM42" s="373">
        <f>G42/F42</f>
        <v/>
      </c>
      <c r="AN42" s="736">
        <f>F42-G42</f>
        <v/>
      </c>
      <c r="AO42" s="733" t="n"/>
      <c r="AP42" s="733" t="n"/>
      <c r="AQ42" s="733" t="n"/>
      <c r="AR42" s="706" t="inlineStr"/>
      <c r="AS42" s="706" t="inlineStr"/>
      <c r="AT42" s="706" t="inlineStr"/>
      <c r="AU42" s="706" t="inlineStr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  <c r="BN42" s="706" t="inlineStr"/>
      <c r="BO42" s="706" t="inlineStr"/>
      <c r="BP42" s="706" t="inlineStr"/>
      <c r="BQ42" s="706" t="inlineStr"/>
    </row>
    <row r="43" outlineLevel="1" ht="14.25" customFormat="1" customHeight="1" s="483">
      <c r="A43" s="733" t="n"/>
      <c r="B43" s="734" t="inlineStr">
        <is>
          <t>理财师029</t>
        </is>
      </c>
      <c r="C43" s="734" t="inlineStr">
        <is>
          <t>私人财富管理专家PWA4-3</t>
        </is>
      </c>
      <c r="D43" s="735" t="n">
        <v>46150</v>
      </c>
      <c r="E43" s="735" t="n">
        <v>46333</v>
      </c>
      <c r="F43" s="734" t="n">
        <v>16404.52</v>
      </c>
      <c r="G43" s="734" t="n">
        <v>913.611119</v>
      </c>
      <c r="H43" s="734" t="n">
        <v>0</v>
      </c>
      <c r="I43" s="734" t="n">
        <v>0</v>
      </c>
      <c r="J43" s="734" t="n">
        <v>0</v>
      </c>
      <c r="K43" s="734">
        <f>SUM(H43:J43)</f>
        <v/>
      </c>
      <c r="L43" s="734" t="n">
        <v>82.18470000000001</v>
      </c>
      <c r="M43" s="734" t="n">
        <v>0</v>
      </c>
      <c r="N43" s="734" t="n">
        <v>63.309731</v>
      </c>
      <c r="O43" s="734">
        <f>SUM(L43:N43)</f>
        <v/>
      </c>
      <c r="P43" s="734" t="n">
        <v>644.8338</v>
      </c>
      <c r="Q43" s="734" t="n">
        <v>64.736256</v>
      </c>
      <c r="R43" s="734" t="n">
        <v>38.329254</v>
      </c>
      <c r="S43" s="734">
        <f>SUM(P43:R43)</f>
        <v/>
      </c>
      <c r="T43" s="734" t="n">
        <v>0</v>
      </c>
      <c r="U43" s="734" t="n">
        <v>0</v>
      </c>
      <c r="V43" s="734" t="n">
        <v>20.217377</v>
      </c>
      <c r="W43" s="734">
        <f>SUM(T43:V43)</f>
        <v/>
      </c>
      <c r="X43" s="734" t="n">
        <v>410.9235</v>
      </c>
      <c r="Y43" s="734" t="n">
        <v>0</v>
      </c>
      <c r="Z43" s="734" t="n">
        <v>4.340061</v>
      </c>
      <c r="AA43" s="734">
        <f>SUM(X43:Z43)</f>
        <v/>
      </c>
      <c r="AB43" s="734" t="n">
        <v>0</v>
      </c>
      <c r="AC43" s="734" t="n">
        <v>0</v>
      </c>
      <c r="AD43" s="734" t="n">
        <v>5.058234</v>
      </c>
      <c r="AE43" s="734">
        <f>SUM(AB43:AD43)</f>
        <v/>
      </c>
      <c r="AF43" s="734" t="n">
        <v>0</v>
      </c>
      <c r="AG43" s="734" t="n">
        <v>0</v>
      </c>
      <c r="AH43" s="734" t="n">
        <v>1.127915</v>
      </c>
      <c r="AI43" s="734">
        <f>SUM(AF43:AH43)</f>
        <v/>
      </c>
      <c r="AJ43" s="734" t="n">
        <v>0</v>
      </c>
      <c r="AK43" s="372">
        <f>SUM(K43+O43+S43+W43+AA43+AE43+AI43+AJ43)</f>
        <v/>
      </c>
      <c r="AL43" s="373">
        <f>IF(F43=0,"",K43/(F43/((YEAR(E43)*12+MONTH(E43))-(YEAR(D43)*12+MONTH(D43))+1)))</f>
        <v/>
      </c>
      <c r="AM43" s="373">
        <f>G43/F43</f>
        <v/>
      </c>
      <c r="AN43" s="736">
        <f>F43-G43</f>
        <v/>
      </c>
      <c r="AO43" s="733" t="n"/>
      <c r="AP43" s="733" t="n"/>
      <c r="AQ43" s="733" t="n"/>
      <c r="AR43" s="706" t="inlineStr"/>
      <c r="AS43" s="706" t="inlineStr"/>
      <c r="AT43" s="706" t="inlineStr"/>
      <c r="AU43" s="706" t="inlineStr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  <c r="BN43" s="706" t="inlineStr"/>
      <c r="BO43" s="706" t="inlineStr"/>
      <c r="BP43" s="706" t="inlineStr"/>
      <c r="BQ43" s="706" t="inlineStr"/>
    </row>
    <row r="44" outlineLevel="1" ht="14.25" customFormat="1" customHeight="1" s="483">
      <c r="A44" s="733" t="n"/>
      <c r="B44" s="734" t="inlineStr">
        <is>
          <t>理财师004</t>
        </is>
      </c>
      <c r="C44" s="734" t="inlineStr"/>
      <c r="D44" s="734" t="inlineStr"/>
      <c r="E44" s="734" t="inlineStr"/>
      <c r="F44" s="734" t="n">
        <v>0</v>
      </c>
      <c r="G44" s="734" t="n">
        <v>0</v>
      </c>
      <c r="H44" s="734" t="n">
        <v>0</v>
      </c>
      <c r="I44" s="734" t="n">
        <v>0</v>
      </c>
      <c r="J44" s="734" t="n">
        <v>0</v>
      </c>
      <c r="K44" s="734">
        <f>SUM(H44:J44)</f>
        <v/>
      </c>
      <c r="L44" s="734" t="n">
        <v>2341.58054</v>
      </c>
      <c r="M44" s="734" t="n">
        <v>0</v>
      </c>
      <c r="N44" s="734" t="n">
        <v>678.829965</v>
      </c>
      <c r="O44" s="734">
        <f>SUM(L44:N44)</f>
        <v/>
      </c>
      <c r="P44" s="734" t="n">
        <v>485.207489</v>
      </c>
      <c r="Q44" s="734" t="n">
        <v>0</v>
      </c>
      <c r="R44" s="734" t="n">
        <v>647.4247319999999</v>
      </c>
      <c r="S44" s="734">
        <f>SUM(P44:R44)</f>
        <v/>
      </c>
      <c r="T44" s="734" t="n">
        <v>2310.349392</v>
      </c>
      <c r="U44" s="734" t="n">
        <v>0</v>
      </c>
      <c r="V44" s="734" t="n">
        <v>578.575409</v>
      </c>
      <c r="W44" s="734">
        <f>SUM(T44:V44)</f>
        <v/>
      </c>
      <c r="X44" s="734" t="n">
        <v>753.431552</v>
      </c>
      <c r="Y44" s="734" t="n">
        <v>0</v>
      </c>
      <c r="Z44" s="734" t="n">
        <v>578.295302</v>
      </c>
      <c r="AA44" s="734">
        <f>SUM(X44:Z44)</f>
        <v/>
      </c>
      <c r="AB44" s="734" t="n">
        <v>1958.298381</v>
      </c>
      <c r="AC44" s="734" t="n">
        <v>0</v>
      </c>
      <c r="AD44" s="734" t="n">
        <v>652.1048489999999</v>
      </c>
      <c r="AE44" s="734">
        <f>SUM(AB44:AD44)</f>
        <v/>
      </c>
      <c r="AF44" s="734" t="n">
        <v>2837.047697</v>
      </c>
      <c r="AG44" s="734" t="n">
        <v>0</v>
      </c>
      <c r="AH44" s="734" t="n">
        <v>460.81999</v>
      </c>
      <c r="AI44" s="734">
        <f>SUM(AF44:AH44)</f>
        <v/>
      </c>
      <c r="AJ44" s="734" t="n">
        <v>2541.530781</v>
      </c>
      <c r="AK44" s="372">
        <f>SUM(K44+O44+S44+W44+AA44+AE44+AI44+AJ44)</f>
        <v/>
      </c>
      <c r="AL44" s="373">
        <f>IF(F44=0,"",K44/(F44/MAX(1,(YEAR(E44)*12+MONTH(E44))-(YEAR(D44)*12+MONTH(D44))+1)))</f>
        <v/>
      </c>
      <c r="AM44" s="373">
        <f>G44/F44</f>
        <v/>
      </c>
      <c r="AN44" s="736">
        <f>F44-G44</f>
        <v/>
      </c>
      <c r="AO44" s="733" t="n"/>
      <c r="AP44" s="733" t="n"/>
      <c r="AQ44" s="733" t="n"/>
      <c r="AR44" s="706" t="inlineStr"/>
      <c r="AS44" s="706" t="inlineStr"/>
      <c r="AT44" s="706" t="inlineStr"/>
      <c r="AU44" s="706" t="inlineStr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  <c r="BN44" s="706" t="inlineStr"/>
      <c r="BO44" s="706" t="inlineStr"/>
      <c r="BP44" s="706" t="inlineStr"/>
      <c r="BQ44" s="706" t="inlineStr"/>
    </row>
    <row r="45" outlineLevel="1" ht="14.25" customFormat="1" customHeight="1" s="483">
      <c r="A45" s="733" t="n"/>
      <c r="B45" s="734" t="inlineStr">
        <is>
          <t>理财师012</t>
        </is>
      </c>
      <c r="C45" s="734" t="inlineStr">
        <is>
          <t>首席私人财富管理专家PWA5-1</t>
        </is>
      </c>
      <c r="D45" s="735" t="n">
        <v>46204</v>
      </c>
      <c r="E45" s="735" t="n">
        <v>46387</v>
      </c>
      <c r="F45" s="734" t="n">
        <v>39973.5</v>
      </c>
      <c r="G45" s="734" t="n">
        <v>7082.30492</v>
      </c>
      <c r="H45" s="734" t="n">
        <v>618.398062</v>
      </c>
      <c r="I45" s="734" t="n">
        <v>0</v>
      </c>
      <c r="J45" s="734" t="n">
        <v>0</v>
      </c>
      <c r="K45" s="734">
        <f>SUM(H45:J45)</f>
        <v/>
      </c>
      <c r="L45" s="734" t="n">
        <v>5566.490327</v>
      </c>
      <c r="M45" s="734" t="n">
        <v>0</v>
      </c>
      <c r="N45" s="734" t="n">
        <v>897.416531</v>
      </c>
      <c r="O45" s="734">
        <f>SUM(L45:N45)</f>
        <v/>
      </c>
      <c r="P45" s="734" t="n">
        <v>5710.083829</v>
      </c>
      <c r="Q45" s="734" t="n">
        <v>0</v>
      </c>
      <c r="R45" s="734" t="n">
        <v>4494.277957</v>
      </c>
      <c r="S45" s="734">
        <f>SUM(P45:R45)</f>
        <v/>
      </c>
      <c r="T45" s="734" t="n">
        <v>5099.256359</v>
      </c>
      <c r="U45" s="734" t="n">
        <v>0</v>
      </c>
      <c r="V45" s="734" t="n">
        <v>2165.674642</v>
      </c>
      <c r="W45" s="734">
        <f>SUM(T45:V45)</f>
        <v/>
      </c>
      <c r="X45" s="734" t="n">
        <v>937.141286</v>
      </c>
      <c r="Y45" s="734" t="n">
        <v>0</v>
      </c>
      <c r="Z45" s="734" t="n">
        <v>1775.786688</v>
      </c>
      <c r="AA45" s="734">
        <f>SUM(X45:Z45)</f>
        <v/>
      </c>
      <c r="AB45" s="734" t="n">
        <v>3160.387028</v>
      </c>
      <c r="AC45" s="734" t="n">
        <v>0</v>
      </c>
      <c r="AD45" s="734" t="n">
        <v>3880.484178</v>
      </c>
      <c r="AE45" s="734">
        <f>SUM(AB45:AD45)</f>
        <v/>
      </c>
      <c r="AF45" s="734" t="n">
        <v>3065.24731</v>
      </c>
      <c r="AG45" s="734" t="n">
        <v>0</v>
      </c>
      <c r="AH45" s="734" t="n">
        <v>1466.609142</v>
      </c>
      <c r="AI45" s="734">
        <f>SUM(AF45:AH45)</f>
        <v/>
      </c>
      <c r="AJ45" s="734" t="n">
        <v>4881.758761</v>
      </c>
      <c r="AK45" s="372">
        <f>SUM(K45+O45+S45+W45+AA45+AE45+AI45+AJ45)</f>
        <v/>
      </c>
      <c r="AL45" s="373">
        <f>IF(F45=0,"",K45/(F45/((YEAR(E45)*12+MONTH(E45))-(YEAR(D45)*12+MONTH(D45))+1)))</f>
        <v/>
      </c>
      <c r="AM45" s="373">
        <f>G45/F45</f>
        <v/>
      </c>
      <c r="AN45" s="736">
        <f>F45-G45</f>
        <v/>
      </c>
      <c r="AO45" s="733" t="n"/>
      <c r="AP45" s="733" t="n"/>
      <c r="AQ45" s="733" t="n"/>
      <c r="AR45" s="706" t="inlineStr"/>
      <c r="AS45" s="706" t="inlineStr"/>
      <c r="AT45" s="706" t="inlineStr"/>
      <c r="AU45" s="706" t="inlineStr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  <c r="BN45" s="706" t="inlineStr"/>
      <c r="BO45" s="706" t="inlineStr"/>
      <c r="BP45" s="706" t="inlineStr"/>
      <c r="BQ45" s="706" t="inlineStr"/>
    </row>
    <row r="46" outlineLevel="1" ht="14.25" customFormat="1" customHeight="1" s="483">
      <c r="A46" s="737" t="n"/>
      <c r="B46" s="734" t="inlineStr">
        <is>
          <t>理财师031</t>
        </is>
      </c>
      <c r="C46" s="734" t="inlineStr">
        <is>
          <t>私人财富管理总监PWA3-1</t>
        </is>
      </c>
      <c r="D46" s="735" t="n">
        <v>46244</v>
      </c>
      <c r="E46" s="735" t="n">
        <v>46427</v>
      </c>
      <c r="F46" s="734" t="n">
        <v>14903.6</v>
      </c>
      <c r="G46" s="734" t="n">
        <v>0</v>
      </c>
      <c r="H46" s="734" t="n">
        <v>0</v>
      </c>
      <c r="I46" s="734" t="n">
        <v>0</v>
      </c>
      <c r="J46" s="734" t="n">
        <v>0</v>
      </c>
      <c r="K46" s="734">
        <f>SUM(H46:J46)</f>
        <v/>
      </c>
      <c r="L46" s="734" t="n">
        <v>86.0985</v>
      </c>
      <c r="M46" s="734" t="n">
        <v>0</v>
      </c>
      <c r="N46" s="734" t="n">
        <v>0</v>
      </c>
      <c r="O46" s="734">
        <f>SUM(L46:N46)</f>
        <v/>
      </c>
      <c r="P46" s="734" t="n">
        <v>213.405454</v>
      </c>
      <c r="Q46" s="734" t="n">
        <v>0</v>
      </c>
      <c r="R46" s="734" t="n">
        <v>9.135904</v>
      </c>
      <c r="S46" s="734">
        <f>SUM(P46:R46)</f>
        <v/>
      </c>
      <c r="T46" s="734" t="n">
        <v>1006.091686</v>
      </c>
      <c r="U46" s="734" t="n">
        <v>0</v>
      </c>
      <c r="V46" s="734" t="n">
        <v>0</v>
      </c>
      <c r="W46" s="734">
        <f>SUM(T46:V46)</f>
        <v/>
      </c>
      <c r="X46" s="734" t="n">
        <v>73.317948</v>
      </c>
      <c r="Y46" s="734" t="n">
        <v>0</v>
      </c>
      <c r="Z46" s="734" t="n">
        <v>0</v>
      </c>
      <c r="AA46" s="734">
        <f>SUM(X46:Z46)</f>
        <v/>
      </c>
      <c r="AB46" s="734" t="n">
        <v>0</v>
      </c>
      <c r="AC46" s="734" t="n">
        <v>0</v>
      </c>
      <c r="AD46" s="734" t="n">
        <v>0</v>
      </c>
      <c r="AE46" s="734">
        <f>SUM(AB46:AD46)</f>
        <v/>
      </c>
      <c r="AF46" s="734" t="n">
        <v>0</v>
      </c>
      <c r="AG46" s="734" t="n">
        <v>0</v>
      </c>
      <c r="AH46" s="734" t="n">
        <v>0</v>
      </c>
      <c r="AI46" s="734">
        <f>SUM(AF46:AH46)</f>
        <v/>
      </c>
      <c r="AJ46" s="734" t="n">
        <v>0</v>
      </c>
      <c r="AK46" s="734">
        <f>SUM(K46+O46+S46+W46+AA46+AE46+AI46+AJ46)</f>
        <v/>
      </c>
      <c r="AL46" s="373">
        <f>IF(F46=0,"",K46/(F46/((YEAR(E46)*12+MONTH(E46))-(YEAR(D46)*12+MONTH(D46))+1)))</f>
        <v/>
      </c>
      <c r="AM46" s="373">
        <f>G46/F46</f>
        <v/>
      </c>
      <c r="AN46" s="734">
        <f>F46-G46</f>
        <v/>
      </c>
      <c r="AO46" s="737" t="n"/>
      <c r="AP46" s="737" t="n"/>
      <c r="AQ46" s="737" t="n"/>
      <c r="AR46" s="706" t="inlineStr"/>
      <c r="AS46" s="706" t="inlineStr"/>
      <c r="AT46" s="706" t="inlineStr"/>
      <c r="AU46" s="706" t="inlineStr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  <c r="BN46" s="706" t="inlineStr"/>
      <c r="BO46" s="706" t="inlineStr"/>
      <c r="BP46" s="706" t="inlineStr"/>
      <c r="BQ46" s="706" t="inlineStr"/>
    </row>
    <row r="47" outlineLevel="1" ht="14.25" customFormat="1" customHeight="1" s="483">
      <c r="A47" s="738" t="inlineStr">
        <is>
          <t>合计</t>
        </is>
      </c>
      <c r="B47" s="739" t="n"/>
      <c r="C47" s="739" t="n"/>
      <c r="D47" s="739" t="n"/>
      <c r="E47" s="740" t="n"/>
      <c r="F47" s="379">
        <f>SUM(F41:F46)</f>
        <v/>
      </c>
      <c r="G47" s="738">
        <f>SUM(G41:G46)</f>
        <v/>
      </c>
      <c r="H47" s="738">
        <f>SUM(H41:H46)</f>
        <v/>
      </c>
      <c r="I47" s="738">
        <f>SUM(I41:I46)</f>
        <v/>
      </c>
      <c r="J47" s="738">
        <f>SUM(J41:J46)</f>
        <v/>
      </c>
      <c r="K47" s="738">
        <f>SUM(K41:K46)</f>
        <v/>
      </c>
      <c r="L47" s="738">
        <f>SUM(L41:L46)</f>
        <v/>
      </c>
      <c r="M47" s="738">
        <f>SUM(M41:M46)</f>
        <v/>
      </c>
      <c r="N47" s="738">
        <f>SUM(N41:N46)</f>
        <v/>
      </c>
      <c r="O47" s="738">
        <f>SUM(O41:O46)</f>
        <v/>
      </c>
      <c r="P47" s="738">
        <f>SUM(P41:P46)</f>
        <v/>
      </c>
      <c r="Q47" s="738">
        <f>SUM(Q41:Q46)</f>
        <v/>
      </c>
      <c r="R47" s="738">
        <f>SUM(R41:R46)</f>
        <v/>
      </c>
      <c r="S47" s="738">
        <f>SUM(S41:S46)</f>
        <v/>
      </c>
      <c r="T47" s="738">
        <f>SUM(T41:T46)</f>
        <v/>
      </c>
      <c r="U47" s="738">
        <f>SUM(U41:U46)</f>
        <v/>
      </c>
      <c r="V47" s="738">
        <f>SUM(V41:V46)</f>
        <v/>
      </c>
      <c r="W47" s="738">
        <f>SUM(W41:W46)</f>
        <v/>
      </c>
      <c r="X47" s="738">
        <f>SUM(X41:X46)</f>
        <v/>
      </c>
      <c r="Y47" s="738">
        <f>SUM(Y41:Y46)</f>
        <v/>
      </c>
      <c r="Z47" s="738">
        <f>SUM(Z41:Z46)</f>
        <v/>
      </c>
      <c r="AA47" s="738">
        <f>SUM(AA41:AA46)</f>
        <v/>
      </c>
      <c r="AB47" s="738">
        <f>SUM(AB41:AB46)</f>
        <v/>
      </c>
      <c r="AC47" s="738">
        <f>SUM(AC41:AC46)</f>
        <v/>
      </c>
      <c r="AD47" s="738">
        <f>SUM(AD41:AD46)</f>
        <v/>
      </c>
      <c r="AE47" s="738">
        <f>SUM(AE41:AE46)</f>
        <v/>
      </c>
      <c r="AF47" s="738">
        <f>SUM(AF41:AF46)</f>
        <v/>
      </c>
      <c r="AG47" s="738">
        <f>SUM(AG41:AG46)</f>
        <v/>
      </c>
      <c r="AH47" s="738">
        <f>SUM(AH41:AH46)</f>
        <v/>
      </c>
      <c r="AI47" s="738">
        <f>SUM(AI41:AI46)</f>
        <v/>
      </c>
      <c r="AJ47" s="738">
        <f>SUM(AJ41:AJ46)</f>
        <v/>
      </c>
      <c r="AK47" s="738">
        <f>SUM(K47+O47+S47+W47+AA47+AE47+AI47+AJ47)</f>
        <v/>
      </c>
      <c r="AL47" s="381">
        <f>IF(F47=0,"",K47/(F47/((YEAR(E41)*12+MONTH(E41))-(YEAR(D41)*12+MONTH(D41))+1)))</f>
        <v/>
      </c>
      <c r="AM47" s="382">
        <f>G47/F47</f>
        <v/>
      </c>
      <c r="AN47" s="738">
        <f>F47-G47</f>
        <v/>
      </c>
      <c r="AO47" s="383">
        <f>AO41</f>
        <v/>
      </c>
      <c r="AP47" s="381">
        <f>AK47/AO41</f>
        <v/>
      </c>
      <c r="AQ47" s="742">
        <f>AO41-AK47</f>
        <v/>
      </c>
      <c r="AR47" s="713" t="inlineStr"/>
      <c r="AS47" s="713" t="inlineStr"/>
      <c r="AT47" s="713" t="inlineStr"/>
      <c r="AU47" s="713" t="inlineStr"/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  <c r="BN47" s="713" t="inlineStr"/>
      <c r="BO47" s="713" t="inlineStr"/>
      <c r="BP47" s="713" t="inlineStr"/>
      <c r="BQ47" s="713" t="inlineStr"/>
    </row>
    <row r="48" ht="14.25" customFormat="1" customHeight="1" s="483">
      <c r="A48" s="747" t="inlineStr">
        <is>
          <t>合计</t>
        </is>
      </c>
      <c r="B48" s="748" t="n"/>
      <c r="C48" s="748" t="n"/>
      <c r="D48" s="748" t="n"/>
      <c r="E48" s="749" t="n"/>
      <c r="F48" s="750">
        <f>F9+F14+F19+F23+F27+F30+F33+F37+F40+F47</f>
        <v/>
      </c>
      <c r="G48" s="750">
        <f>G9+G14+G19+G23+G27+G30+G33+G37+G40+G47</f>
        <v/>
      </c>
      <c r="H48" s="751">
        <f>H9+H14+H19+H23+H27+H30+H33+H37+H40+H47</f>
        <v/>
      </c>
      <c r="I48" s="751">
        <f>I9+I14+I19+I23+I27+I30+I33+I37+I40+I47</f>
        <v/>
      </c>
      <c r="J48" s="751">
        <f>J9+J14+J19+J23+J27+J30+J33+J37+J40+J47</f>
        <v/>
      </c>
      <c r="K48" s="751">
        <f>K9+K14+K19+K23+K27+K30+K33+K37+K40+K47</f>
        <v/>
      </c>
      <c r="L48" s="751">
        <f>L9+L14+L19+L23+L27+L30+L33+L37+L40+L47</f>
        <v/>
      </c>
      <c r="M48" s="751">
        <f>M9+M14+M19+M23+M27+M30+M33+M37+M40+M47</f>
        <v/>
      </c>
      <c r="N48" s="751">
        <f>N9+N14+N19+N23+N27+N30+N33+N37+N40+N47</f>
        <v/>
      </c>
      <c r="O48" s="751">
        <f>O9+O14+O19+O23+O27+O30+O33+O37+O40+O47</f>
        <v/>
      </c>
      <c r="P48" s="750">
        <f>P9+P14+P19+P23+P27+P30+P33+P37+P40+P47</f>
        <v/>
      </c>
      <c r="Q48" s="750">
        <f>Q9+Q14+Q19+Q23+Q27+Q30+Q33+Q37+Q40+Q47</f>
        <v/>
      </c>
      <c r="R48" s="750">
        <f>R9+R14+R19+R23+R27+R30+R33+R37+R40+R47</f>
        <v/>
      </c>
      <c r="S48" s="750">
        <f>S9+S14+S19+S23+S27+S30+S33+S37+S40+S47</f>
        <v/>
      </c>
      <c r="T48" s="750">
        <f>T9+T14+T19+T23+T27+T30+T33+T37+T40+T47</f>
        <v/>
      </c>
      <c r="U48" s="750">
        <f>U9+U14+U19+U23+U27+U30+U33+U37+U40+U47</f>
        <v/>
      </c>
      <c r="V48" s="750">
        <f>V9+V14+V19+V23+V27+V30+V33+V37+V40+V47</f>
        <v/>
      </c>
      <c r="W48" s="750">
        <f>W9+W14+W19+W23+W27+W30+W33+W37+W40+W47</f>
        <v/>
      </c>
      <c r="X48" s="750">
        <f>X9+X14+X19+X23+X27+X30+X33+X37+X40+X47</f>
        <v/>
      </c>
      <c r="Y48" s="750">
        <f>Y9+Y14+Y19+Y23+Y27+Y30+Y33+Y37+Y40+Y47</f>
        <v/>
      </c>
      <c r="Z48" s="750">
        <f>Z9+Z14+Z19+Z23+Z27+Z30+Z33+Z37+Z40+Z47</f>
        <v/>
      </c>
      <c r="AA48" s="750">
        <f>AA9+AA14+AA19+AA23+AA27+AA30+AA33+AA37+AA40+AA47</f>
        <v/>
      </c>
      <c r="AB48" s="750">
        <f>AB9+AB14+AB19+AB23+AB27+AB30+AB33+AB37+AB40+AB47</f>
        <v/>
      </c>
      <c r="AC48" s="751">
        <f>AC9+AC14+AC19+AC23+AC27+AC30+AC33+AC37+AC40+AC47</f>
        <v/>
      </c>
      <c r="AD48" s="751">
        <f>AD9+AD14+AD19+AD23+AD27+AD30+AD33+AD37+AD40+AD47</f>
        <v/>
      </c>
      <c r="AE48" s="751">
        <f>AE9+AE14+AE19+AE23+AE27+AE30+AE33+AE37+AE40+AE47</f>
        <v/>
      </c>
      <c r="AF48" s="751">
        <f>AF9+AF14+AF19+AF23+AF27+AF30+AF33+AF37+AF40+AF47</f>
        <v/>
      </c>
      <c r="AG48" s="751">
        <f>AG9+AG14+AG19+AG23+AG27+AG30+AG33+AG37+AG40+AG47</f>
        <v/>
      </c>
      <c r="AH48" s="751">
        <f>AH9+AH14+AH19+AH23+AH27+AH30+AH33+AH37+AH40+AH47</f>
        <v/>
      </c>
      <c r="AI48" s="751">
        <f>AI9+AI14+AI19+AI23+AI27+AI30+AI33+AI37+AI40+AI47</f>
        <v/>
      </c>
      <c r="AJ48" s="751">
        <f>AJ9+AJ14+AJ19+AJ23+AJ27+AJ30+AJ33+AJ37+AJ40+AJ47</f>
        <v/>
      </c>
      <c r="AK48" s="394">
        <f>AK9+AK14+AK19+AK23+AK27+AK30+AK33+AK37+AK40+AK47</f>
        <v/>
      </c>
      <c r="AL48" s="395">
        <f>K48/(F48/((YEAR(E4)*12+MONTH(E4))-(YEAR(D4)*12+MONTH(D4))+1))</f>
        <v/>
      </c>
      <c r="AM48" s="395">
        <f>G48/F48</f>
        <v/>
      </c>
      <c r="AN48" s="752">
        <f>F48-G48</f>
        <v/>
      </c>
      <c r="AO48" s="397">
        <f>AO9+AO14+AO19+AO23+AO27+AO30+AO33+AO37+AO40+AO47</f>
        <v/>
      </c>
      <c r="AP48" s="398">
        <f>AK48/AO48</f>
        <v/>
      </c>
      <c r="AQ48" s="751">
        <f>AO48-AK48</f>
        <v/>
      </c>
      <c r="AR48" s="723" t="inlineStr"/>
      <c r="AS48" s="723" t="inlineStr"/>
      <c r="AT48" s="723" t="inlineStr"/>
      <c r="AU48" s="723" t="inlineStr"/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3" t="inlineStr"/>
      <c r="BN48" s="723" t="inlineStr"/>
      <c r="BO48" s="723" t="inlineStr"/>
      <c r="BP48" s="723" t="inlineStr"/>
      <c r="BQ48" s="727" t="inlineStr"/>
    </row>
    <row r="49" ht="14.25" customFormat="1" customHeight="1" s="483">
      <c r="AN49" s="633" t="inlineStr">
        <is>
          <t>公司目标</t>
        </is>
      </c>
      <c r="AO49" s="633" t="n">
        <v>938855.347966</v>
      </c>
      <c r="AP49" s="252">
        <f>IF(AO49&lt;&gt;0,AK48/AO49,"")</f>
        <v/>
      </c>
      <c r="AQ49" s="663">
        <f>AO49-AK48</f>
        <v/>
      </c>
    </row>
    <row r="50" ht="35.1" customFormat="1" customHeight="1" s="483"/>
    <row r="51" ht="24" customFormat="1" customHeight="1" s="483"/>
  </sheetData>
  <mergeCells count="95">
    <mergeCell ref="A48:E48"/>
    <mergeCell ref="A20:A22"/>
    <mergeCell ref="A4:A8"/>
    <mergeCell ref="U2:U3"/>
    <mergeCell ref="AO4:AO8"/>
    <mergeCell ref="AQ24:AQ26"/>
    <mergeCell ref="A37:E37"/>
    <mergeCell ref="A2:A3"/>
    <mergeCell ref="A24:A26"/>
    <mergeCell ref="C2:C3"/>
    <mergeCell ref="E2:E3"/>
    <mergeCell ref="W2:W3"/>
    <mergeCell ref="AO1:AP1"/>
    <mergeCell ref="A23:E23"/>
    <mergeCell ref="AA2:AA3"/>
    <mergeCell ref="AO10:AO13"/>
    <mergeCell ref="AC2:AC3"/>
    <mergeCell ref="AQ10:AQ13"/>
    <mergeCell ref="A10:A13"/>
    <mergeCell ref="AM2:AM3"/>
    <mergeCell ref="AO2:AO3"/>
    <mergeCell ref="AO41:AO46"/>
    <mergeCell ref="V2:V3"/>
    <mergeCell ref="X2:X3"/>
    <mergeCell ref="AO20:AO22"/>
    <mergeCell ref="AO34:AO36"/>
    <mergeCell ref="AQ34:AQ36"/>
    <mergeCell ref="AQ4:AQ8"/>
    <mergeCell ref="N2:N3"/>
    <mergeCell ref="F2:F3"/>
    <mergeCell ref="P2:P3"/>
    <mergeCell ref="H2:H3"/>
    <mergeCell ref="AO28:AO29"/>
    <mergeCell ref="AP10:AP13"/>
    <mergeCell ref="AF2:AF3"/>
    <mergeCell ref="AO15:AO18"/>
    <mergeCell ref="K2:K3"/>
    <mergeCell ref="AH2:AH3"/>
    <mergeCell ref="AO38:AO39"/>
    <mergeCell ref="AQ38:AQ39"/>
    <mergeCell ref="O2:O3"/>
    <mergeCell ref="Q2:Q3"/>
    <mergeCell ref="A14:E14"/>
    <mergeCell ref="AI2:AI3"/>
    <mergeCell ref="AK2:AK3"/>
    <mergeCell ref="AP20:AP22"/>
    <mergeCell ref="AO31:AO32"/>
    <mergeCell ref="AQ31:AQ32"/>
    <mergeCell ref="AQ15:AQ18"/>
    <mergeCell ref="AO24:AO26"/>
    <mergeCell ref="A40:E40"/>
    <mergeCell ref="S2:S3"/>
    <mergeCell ref="B2:B3"/>
    <mergeCell ref="D2:D3"/>
    <mergeCell ref="A41:A46"/>
    <mergeCell ref="A34:A36"/>
    <mergeCell ref="Z2:Z3"/>
    <mergeCell ref="AQ41:AQ46"/>
    <mergeCell ref="AB2:AB3"/>
    <mergeCell ref="T2:T3"/>
    <mergeCell ref="AD2:AD3"/>
    <mergeCell ref="AN2:AN3"/>
    <mergeCell ref="AP2:AP3"/>
    <mergeCell ref="AP4:AP8"/>
    <mergeCell ref="A47:E47"/>
    <mergeCell ref="A9:E9"/>
    <mergeCell ref="A38:A39"/>
    <mergeCell ref="AP41:AP46"/>
    <mergeCell ref="AP34:AP36"/>
    <mergeCell ref="A31:A32"/>
    <mergeCell ref="A15:A18"/>
    <mergeCell ref="G2:G3"/>
    <mergeCell ref="I2:I3"/>
    <mergeCell ref="AP28:AP29"/>
    <mergeCell ref="A30:E30"/>
    <mergeCell ref="M2:M3"/>
    <mergeCell ref="AE2:AE3"/>
    <mergeCell ref="AG2:AG3"/>
    <mergeCell ref="Y2:Y3"/>
    <mergeCell ref="AQ2:AQ3"/>
    <mergeCell ref="AP38:AP39"/>
    <mergeCell ref="AP31:AP32"/>
    <mergeCell ref="AP15:AP18"/>
    <mergeCell ref="A27:E27"/>
    <mergeCell ref="AQ20:AQ22"/>
    <mergeCell ref="A33:E33"/>
    <mergeCell ref="AP24:AP26"/>
    <mergeCell ref="R2:R3"/>
    <mergeCell ref="J2:J3"/>
    <mergeCell ref="AQ28:AQ29"/>
    <mergeCell ref="L2:L3"/>
    <mergeCell ref="A28:A29"/>
    <mergeCell ref="A19:E19"/>
    <mergeCell ref="AJ2:AJ3"/>
    <mergeCell ref="AL2:AL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U49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2"/>
    <col hidden="1" width="13" customWidth="1" style="533" min="13" max="13"/>
    <col hidden="1" width="13" customWidth="1" style="533" min="14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5"/>
    <col hidden="1" width="13" customWidth="1" style="483" min="26" max="26"/>
    <col width="13.9286" customWidth="1" style="533" min="27" max="27"/>
    <col hidden="1" width="12.7857" customWidth="1" style="483" min="28" max="28"/>
    <col hidden="1" width="13" customWidth="1" style="483" min="29" max="29"/>
    <col hidden="1" width="13" customWidth="1" style="483" min="30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5"/>
    <col hidden="1" width="13" customWidth="1" style="533" min="36" max="36"/>
    <col hidden="1" width="13.2143" customWidth="1" style="533" min="37" max="37"/>
    <col hidden="1" width="6.57143" customWidth="1" style="533" min="38" max="38"/>
    <col width="18.5714" customWidth="1" style="533" min="39" max="39"/>
    <col width="10.6429" customWidth="1" style="533" min="40" max="40"/>
    <col width="17.3571" customWidth="1" style="533" min="41" max="41"/>
    <col width="11.4286" customWidth="1" style="533" min="42" max="42"/>
    <col width="13.9286" customWidth="1" style="533" min="43" max="43"/>
    <col width="9" customWidth="1" style="533" min="44" max="45"/>
    <col width="12.3571" customWidth="1" style="533" min="46" max="46"/>
    <col width="9" customWidth="1" style="533" min="47" max="73"/>
  </cols>
  <sheetData>
    <row r="1" ht="20.25" customFormat="1" customHeight="1" s="483">
      <c r="A1" s="754" t="inlineStr">
        <is>
          <t>私人财富管理部折标销售进度表-截止20260904</t>
        </is>
      </c>
      <c r="B1" s="649" t="inlineStr"/>
      <c r="C1" s="649" t="inlineStr"/>
      <c r="D1" s="649" t="inlineStr"/>
      <c r="E1" s="649" t="inlineStr"/>
      <c r="F1" s="649" t="inlineStr"/>
      <c r="G1" s="649" t="inlineStr"/>
      <c r="H1" s="649" t="inlineStr"/>
      <c r="I1" s="649" t="inlineStr"/>
      <c r="J1" s="649" t="inlineStr"/>
      <c r="K1" s="649" t="inlineStr"/>
      <c r="L1" s="649" t="inlineStr"/>
      <c r="M1" s="649" t="inlineStr"/>
      <c r="N1" s="649" t="inlineStr"/>
      <c r="O1" s="649" t="inlineStr"/>
      <c r="P1" s="649" t="inlineStr"/>
      <c r="Q1" s="649" t="inlineStr"/>
      <c r="R1" s="649" t="inlineStr"/>
      <c r="S1" s="649" t="inlineStr"/>
      <c r="T1" s="649" t="inlineStr"/>
      <c r="U1" s="649" t="inlineStr"/>
      <c r="V1" s="649" t="inlineStr"/>
      <c r="W1" s="649" t="inlineStr"/>
      <c r="X1" s="649" t="inlineStr"/>
      <c r="Y1" s="649" t="inlineStr"/>
      <c r="Z1" s="649" t="inlineStr"/>
      <c r="AA1" s="649" t="inlineStr"/>
      <c r="AB1" s="649" t="inlineStr"/>
      <c r="AC1" s="649" t="inlineStr"/>
      <c r="AD1" s="649" t="inlineStr"/>
      <c r="AE1" s="649" t="inlineStr"/>
      <c r="AF1" s="649" t="inlineStr"/>
      <c r="AG1" s="649" t="inlineStr"/>
      <c r="AH1" s="649" t="inlineStr"/>
      <c r="AI1" s="649" t="inlineStr"/>
      <c r="AJ1" s="649" t="inlineStr"/>
      <c r="AK1" s="649" t="inlineStr"/>
      <c r="AL1" s="649" t="inlineStr"/>
      <c r="AM1" s="649" t="inlineStr"/>
      <c r="AN1" s="649" t="inlineStr"/>
      <c r="AO1" s="649" t="inlineStr"/>
      <c r="AP1" s="649" t="inlineStr"/>
      <c r="AQ1" s="649" t="inlineStr"/>
      <c r="AR1" s="649" t="inlineStr"/>
      <c r="AS1" s="552" t="inlineStr">
        <is>
          <t>下半年时间进度</t>
        </is>
      </c>
      <c r="AU1" s="70">
        <f>AV7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传统202609</t>
        </is>
      </c>
      <c r="I2" s="541" t="inlineStr">
        <is>
          <t>保险202609</t>
        </is>
      </c>
      <c r="J2" s="541" t="inlineStr">
        <is>
          <t>管理费202609</t>
        </is>
      </c>
      <c r="K2" s="669" t="inlineStr">
        <is>
          <t>2026年
9月折标</t>
        </is>
      </c>
      <c r="L2" s="541" t="inlineStr">
        <is>
          <t>传统202608</t>
        </is>
      </c>
      <c r="M2" s="541" t="inlineStr">
        <is>
          <t>保险202608</t>
        </is>
      </c>
      <c r="N2" s="541" t="inlineStr">
        <is>
          <t>管理费202608</t>
        </is>
      </c>
      <c r="O2" s="669" t="inlineStr">
        <is>
          <t>2026年
8月折标</t>
        </is>
      </c>
      <c r="P2" s="541" t="inlineStr">
        <is>
          <t>传统202607</t>
        </is>
      </c>
      <c r="Q2" s="541" t="inlineStr">
        <is>
          <t>保险202607</t>
        </is>
      </c>
      <c r="R2" s="541" t="inlineStr">
        <is>
          <t>管理费202607</t>
        </is>
      </c>
      <c r="S2" s="669" t="inlineStr">
        <is>
          <t>2026年
7月折标</t>
        </is>
      </c>
      <c r="T2" s="541" t="inlineStr">
        <is>
          <t>传统202606</t>
        </is>
      </c>
      <c r="U2" s="541" t="inlineStr">
        <is>
          <t>保险202606</t>
        </is>
      </c>
      <c r="V2" s="541" t="inlineStr">
        <is>
          <t>管理费202606</t>
        </is>
      </c>
      <c r="W2" s="669" t="inlineStr">
        <is>
          <t>2026年
6月折标</t>
        </is>
      </c>
      <c r="X2" s="541" t="inlineStr">
        <is>
          <t>传统202605</t>
        </is>
      </c>
      <c r="Y2" s="541" t="inlineStr">
        <is>
          <t>保险202605</t>
        </is>
      </c>
      <c r="Z2" s="541" t="inlineStr">
        <is>
          <t>管理费202605</t>
        </is>
      </c>
      <c r="AA2" s="669" t="inlineStr">
        <is>
          <t>2026年
5月折标</t>
        </is>
      </c>
      <c r="AB2" s="541" t="inlineStr">
        <is>
          <t>传统202604</t>
        </is>
      </c>
      <c r="AC2" s="541" t="inlineStr">
        <is>
          <t>保险202604</t>
        </is>
      </c>
      <c r="AD2" s="541" t="inlineStr">
        <is>
          <t>管理费202604</t>
        </is>
      </c>
      <c r="AE2" s="669" t="inlineStr">
        <is>
          <t>2026年
4月折标</t>
        </is>
      </c>
      <c r="AF2" s="541" t="inlineStr">
        <is>
          <t>传统202603</t>
        </is>
      </c>
      <c r="AG2" s="541" t="inlineStr">
        <is>
          <t>保险202603</t>
        </is>
      </c>
      <c r="AH2" s="541" t="inlineStr">
        <is>
          <t>管理费202603</t>
        </is>
      </c>
      <c r="AI2" s="669" t="inlineStr">
        <is>
          <t>2026年
3月折标</t>
        </is>
      </c>
      <c r="AJ2" s="541" t="inlineStr">
        <is>
          <t>传统202602</t>
        </is>
      </c>
      <c r="AK2" s="541" t="inlineStr">
        <is>
          <t>保险202602</t>
        </is>
      </c>
      <c r="AL2" s="541" t="inlineStr">
        <is>
          <t>管理费202602</t>
        </is>
      </c>
      <c r="AM2" s="669" t="inlineStr">
        <is>
          <t>2026年
2月折标</t>
        </is>
      </c>
      <c r="AN2" s="669" t="inlineStr">
        <is>
          <t>2026年
1月折标</t>
        </is>
      </c>
      <c r="AO2" s="670" t="inlineStr">
        <is>
          <t>2026年YTD折标</t>
        </is>
      </c>
      <c r="AP2" s="671" t="inlineStr">
        <is>
          <t>月度
完成率</t>
        </is>
      </c>
      <c r="AQ2" s="666" t="inlineStr">
        <is>
          <t>考核期完成率（累计）</t>
        </is>
      </c>
      <c r="AR2" s="560" t="inlineStr">
        <is>
          <t>考核期差距</t>
        </is>
      </c>
      <c r="AS2" s="561" t="inlineStr">
        <is>
          <t>财富中心
上半年年任务</t>
        </is>
      </c>
      <c r="AT2" s="79" t="inlineStr">
        <is>
          <t>财富中心
上半年任务完成率</t>
        </is>
      </c>
      <c r="AU2" s="561" t="inlineStr">
        <is>
          <t>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  <c r="AR3" s="501" t="n"/>
      <c r="AS3" s="501" t="n"/>
      <c r="AT3" s="501" t="n"/>
      <c r="AU3" s="501" t="n"/>
    </row>
    <row r="4" outlineLevel="1" ht="14.25" customFormat="1" customHeight="1" s="483">
      <c r="A4" s="729" t="inlineStr">
        <is>
          <t>理财师018</t>
        </is>
      </c>
      <c r="B4" s="729" t="inlineStr">
        <is>
          <t>理财师021</t>
        </is>
      </c>
      <c r="C4" s="729" t="inlineStr">
        <is>
          <t>私人财富管理总监PWA3-4</t>
        </is>
      </c>
      <c r="D4" s="730" t="n">
        <v>46204</v>
      </c>
      <c r="E4" s="730" t="n">
        <v>46387</v>
      </c>
      <c r="F4" s="729" t="n">
        <v>14498.13</v>
      </c>
      <c r="G4" s="729" t="n">
        <v>3486.665433</v>
      </c>
      <c r="H4" s="729" t="n">
        <v>786.253065</v>
      </c>
      <c r="I4" s="729" t="n">
        <v>0</v>
      </c>
      <c r="J4" s="729" t="n">
        <v>0</v>
      </c>
      <c r="K4" s="729">
        <f>SUM(H4:J4)</f>
        <v/>
      </c>
      <c r="L4" s="729" t="n">
        <v>84.3921</v>
      </c>
      <c r="M4" s="729" t="n">
        <v>0</v>
      </c>
      <c r="N4" s="729" t="n">
        <v>0</v>
      </c>
      <c r="O4" s="729">
        <f>SUM(L4:N4)</f>
        <v/>
      </c>
      <c r="P4" s="729" t="n">
        <v>1874.489194</v>
      </c>
      <c r="Q4" s="729" t="n">
        <v>0</v>
      </c>
      <c r="R4" s="729" t="n">
        <v>741.531073</v>
      </c>
      <c r="S4" s="729">
        <f>SUM(P4:R4)</f>
        <v/>
      </c>
      <c r="T4" s="729" t="n">
        <v>927.52544</v>
      </c>
      <c r="U4" s="729" t="n">
        <v>0</v>
      </c>
      <c r="V4" s="729" t="n">
        <v>1433.561147</v>
      </c>
      <c r="W4" s="729">
        <f>SUM(T4:V4)</f>
        <v/>
      </c>
      <c r="X4" s="729" t="n">
        <v>1183.338361</v>
      </c>
      <c r="Y4" s="729" t="n">
        <v>0</v>
      </c>
      <c r="Z4" s="729" t="n">
        <v>634.456086</v>
      </c>
      <c r="AA4" s="729">
        <f>SUM(X4:Z4)</f>
        <v/>
      </c>
      <c r="AB4" s="729" t="n">
        <v>3203.368286</v>
      </c>
      <c r="AC4" s="729" t="n">
        <v>0</v>
      </c>
      <c r="AD4" s="729" t="n">
        <v>538.668767</v>
      </c>
      <c r="AE4" s="729">
        <f>SUM(AB4:AD4)</f>
        <v/>
      </c>
      <c r="AF4" s="729" t="n">
        <v>8704.796721000001</v>
      </c>
      <c r="AG4" s="729" t="n">
        <v>0</v>
      </c>
      <c r="AH4" s="729" t="n">
        <v>1253.999839</v>
      </c>
      <c r="AI4" s="729">
        <f>SUM(AF4:AH4)</f>
        <v/>
      </c>
      <c r="AJ4" s="729" t="n">
        <v>1402.304143</v>
      </c>
      <c r="AK4" s="729" t="n">
        <v>742.65048</v>
      </c>
      <c r="AL4" s="729" t="n">
        <v>433.535601</v>
      </c>
      <c r="AM4" s="729">
        <f>SUM(AJ4:AL4)</f>
        <v/>
      </c>
      <c r="AN4" s="729" t="n">
        <v>3464.9959</v>
      </c>
      <c r="AO4" s="363">
        <f>SUM(K4+O4+S4+W4+AA4+AE4+AI4+AM4+AN4)</f>
        <v/>
      </c>
      <c r="AP4" s="364">
        <f>IF(F4=0,"",K4/(F4/((YEAR(E4)*12+MONTH(E4))-(YEAR(D4)*12+MONTH(D4))+1)))</f>
        <v/>
      </c>
      <c r="AQ4" s="364">
        <f>G4/F4</f>
        <v/>
      </c>
      <c r="AR4" s="731">
        <f>F4-G4</f>
        <v/>
      </c>
      <c r="AS4" s="366">
        <f>SUM(F4:F8)</f>
        <v/>
      </c>
      <c r="AT4" s="367">
        <f>AT9</f>
        <v/>
      </c>
      <c r="AU4" s="732">
        <f>AU9</f>
        <v/>
      </c>
      <c r="AV4" s="706" t="inlineStr"/>
      <c r="AW4" s="706" t="inlineStr"/>
      <c r="AX4" s="706" t="inlineStr">
        <is>
          <t>开始日期</t>
        </is>
      </c>
      <c r="AY4" s="706" t="inlineStr">
        <is>
          <t>结束日期</t>
        </is>
      </c>
      <c r="AZ4" s="706" t="inlineStr"/>
      <c r="BA4" s="706" t="inlineStr"/>
      <c r="BB4" s="706" t="inlineStr"/>
      <c r="BC4" s="706" t="inlineStr"/>
      <c r="BD4" s="706" t="inlineStr"/>
      <c r="BE4" s="706" t="inlineStr"/>
      <c r="BF4" s="706" t="inlineStr"/>
      <c r="BG4" s="706" t="inlineStr"/>
      <c r="BH4" s="706" t="inlineStr"/>
      <c r="BI4" s="706" t="inlineStr"/>
      <c r="BJ4" s="706" t="inlineStr"/>
      <c r="BK4" s="706" t="inlineStr"/>
      <c r="BL4" s="706" t="inlineStr"/>
      <c r="BM4" s="706" t="inlineStr"/>
      <c r="BN4" s="706" t="inlineStr"/>
      <c r="BO4" s="706" t="inlineStr"/>
      <c r="BP4" s="706" t="inlineStr"/>
      <c r="BQ4" s="706" t="inlineStr"/>
      <c r="BR4" s="706" t="inlineStr"/>
      <c r="BS4" s="706" t="inlineStr"/>
      <c r="BT4" s="706" t="inlineStr"/>
      <c r="BU4" s="706" t="inlineStr"/>
    </row>
    <row r="5" outlineLevel="1" ht="14.25" customFormat="1" customHeight="1" s="483">
      <c r="A5" s="733" t="n"/>
      <c r="B5" s="734" t="inlineStr">
        <is>
          <t>理财师017</t>
        </is>
      </c>
      <c r="C5" s="734" t="inlineStr">
        <is>
          <t>私人财富管理资深顾问PWA2-5</t>
        </is>
      </c>
      <c r="D5" s="735" t="n">
        <v>46204</v>
      </c>
      <c r="E5" s="735" t="n">
        <v>46387</v>
      </c>
      <c r="F5" s="734" t="n">
        <v>16727.04</v>
      </c>
      <c r="G5" s="734" t="n">
        <v>976.371819</v>
      </c>
      <c r="H5" s="734" t="n">
        <v>0</v>
      </c>
      <c r="I5" s="734" t="n">
        <v>0</v>
      </c>
      <c r="J5" s="734" t="n">
        <v>0</v>
      </c>
      <c r="K5" s="734">
        <f>SUM(H5:J5)</f>
        <v/>
      </c>
      <c r="L5" s="734" t="n">
        <v>158.14656</v>
      </c>
      <c r="M5" s="734" t="n">
        <v>0</v>
      </c>
      <c r="N5" s="734" t="n">
        <v>0</v>
      </c>
      <c r="O5" s="734">
        <f>SUM(L5:N5)</f>
        <v/>
      </c>
      <c r="P5" s="734" t="n">
        <v>549.4470219999999</v>
      </c>
      <c r="Q5" s="734" t="n">
        <v>0</v>
      </c>
      <c r="R5" s="734" t="n">
        <v>268.778237</v>
      </c>
      <c r="S5" s="734">
        <f>SUM(P5:R5)</f>
        <v/>
      </c>
      <c r="T5" s="734" t="n">
        <v>832.638851</v>
      </c>
      <c r="U5" s="734" t="n">
        <v>3261.7728</v>
      </c>
      <c r="V5" s="734" t="n">
        <v>555.368737</v>
      </c>
      <c r="W5" s="734">
        <f>SUM(T5:V5)</f>
        <v/>
      </c>
      <c r="X5" s="734" t="n">
        <v>593.9975920000001</v>
      </c>
      <c r="Y5" s="734" t="n">
        <v>0</v>
      </c>
      <c r="Z5" s="734" t="n">
        <v>382.045052</v>
      </c>
      <c r="AA5" s="734">
        <f>SUM(X5:Z5)</f>
        <v/>
      </c>
      <c r="AB5" s="734" t="n">
        <v>249.800095</v>
      </c>
      <c r="AC5" s="734" t="n">
        <v>5040.9216</v>
      </c>
      <c r="AD5" s="734" t="n">
        <v>342.801462</v>
      </c>
      <c r="AE5" s="734">
        <f>SUM(AB5:AD5)</f>
        <v/>
      </c>
      <c r="AF5" s="734" t="n">
        <v>1613.445926</v>
      </c>
      <c r="AG5" s="734" t="n">
        <v>0</v>
      </c>
      <c r="AH5" s="734" t="n">
        <v>488.407071</v>
      </c>
      <c r="AI5" s="734">
        <f>SUM(AF5:AH5)</f>
        <v/>
      </c>
      <c r="AJ5" s="734" t="n">
        <v>454.800547</v>
      </c>
      <c r="AK5" s="734" t="n">
        <v>0</v>
      </c>
      <c r="AL5" s="734" t="n">
        <v>289.117436</v>
      </c>
      <c r="AM5" s="734">
        <f>SUM(AJ5:AL5)</f>
        <v/>
      </c>
      <c r="AN5" s="734" t="n">
        <v>3311.566531</v>
      </c>
      <c r="AO5" s="372">
        <f>SUM(K5+O5+S5+W5+AA5+AE5+AI5+AM5+AN5)</f>
        <v/>
      </c>
      <c r="AP5" s="373">
        <f>IF(F5=0,"",K5/(F5/((YEAR(E5)*12+MONTH(E5))-(YEAR(D5)*12+MONTH(D5))+1)))</f>
        <v/>
      </c>
      <c r="AQ5" s="373">
        <f>G5/F5</f>
        <v/>
      </c>
      <c r="AR5" s="736">
        <f>F5-G5</f>
        <v/>
      </c>
      <c r="AS5" s="733" t="n"/>
      <c r="AT5" s="733" t="n"/>
      <c r="AU5" s="733" t="n"/>
      <c r="AV5" s="706" t="inlineStr"/>
      <c r="AW5" s="706" t="inlineStr"/>
      <c r="AX5" s="709" t="n">
        <v>46204</v>
      </c>
      <c r="AY5" s="709" t="n">
        <v>46387</v>
      </c>
      <c r="AZ5" s="706" t="inlineStr"/>
      <c r="BA5" s="706" t="inlineStr"/>
      <c r="BB5" s="706" t="inlineStr"/>
      <c r="BC5" s="706" t="inlineStr"/>
      <c r="BD5" s="706" t="inlineStr"/>
      <c r="BE5" s="706" t="inlineStr"/>
      <c r="BF5" s="706" t="inlineStr"/>
      <c r="BG5" s="706" t="inlineStr"/>
      <c r="BH5" s="706" t="inlineStr"/>
      <c r="BI5" s="706" t="inlineStr"/>
      <c r="BJ5" s="706" t="inlineStr"/>
      <c r="BK5" s="706" t="inlineStr"/>
      <c r="BL5" s="706" t="inlineStr"/>
      <c r="BM5" s="706" t="inlineStr"/>
      <c r="BN5" s="706" t="inlineStr"/>
      <c r="BO5" s="706" t="inlineStr"/>
      <c r="BP5" s="706" t="inlineStr"/>
      <c r="BQ5" s="706" t="inlineStr"/>
      <c r="BR5" s="706" t="inlineStr"/>
      <c r="BS5" s="706" t="inlineStr"/>
      <c r="BT5" s="706" t="inlineStr"/>
      <c r="BU5" s="706" t="inlineStr"/>
    </row>
    <row r="6" outlineLevel="1" ht="14.25" customFormat="1" customHeight="1" s="483">
      <c r="A6" s="733" t="n"/>
      <c r="B6" s="734" t="inlineStr">
        <is>
          <t>理财师018</t>
        </is>
      </c>
      <c r="C6" s="734" t="inlineStr">
        <is>
          <t>首席私人财富管理专家PWA5-1</t>
        </is>
      </c>
      <c r="D6" s="735" t="n">
        <v>46174</v>
      </c>
      <c r="E6" s="735" t="n">
        <v>46387</v>
      </c>
      <c r="F6" s="734" t="n">
        <v>54670.7161</v>
      </c>
      <c r="G6" s="734" t="n">
        <v>49595.136584</v>
      </c>
      <c r="H6" s="734" t="n">
        <v>232.365263</v>
      </c>
      <c r="I6" s="734" t="n">
        <v>0</v>
      </c>
      <c r="J6" s="734" t="n">
        <v>0</v>
      </c>
      <c r="K6" s="734">
        <f>SUM(H6:J6)</f>
        <v/>
      </c>
      <c r="L6" s="734" t="n">
        <v>1691.433104</v>
      </c>
      <c r="M6" s="734" t="n">
        <v>0</v>
      </c>
      <c r="N6" s="734" t="n">
        <v>0</v>
      </c>
      <c r="O6" s="734">
        <f>SUM(L6:N6)</f>
        <v/>
      </c>
      <c r="P6" s="734" t="n">
        <v>11371.418899</v>
      </c>
      <c r="Q6" s="734" t="n">
        <v>28777.196448</v>
      </c>
      <c r="R6" s="734" t="n">
        <v>2367.643353</v>
      </c>
      <c r="S6" s="734">
        <f>SUM(P6:R6)</f>
        <v/>
      </c>
      <c r="T6" s="734" t="n">
        <v>1893.590051</v>
      </c>
      <c r="U6" s="734" t="n">
        <v>0</v>
      </c>
      <c r="V6" s="734" t="n">
        <v>3261.489465</v>
      </c>
      <c r="W6" s="734">
        <f>SUM(T6:V6)</f>
        <v/>
      </c>
      <c r="X6" s="734" t="n">
        <v>15009.556327</v>
      </c>
      <c r="Y6" s="734" t="n">
        <v>0</v>
      </c>
      <c r="Z6" s="734" t="n">
        <v>1609.578423</v>
      </c>
      <c r="AA6" s="734">
        <f>SUM(X6:Z6)</f>
        <v/>
      </c>
      <c r="AB6" s="734" t="n">
        <v>3788.477067</v>
      </c>
      <c r="AC6" s="734" t="n">
        <v>0</v>
      </c>
      <c r="AD6" s="734" t="n">
        <v>1122.243766</v>
      </c>
      <c r="AE6" s="734">
        <f>SUM(AB6:AD6)</f>
        <v/>
      </c>
      <c r="AF6" s="734" t="n">
        <v>1444.66245</v>
      </c>
      <c r="AG6" s="734" t="n">
        <v>0</v>
      </c>
      <c r="AH6" s="734" t="n">
        <v>1063.763858</v>
      </c>
      <c r="AI6" s="734">
        <f>SUM(AF6:AH6)</f>
        <v/>
      </c>
      <c r="AJ6" s="734" t="n">
        <v>9688.821542</v>
      </c>
      <c r="AK6" s="734" t="n">
        <v>0</v>
      </c>
      <c r="AL6" s="734" t="n">
        <v>606.6776630000001</v>
      </c>
      <c r="AM6" s="734">
        <f>SUM(AJ6:AL6)</f>
        <v/>
      </c>
      <c r="AN6" s="734" t="n">
        <v>13116.995922</v>
      </c>
      <c r="AO6" s="372">
        <f>SUM(K6+O6+S6+W6+AA6+AE6+AI6+AM6+AN6)</f>
        <v/>
      </c>
      <c r="AP6" s="373">
        <f>IF(F6=0,"",K6/(F6/((YEAR(E6)*12+MONTH(E6))-(YEAR(D6)*12+MONTH(D6))+1)))</f>
        <v/>
      </c>
      <c r="AQ6" s="373">
        <f>G6/F6</f>
        <v/>
      </c>
      <c r="AR6" s="736">
        <f>F6-G6</f>
        <v/>
      </c>
      <c r="AS6" s="733" t="n"/>
      <c r="AT6" s="733" t="n"/>
      <c r="AU6" s="733" t="n"/>
      <c r="AV6" s="706" t="inlineStr"/>
      <c r="AW6" s="706" t="inlineStr"/>
      <c r="AX6" s="706" t="inlineStr">
        <is>
          <t>计算日期</t>
        </is>
      </c>
      <c r="AY6" s="706">
        <f>W5-V5</f>
        <v/>
      </c>
      <c r="AZ6" s="706" t="inlineStr">
        <is>
          <t>时间进度</t>
        </is>
      </c>
      <c r="BA6" s="706" t="inlineStr"/>
      <c r="BB6" s="706" t="inlineStr"/>
      <c r="BC6" s="706" t="inlineStr"/>
      <c r="BD6" s="706" t="inlineStr"/>
      <c r="BE6" s="706" t="inlineStr"/>
      <c r="BF6" s="706" t="inlineStr"/>
      <c r="BG6" s="706" t="inlineStr"/>
      <c r="BH6" s="706" t="inlineStr"/>
      <c r="BI6" s="706" t="inlineStr"/>
      <c r="BJ6" s="706" t="inlineStr"/>
      <c r="BK6" s="706" t="inlineStr"/>
      <c r="BL6" s="706" t="inlineStr"/>
      <c r="BM6" s="706" t="inlineStr"/>
      <c r="BN6" s="706" t="inlineStr"/>
      <c r="BO6" s="706" t="inlineStr"/>
      <c r="BP6" s="706" t="inlineStr"/>
      <c r="BQ6" s="706" t="inlineStr"/>
      <c r="BR6" s="706" t="inlineStr"/>
      <c r="BS6" s="706" t="inlineStr"/>
      <c r="BT6" s="706" t="inlineStr"/>
      <c r="BU6" s="706" t="inlineStr"/>
    </row>
    <row r="7" outlineLevel="1" ht="14.25" customFormat="1" customHeight="1" s="483">
      <c r="A7" s="733" t="n"/>
      <c r="B7" s="734" t="inlineStr">
        <is>
          <t>理财师019</t>
        </is>
      </c>
      <c r="C7" s="734" t="inlineStr">
        <is>
          <t>观察期PWA0-1</t>
        </is>
      </c>
      <c r="D7" s="735" t="n">
        <v>46204</v>
      </c>
      <c r="E7" s="735" t="n">
        <v>46387</v>
      </c>
      <c r="F7" s="734" t="n">
        <v>3595.62</v>
      </c>
      <c r="G7" s="734" t="n">
        <v>785.714744</v>
      </c>
      <c r="H7" s="734" t="n">
        <v>0</v>
      </c>
      <c r="I7" s="734" t="n">
        <v>0</v>
      </c>
      <c r="J7" s="734" t="n">
        <v>0</v>
      </c>
      <c r="K7" s="734">
        <f>SUM(H7:J7)</f>
        <v/>
      </c>
      <c r="L7" s="734" t="n">
        <v>0</v>
      </c>
      <c r="M7" s="734" t="n">
        <v>567.5943</v>
      </c>
      <c r="N7" s="734" t="n">
        <v>0</v>
      </c>
      <c r="O7" s="734">
        <f>SUM(L7:N7)</f>
        <v/>
      </c>
      <c r="P7" s="734" t="n">
        <v>191.980425</v>
      </c>
      <c r="Q7" s="734" t="n">
        <v>0</v>
      </c>
      <c r="R7" s="734" t="n">
        <v>26.140019</v>
      </c>
      <c r="S7" s="734">
        <f>SUM(P7:R7)</f>
        <v/>
      </c>
      <c r="T7" s="734" t="n">
        <v>125.538504</v>
      </c>
      <c r="U7" s="734" t="n">
        <v>0</v>
      </c>
      <c r="V7" s="734" t="n">
        <v>202.092562</v>
      </c>
      <c r="W7" s="734">
        <f>SUM(T7:V7)</f>
        <v/>
      </c>
      <c r="X7" s="734" t="n">
        <v>66.7758</v>
      </c>
      <c r="Y7" s="734" t="n">
        <v>0</v>
      </c>
      <c r="Z7" s="734" t="n">
        <v>22.323011</v>
      </c>
      <c r="AA7" s="734">
        <f>SUM(X7:Z7)</f>
        <v/>
      </c>
      <c r="AB7" s="734" t="n">
        <v>133.5516</v>
      </c>
      <c r="AC7" s="734" t="n">
        <v>0</v>
      </c>
      <c r="AD7" s="734" t="n">
        <v>22.107856</v>
      </c>
      <c r="AE7" s="734">
        <f>SUM(AB7:AD7)</f>
        <v/>
      </c>
      <c r="AF7" s="734" t="n">
        <v>500.150742</v>
      </c>
      <c r="AG7" s="734" t="n">
        <v>0</v>
      </c>
      <c r="AH7" s="734" t="n">
        <v>157.397938</v>
      </c>
      <c r="AI7" s="734">
        <f>SUM(AF7:AH7)</f>
        <v/>
      </c>
      <c r="AJ7" s="734" t="n">
        <v>267.1032</v>
      </c>
      <c r="AK7" s="734" t="n">
        <v>0</v>
      </c>
      <c r="AL7" s="734" t="n">
        <v>25.494675</v>
      </c>
      <c r="AM7" s="734">
        <f>SUM(AJ7:AL7)</f>
        <v/>
      </c>
      <c r="AN7" s="734" t="n">
        <v>2351.885696</v>
      </c>
      <c r="AO7" s="372">
        <f>SUM(K7+O7+S7+W7+AA7+AE7+AI7+AM7+AN7)</f>
        <v/>
      </c>
      <c r="AP7" s="373">
        <f>IF(F7=0,"",K7/(F7/((YEAR(E7)*12+MONTH(E7))-(YEAR(D7)*12+MONTH(D7))+1)))</f>
        <v/>
      </c>
      <c r="AQ7" s="373">
        <f>G7/F7</f>
        <v/>
      </c>
      <c r="AR7" s="736">
        <f>F7-G7</f>
        <v/>
      </c>
      <c r="AS7" s="733" t="n"/>
      <c r="AT7" s="733" t="n"/>
      <c r="AU7" s="733" t="n"/>
      <c r="AV7" s="706" t="inlineStr"/>
      <c r="AW7" s="706" t="inlineStr"/>
      <c r="AX7" s="709" t="n">
        <v>46269</v>
      </c>
      <c r="AY7" s="330">
        <f>AY5-AX5+1</f>
        <v/>
      </c>
      <c r="AZ7" s="331">
        <f>(AX7-AX5+1)/AY7</f>
        <v/>
      </c>
      <c r="BA7" s="706" t="inlineStr"/>
      <c r="BB7" s="706" t="inlineStr"/>
      <c r="BC7" s="706" t="inlineStr"/>
      <c r="BD7" s="706" t="inlineStr"/>
      <c r="BE7" s="706" t="inlineStr"/>
      <c r="BF7" s="706" t="inlineStr"/>
      <c r="BG7" s="706" t="inlineStr"/>
      <c r="BH7" s="706" t="inlineStr"/>
      <c r="BI7" s="706" t="inlineStr"/>
      <c r="BJ7" s="706" t="inlineStr"/>
      <c r="BK7" s="706" t="inlineStr"/>
      <c r="BL7" s="706" t="inlineStr"/>
      <c r="BM7" s="706" t="inlineStr"/>
      <c r="BN7" s="706" t="inlineStr"/>
      <c r="BO7" s="706" t="inlineStr"/>
      <c r="BP7" s="706" t="inlineStr"/>
      <c r="BQ7" s="706" t="inlineStr"/>
      <c r="BR7" s="706" t="inlineStr"/>
      <c r="BS7" s="706" t="inlineStr"/>
      <c r="BT7" s="706" t="inlineStr"/>
      <c r="BU7" s="706" t="inlineStr"/>
    </row>
    <row r="8" outlineLevel="1" ht="14.25" customFormat="1" customHeight="1" s="483">
      <c r="A8" s="737" t="n"/>
      <c r="B8" s="734" t="inlineStr">
        <is>
          <t>理财师025</t>
        </is>
      </c>
      <c r="C8" s="734" t="inlineStr">
        <is>
          <t>私人财富管理专家PWA4-5</t>
        </is>
      </c>
      <c r="D8" s="735" t="n">
        <v>46097</v>
      </c>
      <c r="E8" s="735" t="n">
        <v>46295</v>
      </c>
      <c r="F8" s="734" t="n">
        <v>34622.728767</v>
      </c>
      <c r="G8" s="734" t="n">
        <v>8070.969885</v>
      </c>
      <c r="H8" s="734" t="n">
        <v>0</v>
      </c>
      <c r="I8" s="734" t="n">
        <v>0</v>
      </c>
      <c r="J8" s="734" t="n">
        <v>0</v>
      </c>
      <c r="K8" s="734">
        <f>SUM(H8:J8)</f>
        <v/>
      </c>
      <c r="L8" s="734" t="n">
        <v>59.192078</v>
      </c>
      <c r="M8" s="734" t="n">
        <v>0</v>
      </c>
      <c r="N8" s="734" t="n">
        <v>0</v>
      </c>
      <c r="O8" s="734">
        <f>SUM(L8:N8)</f>
        <v/>
      </c>
      <c r="P8" s="734" t="n">
        <v>257.985</v>
      </c>
      <c r="Q8" s="734" t="n">
        <v>7079.164538</v>
      </c>
      <c r="R8" s="734" t="n">
        <v>74.758757</v>
      </c>
      <c r="S8" s="734">
        <f>SUM(P8:R8)</f>
        <v/>
      </c>
      <c r="T8" s="734" t="n">
        <v>95.21789800000001</v>
      </c>
      <c r="U8" s="734" t="n">
        <v>264.17664</v>
      </c>
      <c r="V8" s="734" t="n">
        <v>67.830038</v>
      </c>
      <c r="W8" s="734">
        <f>SUM(T8:V8)</f>
        <v/>
      </c>
      <c r="X8" s="734" t="n">
        <v>130.02444</v>
      </c>
      <c r="Y8" s="734" t="n">
        <v>0</v>
      </c>
      <c r="Z8" s="734" t="n">
        <v>16.066547</v>
      </c>
      <c r="AA8" s="734">
        <f>SUM(X8:Z8)</f>
        <v/>
      </c>
      <c r="AB8" s="734" t="n">
        <v>0</v>
      </c>
      <c r="AC8" s="734" t="n">
        <v>0</v>
      </c>
      <c r="AD8" s="734" t="n">
        <v>12.779778</v>
      </c>
      <c r="AE8" s="734">
        <f>SUM(AB8:AD8)</f>
        <v/>
      </c>
      <c r="AF8" s="734" t="n">
        <v>0</v>
      </c>
      <c r="AG8" s="734" t="n">
        <v>25509.5568</v>
      </c>
      <c r="AH8" s="734" t="n">
        <v>13.774172</v>
      </c>
      <c r="AI8" s="734">
        <f>SUM(AF8:AH8)</f>
        <v/>
      </c>
      <c r="AJ8" s="734" t="n">
        <v>41.2776</v>
      </c>
      <c r="AK8" s="734" t="n">
        <v>0</v>
      </c>
      <c r="AL8" s="734" t="n">
        <v>18.646322</v>
      </c>
      <c r="AM8" s="734">
        <f>SUM(AJ8:AL8)</f>
        <v/>
      </c>
      <c r="AN8" s="734" t="n">
        <v>683.02396</v>
      </c>
      <c r="AO8" s="372">
        <f>SUM(K8+O8+S8+W8+AA8+AE8+AI8+AM8+AN8)</f>
        <v/>
      </c>
      <c r="AP8" s="373">
        <f>IF(F8=0,"",K8/(F8/((YEAR(E8)*12+MONTH(E8))-(YEAR(D8)*12+MONTH(D8))+1)))</f>
        <v/>
      </c>
      <c r="AQ8" s="373">
        <f>G8/F8</f>
        <v/>
      </c>
      <c r="AR8" s="736">
        <f>F8-G8</f>
        <v/>
      </c>
      <c r="AS8" s="737" t="n"/>
      <c r="AT8" s="737" t="n"/>
      <c r="AU8" s="737" t="n"/>
      <c r="AV8" s="706" t="inlineStr"/>
      <c r="AW8" s="706" t="inlineStr"/>
      <c r="AX8" s="706" t="inlineStr"/>
      <c r="AY8" s="706" t="inlineStr"/>
      <c r="AZ8" s="706" t="inlineStr"/>
      <c r="BA8" s="706" t="inlineStr"/>
      <c r="BB8" s="706" t="inlineStr"/>
      <c r="BC8" s="706" t="inlineStr"/>
      <c r="BD8" s="706" t="inlineStr"/>
      <c r="BE8" s="706" t="inlineStr"/>
      <c r="BF8" s="706" t="inlineStr"/>
      <c r="BG8" s="706" t="inlineStr"/>
      <c r="BH8" s="706" t="inlineStr"/>
      <c r="BI8" s="706" t="inlineStr"/>
      <c r="BJ8" s="706" t="inlineStr"/>
      <c r="BK8" s="706" t="inlineStr"/>
      <c r="BL8" s="706" t="inlineStr"/>
      <c r="BM8" s="706" t="inlineStr"/>
      <c r="BN8" s="706" t="inlineStr"/>
      <c r="BO8" s="706" t="inlineStr"/>
      <c r="BP8" s="706" t="inlineStr"/>
      <c r="BQ8" s="706" t="inlineStr"/>
      <c r="BR8" s="706" t="inlineStr"/>
      <c r="BS8" s="706" t="inlineStr"/>
      <c r="BT8" s="706" t="inlineStr"/>
      <c r="BU8" s="706" t="inlineStr"/>
    </row>
    <row r="9" outlineLevel="1" ht="14.25" customFormat="1" customHeight="1" s="483">
      <c r="A9" s="738" t="inlineStr">
        <is>
          <t>合计</t>
        </is>
      </c>
      <c r="B9" s="739" t="n"/>
      <c r="C9" s="739" t="n"/>
      <c r="D9" s="739" t="n"/>
      <c r="E9" s="740" t="n"/>
      <c r="F9" s="379">
        <f>SUM(F4:F8)</f>
        <v/>
      </c>
      <c r="G9" s="738">
        <f>SUM(G4:G8)</f>
        <v/>
      </c>
      <c r="H9" s="738">
        <f>SUM(H4:H8)</f>
        <v/>
      </c>
      <c r="I9" s="738">
        <f>SUM(I4:I8)</f>
        <v/>
      </c>
      <c r="J9" s="738">
        <f>SUM(J4:J8)</f>
        <v/>
      </c>
      <c r="K9" s="738">
        <f>SUM(K4:K8)</f>
        <v/>
      </c>
      <c r="L9" s="738">
        <f>SUM(L4:L8)</f>
        <v/>
      </c>
      <c r="M9" s="738">
        <f>SUM(M4:M8)</f>
        <v/>
      </c>
      <c r="N9" s="738">
        <f>SUM(N4:N8)</f>
        <v/>
      </c>
      <c r="O9" s="738">
        <f>SUM(O4:O8)</f>
        <v/>
      </c>
      <c r="P9" s="738">
        <f>SUM(P4:P8)</f>
        <v/>
      </c>
      <c r="Q9" s="738">
        <f>SUM(Q4:Q8)</f>
        <v/>
      </c>
      <c r="R9" s="738">
        <f>SUM(R4:R8)</f>
        <v/>
      </c>
      <c r="S9" s="738">
        <f>SUM(S4:S8)</f>
        <v/>
      </c>
      <c r="T9" s="738">
        <f>SUM(T4:T8)</f>
        <v/>
      </c>
      <c r="U9" s="738">
        <f>SUM(U4:U8)</f>
        <v/>
      </c>
      <c r="V9" s="738">
        <f>SUM(V4:V8)</f>
        <v/>
      </c>
      <c r="W9" s="738">
        <f>SUM(W4:W8)</f>
        <v/>
      </c>
      <c r="X9" s="738">
        <f>SUM(X4:X8)</f>
        <v/>
      </c>
      <c r="Y9" s="738">
        <f>SUM(Y4:Y8)</f>
        <v/>
      </c>
      <c r="Z9" s="738">
        <f>SUM(Z4:Z8)</f>
        <v/>
      </c>
      <c r="AA9" s="738">
        <f>SUM(AA4:AA8)</f>
        <v/>
      </c>
      <c r="AB9" s="738">
        <f>SUM(AB4:AB8)</f>
        <v/>
      </c>
      <c r="AC9" s="738">
        <f>SUM(AC4:AC8)</f>
        <v/>
      </c>
      <c r="AD9" s="738">
        <f>SUM(AD4:AD8)</f>
        <v/>
      </c>
      <c r="AE9" s="738">
        <f>SUM(AE4:AE8)</f>
        <v/>
      </c>
      <c r="AF9" s="738">
        <f>SUM(AF4:AF8)</f>
        <v/>
      </c>
      <c r="AG9" s="738">
        <f>SUM(AG4:AG8)</f>
        <v/>
      </c>
      <c r="AH9" s="738">
        <f>SUM(AH4:AH8)</f>
        <v/>
      </c>
      <c r="AI9" s="738">
        <f>SUM(AI4:AI8)</f>
        <v/>
      </c>
      <c r="AJ9" s="738">
        <f>SUM(AJ4:AJ8)</f>
        <v/>
      </c>
      <c r="AK9" s="738">
        <f>SUM(AK4:AK8)</f>
        <v/>
      </c>
      <c r="AL9" s="738">
        <f>SUM(AL4:AL8)</f>
        <v/>
      </c>
      <c r="AM9" s="738">
        <f>SUM(AM4:AM8)</f>
        <v/>
      </c>
      <c r="AN9" s="738">
        <f>SUM(AN4:AN8)</f>
        <v/>
      </c>
      <c r="AO9" s="741">
        <f>SUM(K9+O9+S9+W9+AA9+AE9+AI9+AM9+AN9)</f>
        <v/>
      </c>
      <c r="AP9" s="381">
        <f>IF(F9=0,"",K9/(F9/((YEAR(E4)*12+MONTH(E4))-(YEAR(D4)*12+MONTH(D4))+1)))</f>
        <v/>
      </c>
      <c r="AQ9" s="382">
        <f>G9/F9</f>
        <v/>
      </c>
      <c r="AR9" s="741">
        <f>F9-G9</f>
        <v/>
      </c>
      <c r="AS9" s="383">
        <f>AS4</f>
        <v/>
      </c>
      <c r="AT9" s="381">
        <f>AO9/AS4</f>
        <v/>
      </c>
      <c r="AU9" s="742">
        <f>AS4-AO9</f>
        <v/>
      </c>
      <c r="AV9" s="713" t="inlineStr"/>
      <c r="AW9" s="713" t="inlineStr"/>
      <c r="AX9" s="340" t="n">
        <v>46136</v>
      </c>
      <c r="AY9" s="713" t="inlineStr"/>
      <c r="AZ9" s="341">
        <f>(AD10-DATE(YEAR(AD10),1,1)+1)/AE9</f>
        <v/>
      </c>
      <c r="BA9" s="713" t="inlineStr"/>
      <c r="BB9" s="713" t="inlineStr"/>
      <c r="BC9" s="713" t="inlineStr"/>
      <c r="BD9" s="713" t="inlineStr"/>
      <c r="BE9" s="713" t="inlineStr"/>
      <c r="BF9" s="713" t="inlineStr"/>
      <c r="BG9" s="713" t="inlineStr"/>
      <c r="BH9" s="713" t="inlineStr"/>
      <c r="BI9" s="713" t="inlineStr"/>
      <c r="BJ9" s="713" t="inlineStr"/>
      <c r="BK9" s="713" t="inlineStr"/>
      <c r="BL9" s="713" t="inlineStr"/>
      <c r="BM9" s="713" t="inlineStr"/>
      <c r="BN9" s="713" t="inlineStr"/>
      <c r="BO9" s="713" t="inlineStr"/>
      <c r="BP9" s="713" t="inlineStr"/>
      <c r="BQ9" s="713" t="inlineStr"/>
      <c r="BR9" s="713" t="inlineStr"/>
      <c r="BS9" s="713" t="inlineStr"/>
      <c r="BT9" s="713" t="inlineStr"/>
      <c r="BU9" s="713" t="inlineStr"/>
    </row>
    <row r="10" outlineLevel="1" ht="14.25" customFormat="1" customHeight="1" s="483">
      <c r="A10" s="729" t="inlineStr">
        <is>
          <t>理财师014</t>
        </is>
      </c>
      <c r="B10" s="729" t="inlineStr">
        <is>
          <t>理财师014</t>
        </is>
      </c>
      <c r="C10" s="729" t="inlineStr">
        <is>
          <t>私人财富管理专家PWA4-5</t>
        </is>
      </c>
      <c r="D10" s="730" t="n">
        <v>46204</v>
      </c>
      <c r="E10" s="730" t="n">
        <v>46387</v>
      </c>
      <c r="F10" s="729" t="n">
        <v>18162</v>
      </c>
      <c r="G10" s="729" t="n">
        <v>3636.80215</v>
      </c>
      <c r="H10" s="729" t="n">
        <v>359.850335</v>
      </c>
      <c r="I10" s="729" t="n">
        <v>0</v>
      </c>
      <c r="J10" s="729" t="n">
        <v>0</v>
      </c>
      <c r="K10" s="729">
        <f>SUM(H10:J10)</f>
        <v/>
      </c>
      <c r="L10" s="729" t="n">
        <v>243.667059</v>
      </c>
      <c r="M10" s="729" t="n">
        <v>0</v>
      </c>
      <c r="N10" s="729" t="n">
        <v>0</v>
      </c>
      <c r="O10" s="729">
        <f>SUM(L10:N10)</f>
        <v/>
      </c>
      <c r="P10" s="729" t="n">
        <v>2834.050594</v>
      </c>
      <c r="Q10" s="729" t="n">
        <v>0</v>
      </c>
      <c r="R10" s="729" t="n">
        <v>199.234162</v>
      </c>
      <c r="S10" s="729">
        <f>SUM(P10:R10)</f>
        <v/>
      </c>
      <c r="T10" s="729" t="n">
        <v>3599.205131</v>
      </c>
      <c r="U10" s="729" t="n">
        <v>0</v>
      </c>
      <c r="V10" s="729" t="n">
        <v>206.636572</v>
      </c>
      <c r="W10" s="729">
        <f>SUM(T10:V10)</f>
        <v/>
      </c>
      <c r="X10" s="729" t="n">
        <v>4233.38058</v>
      </c>
      <c r="Y10" s="729" t="n">
        <v>0</v>
      </c>
      <c r="Z10" s="729" t="n">
        <v>103.388547</v>
      </c>
      <c r="AA10" s="729">
        <f>SUM(X10:Z10)</f>
        <v/>
      </c>
      <c r="AB10" s="729" t="n">
        <v>2418.943367</v>
      </c>
      <c r="AC10" s="729" t="n">
        <v>2443.706261</v>
      </c>
      <c r="AD10" s="729" t="n">
        <v>88.105912</v>
      </c>
      <c r="AE10" s="729">
        <f>SUM(AB10:AD10)</f>
        <v/>
      </c>
      <c r="AF10" s="729" t="n">
        <v>2574.496213</v>
      </c>
      <c r="AG10" s="729" t="n">
        <v>2927.70165</v>
      </c>
      <c r="AH10" s="729" t="n">
        <v>154.748145</v>
      </c>
      <c r="AI10" s="729">
        <f>SUM(AF10:AH10)</f>
        <v/>
      </c>
      <c r="AJ10" s="729" t="n">
        <v>745.691219</v>
      </c>
      <c r="AK10" s="729" t="n">
        <v>2330.36622</v>
      </c>
      <c r="AL10" s="729" t="n">
        <v>72.478376</v>
      </c>
      <c r="AM10" s="729">
        <f>SUM(AJ10:AL10)</f>
        <v/>
      </c>
      <c r="AN10" s="729" t="n">
        <v>3042.835811</v>
      </c>
      <c r="AO10" s="363">
        <f>SUM(K10+O10+S10+W10+AA10+AE10+AI10+AM10+AN10)</f>
        <v/>
      </c>
      <c r="AP10" s="364">
        <f>IF(F10=0,"",K10/(F10/((YEAR(E10)*12+MONTH(E10))-(YEAR(D10)*12+MONTH(D10))+1)))</f>
        <v/>
      </c>
      <c r="AQ10" s="364">
        <f>G10/F10</f>
        <v/>
      </c>
      <c r="AR10" s="731">
        <f>F10-G10</f>
        <v/>
      </c>
      <c r="AS10" s="366">
        <f>SUM(F10:F13)</f>
        <v/>
      </c>
      <c r="AT10" s="367">
        <f>AT14</f>
        <v/>
      </c>
      <c r="AU10" s="732">
        <f>AU14</f>
        <v/>
      </c>
      <c r="AV10" s="706" t="inlineStr"/>
      <c r="AW10" s="706" t="inlineStr"/>
      <c r="AX10" s="706" t="inlineStr"/>
      <c r="AY10" s="706" t="inlineStr"/>
      <c r="AZ10" s="706" t="inlineStr"/>
      <c r="BA10" s="706" t="inlineStr"/>
      <c r="BB10" s="706" t="inlineStr"/>
      <c r="BC10" s="706" t="inlineStr"/>
      <c r="BD10" s="706" t="inlineStr"/>
      <c r="BE10" s="706" t="inlineStr"/>
      <c r="BF10" s="706" t="inlineStr"/>
      <c r="BG10" s="706" t="inlineStr"/>
      <c r="BH10" s="706" t="inlineStr"/>
      <c r="BI10" s="706" t="inlineStr"/>
      <c r="BJ10" s="706" t="inlineStr"/>
      <c r="BK10" s="706" t="inlineStr"/>
      <c r="BL10" s="706" t="inlineStr"/>
      <c r="BM10" s="706" t="inlineStr"/>
      <c r="BN10" s="706" t="inlineStr"/>
      <c r="BO10" s="706" t="inlineStr"/>
      <c r="BP10" s="706" t="inlineStr"/>
      <c r="BQ10" s="706" t="inlineStr"/>
      <c r="BR10" s="706" t="inlineStr"/>
      <c r="BS10" s="706" t="inlineStr"/>
      <c r="BT10" s="706" t="inlineStr"/>
      <c r="BU10" s="706" t="inlineStr"/>
    </row>
    <row r="11" outlineLevel="1" ht="14.25" customFormat="1" customHeight="1" s="483">
      <c r="A11" s="733" t="n"/>
      <c r="B11" s="734" t="inlineStr">
        <is>
          <t>理财师022</t>
        </is>
      </c>
      <c r="C11" s="734" t="inlineStr">
        <is>
          <t>观察期PWA0-1</t>
        </is>
      </c>
      <c r="D11" s="735" t="n">
        <v>46174</v>
      </c>
      <c r="E11" s="735" t="n">
        <v>46356</v>
      </c>
      <c r="F11" s="734" t="n">
        <v>5907.91</v>
      </c>
      <c r="G11" s="734" t="n">
        <v>5242.838518</v>
      </c>
      <c r="H11" s="734" t="n">
        <v>0</v>
      </c>
      <c r="I11" s="734" t="n">
        <v>0</v>
      </c>
      <c r="J11" s="734" t="n">
        <v>0</v>
      </c>
      <c r="K11" s="734">
        <f>SUM(H11:J11)</f>
        <v/>
      </c>
      <c r="L11" s="734" t="n">
        <v>0</v>
      </c>
      <c r="M11" s="734" t="n">
        <v>0</v>
      </c>
      <c r="N11" s="734" t="n">
        <v>0</v>
      </c>
      <c r="O11" s="734">
        <f>SUM(L11:N11)</f>
        <v/>
      </c>
      <c r="P11" s="734" t="n">
        <v>0</v>
      </c>
      <c r="Q11" s="734" t="n">
        <v>4869.403051</v>
      </c>
      <c r="R11" s="734" t="n">
        <v>33.172446</v>
      </c>
      <c r="S11" s="734">
        <f>SUM(P11:R11)</f>
        <v/>
      </c>
      <c r="T11" s="734" t="n">
        <v>304.3131</v>
      </c>
      <c r="U11" s="734" t="n">
        <v>0</v>
      </c>
      <c r="V11" s="734" t="n">
        <v>35.949921</v>
      </c>
      <c r="W11" s="734">
        <f>SUM(T11:V11)</f>
        <v/>
      </c>
      <c r="X11" s="734" t="n">
        <v>139.11456</v>
      </c>
      <c r="Y11" s="734" t="n">
        <v>2956.1844</v>
      </c>
      <c r="Z11" s="734" t="n">
        <v>14.716853</v>
      </c>
      <c r="AA11" s="734">
        <f>SUM(X11:Z11)</f>
        <v/>
      </c>
      <c r="AB11" s="734" t="n">
        <v>280.185418</v>
      </c>
      <c r="AC11" s="734" t="n">
        <v>773.505646</v>
      </c>
      <c r="AD11" s="734" t="n">
        <v>3.573146</v>
      </c>
      <c r="AE11" s="734">
        <f>SUM(AB11:AD11)</f>
        <v/>
      </c>
      <c r="AF11" s="734" t="n">
        <v>43.4733</v>
      </c>
      <c r="AG11" s="734" t="n">
        <v>0</v>
      </c>
      <c r="AH11" s="734" t="n">
        <v>10.334614</v>
      </c>
      <c r="AI11" s="734">
        <f>SUM(AF11:AH11)</f>
        <v/>
      </c>
      <c r="AJ11" s="734" t="n">
        <v>0</v>
      </c>
      <c r="AK11" s="734" t="n">
        <v>0</v>
      </c>
      <c r="AL11" s="734" t="n">
        <v>0</v>
      </c>
      <c r="AM11" s="734">
        <f>SUM(AJ11:AL11)</f>
        <v/>
      </c>
      <c r="AN11" s="734" t="n">
        <v>0</v>
      </c>
      <c r="AO11" s="372">
        <f>SUM(K11+O11+S11+W11+AA11+AE11+AI11+AM11+AN11)</f>
        <v/>
      </c>
      <c r="AP11" s="373">
        <f>IF(F11=0,"",K11/(F11/((YEAR(E11)*12+MONTH(E11))-(YEAR(D11)*12+MONTH(D11))+1)))</f>
        <v/>
      </c>
      <c r="AQ11" s="373">
        <f>G11/F11</f>
        <v/>
      </c>
      <c r="AR11" s="736">
        <f>F11-G11</f>
        <v/>
      </c>
      <c r="AS11" s="733" t="n"/>
      <c r="AT11" s="733" t="n"/>
      <c r="AU11" s="733" t="n"/>
      <c r="AV11" s="706" t="inlineStr"/>
      <c r="AW11" s="706" t="inlineStr"/>
      <c r="AX11" s="706" t="inlineStr"/>
      <c r="AY11" s="706" t="inlineStr"/>
      <c r="AZ11" s="706" t="inlineStr"/>
      <c r="BA11" s="706" t="inlineStr"/>
      <c r="BB11" s="706" t="inlineStr"/>
      <c r="BC11" s="706" t="inlineStr"/>
      <c r="BD11" s="706" t="inlineStr"/>
      <c r="BE11" s="706" t="inlineStr"/>
      <c r="BF11" s="706" t="inlineStr"/>
      <c r="BG11" s="706" t="inlineStr"/>
      <c r="BH11" s="706" t="inlineStr"/>
      <c r="BI11" s="706" t="inlineStr"/>
      <c r="BJ11" s="706" t="inlineStr"/>
      <c r="BK11" s="706" t="inlineStr"/>
      <c r="BL11" s="706" t="inlineStr"/>
      <c r="BM11" s="706" t="inlineStr"/>
      <c r="BN11" s="706" t="inlineStr"/>
      <c r="BO11" s="706" t="inlineStr"/>
      <c r="BP11" s="706" t="inlineStr"/>
      <c r="BQ11" s="706" t="inlineStr"/>
      <c r="BR11" s="706" t="inlineStr"/>
      <c r="BS11" s="706" t="inlineStr"/>
      <c r="BT11" s="706" t="inlineStr"/>
      <c r="BU11" s="706" t="inlineStr"/>
    </row>
    <row r="12" outlineLevel="1" ht="14.25" customFormat="1" customHeight="1" s="483">
      <c r="A12" s="733" t="n"/>
      <c r="B12" s="734" t="inlineStr">
        <is>
          <t>理财师013</t>
        </is>
      </c>
      <c r="C12" s="734" t="inlineStr">
        <is>
          <t>私人财富管理总监PWA3-3</t>
        </is>
      </c>
      <c r="D12" s="735" t="n">
        <v>46204</v>
      </c>
      <c r="E12" s="735" t="n">
        <v>46387</v>
      </c>
      <c r="F12" s="734" t="n">
        <v>21002.4</v>
      </c>
      <c r="G12" s="734" t="n">
        <v>8488.313873999999</v>
      </c>
      <c r="H12" s="734" t="n">
        <v>0</v>
      </c>
      <c r="I12" s="734" t="n">
        <v>0</v>
      </c>
      <c r="J12" s="734" t="n">
        <v>0</v>
      </c>
      <c r="K12" s="734">
        <f>SUM(H12:J12)</f>
        <v/>
      </c>
      <c r="L12" s="734" t="n">
        <v>2814.76055</v>
      </c>
      <c r="M12" s="734" t="n">
        <v>0</v>
      </c>
      <c r="N12" s="734" t="n">
        <v>0</v>
      </c>
      <c r="O12" s="734">
        <f>SUM(L12:N12)</f>
        <v/>
      </c>
      <c r="P12" s="734" t="n">
        <v>5487.872514</v>
      </c>
      <c r="Q12" s="734" t="n">
        <v>0</v>
      </c>
      <c r="R12" s="734" t="n">
        <v>185.68081</v>
      </c>
      <c r="S12" s="734">
        <f>SUM(P12:R12)</f>
        <v/>
      </c>
      <c r="T12" s="734" t="n">
        <v>5138.663789</v>
      </c>
      <c r="U12" s="734" t="n">
        <v>0</v>
      </c>
      <c r="V12" s="734" t="n">
        <v>787.892575</v>
      </c>
      <c r="W12" s="734">
        <f>SUM(T12:V12)</f>
        <v/>
      </c>
      <c r="X12" s="734" t="n">
        <v>527.86032</v>
      </c>
      <c r="Y12" s="734" t="n">
        <v>0</v>
      </c>
      <c r="Z12" s="734" t="n">
        <v>176.99322</v>
      </c>
      <c r="AA12" s="734">
        <f>SUM(X12:Z12)</f>
        <v/>
      </c>
      <c r="AB12" s="734" t="n">
        <v>5719.894428</v>
      </c>
      <c r="AC12" s="734" t="n">
        <v>0</v>
      </c>
      <c r="AD12" s="734" t="n">
        <v>170.991639</v>
      </c>
      <c r="AE12" s="734">
        <f>SUM(AB12:AD12)</f>
        <v/>
      </c>
      <c r="AF12" s="734" t="n">
        <v>2659.960961</v>
      </c>
      <c r="AG12" s="734" t="n">
        <v>0</v>
      </c>
      <c r="AH12" s="734" t="n">
        <v>743.622962</v>
      </c>
      <c r="AI12" s="734">
        <f>SUM(AF12:AH12)</f>
        <v/>
      </c>
      <c r="AJ12" s="734" t="n">
        <v>0</v>
      </c>
      <c r="AK12" s="734" t="n">
        <v>0</v>
      </c>
      <c r="AL12" s="734" t="n">
        <v>144.157177</v>
      </c>
      <c r="AM12" s="734">
        <f>SUM(AJ12:AL12)</f>
        <v/>
      </c>
      <c r="AN12" s="734" t="n">
        <v>6482.195956</v>
      </c>
      <c r="AO12" s="372">
        <f>SUM(K12+O12+S12+W12+AA12+AE12+AI12+AM12+AN12)</f>
        <v/>
      </c>
      <c r="AP12" s="373">
        <f>IF(F12=0,"",K12/(F12/((YEAR(E12)*12+MONTH(E12))-(YEAR(D12)*12+MONTH(D12))+1)))</f>
        <v/>
      </c>
      <c r="AQ12" s="373">
        <f>G12/F12</f>
        <v/>
      </c>
      <c r="AR12" s="736">
        <f>F12-G12</f>
        <v/>
      </c>
      <c r="AS12" s="733" t="n"/>
      <c r="AT12" s="733" t="n"/>
      <c r="AU12" s="733" t="n"/>
      <c r="AV12" s="706" t="inlineStr"/>
      <c r="AW12" s="706" t="inlineStr"/>
      <c r="AX12" s="706" t="inlineStr"/>
      <c r="AY12" s="706" t="inlineStr"/>
      <c r="AZ12" s="706" t="inlineStr"/>
      <c r="BA12" s="706" t="inlineStr"/>
      <c r="BB12" s="706" t="inlineStr"/>
      <c r="BC12" s="706" t="inlineStr"/>
      <c r="BD12" s="706" t="inlineStr"/>
      <c r="BE12" s="706" t="inlineStr"/>
      <c r="BF12" s="706" t="inlineStr"/>
      <c r="BG12" s="706" t="inlineStr"/>
      <c r="BH12" s="706" t="inlineStr"/>
      <c r="BI12" s="706" t="inlineStr"/>
      <c r="BJ12" s="706" t="inlineStr"/>
      <c r="BK12" s="706" t="inlineStr"/>
      <c r="BL12" s="706" t="inlineStr"/>
      <c r="BM12" s="706" t="inlineStr"/>
      <c r="BN12" s="706" t="inlineStr"/>
      <c r="BO12" s="706" t="inlineStr"/>
      <c r="BP12" s="706" t="inlineStr"/>
      <c r="BQ12" s="706" t="inlineStr"/>
      <c r="BR12" s="706" t="inlineStr"/>
      <c r="BS12" s="706" t="inlineStr"/>
      <c r="BT12" s="706" t="inlineStr"/>
      <c r="BU12" s="706" t="inlineStr"/>
    </row>
    <row r="13" outlineLevel="1" ht="14.25" customFormat="1" customHeight="1" s="483">
      <c r="A13" s="737" t="n"/>
      <c r="B13" s="734" t="inlineStr">
        <is>
          <t>理财师024</t>
        </is>
      </c>
      <c r="C13" s="734" t="inlineStr">
        <is>
          <t>私人财富管理总监PWA3-1</t>
        </is>
      </c>
      <c r="D13" s="735" t="n">
        <v>46204</v>
      </c>
      <c r="E13" s="735" t="n">
        <v>46387</v>
      </c>
      <c r="F13" s="734" t="n">
        <v>15122.64</v>
      </c>
      <c r="G13" s="734" t="n">
        <v>4253.028353</v>
      </c>
      <c r="H13" s="734" t="n">
        <v>199.251</v>
      </c>
      <c r="I13" s="734" t="n">
        <v>0</v>
      </c>
      <c r="J13" s="734" t="n">
        <v>0</v>
      </c>
      <c r="K13" s="734">
        <f>SUM(H13:J13)</f>
        <v/>
      </c>
      <c r="L13" s="734" t="n">
        <v>0</v>
      </c>
      <c r="M13" s="734" t="n">
        <v>0</v>
      </c>
      <c r="N13" s="734" t="n">
        <v>0</v>
      </c>
      <c r="O13" s="734">
        <f>SUM(L13:N13)</f>
        <v/>
      </c>
      <c r="P13" s="734" t="n">
        <v>3763.612289</v>
      </c>
      <c r="Q13" s="734" t="n">
        <v>0</v>
      </c>
      <c r="R13" s="734" t="n">
        <v>290.165065</v>
      </c>
      <c r="S13" s="734">
        <f>SUM(P13:R13)</f>
        <v/>
      </c>
      <c r="T13" s="734" t="n">
        <v>2826.176184</v>
      </c>
      <c r="U13" s="734" t="n">
        <v>0</v>
      </c>
      <c r="V13" s="734" t="n">
        <v>536.034869</v>
      </c>
      <c r="W13" s="734">
        <f>SUM(T13:V13)</f>
        <v/>
      </c>
      <c r="X13" s="734" t="n">
        <v>1000.951193</v>
      </c>
      <c r="Y13" s="734" t="n">
        <v>0</v>
      </c>
      <c r="Z13" s="734" t="n">
        <v>278.383375</v>
      </c>
      <c r="AA13" s="734">
        <f>SUM(X13:Z13)</f>
        <v/>
      </c>
      <c r="AB13" s="734" t="n">
        <v>3291.566745</v>
      </c>
      <c r="AC13" s="734" t="n">
        <v>0</v>
      </c>
      <c r="AD13" s="734" t="n">
        <v>242.965979</v>
      </c>
      <c r="AE13" s="734">
        <f>SUM(AB13:AD13)</f>
        <v/>
      </c>
      <c r="AF13" s="734" t="n">
        <v>3556.620439</v>
      </c>
      <c r="AG13" s="734" t="n">
        <v>0</v>
      </c>
      <c r="AH13" s="734" t="n">
        <v>446.103228</v>
      </c>
      <c r="AI13" s="734">
        <f>SUM(AF13:AH13)</f>
        <v/>
      </c>
      <c r="AJ13" s="734" t="n">
        <v>1054.327266</v>
      </c>
      <c r="AK13" s="734" t="n">
        <v>0</v>
      </c>
      <c r="AL13" s="734" t="n">
        <v>170.580309</v>
      </c>
      <c r="AM13" s="734">
        <f>SUM(AJ13:AL13)</f>
        <v/>
      </c>
      <c r="AN13" s="734" t="n">
        <v>692.512431</v>
      </c>
      <c r="AO13" s="372">
        <f>SUM(K13+O13+S13+W13+AA13+AE13+AI13+AM13+AN13)</f>
        <v/>
      </c>
      <c r="AP13" s="373">
        <f>IF(F13=0,"",K13/(F13/((YEAR(E13)*12+MONTH(E13))-(YEAR(D13)*12+MONTH(D13))+1)))</f>
        <v/>
      </c>
      <c r="AQ13" s="373">
        <f>G13/F13</f>
        <v/>
      </c>
      <c r="AR13" s="736">
        <f>F13-G13</f>
        <v/>
      </c>
      <c r="AS13" s="737" t="n"/>
      <c r="AT13" s="737" t="n"/>
      <c r="AU13" s="737" t="n"/>
      <c r="AV13" s="706" t="inlineStr"/>
      <c r="AW13" s="706" t="inlineStr"/>
      <c r="AX13" s="706" t="inlineStr"/>
      <c r="AY13" s="706" t="inlineStr"/>
      <c r="AZ13" s="706" t="inlineStr"/>
      <c r="BA13" s="706" t="inlineStr"/>
      <c r="BB13" s="706" t="inlineStr"/>
      <c r="BC13" s="706" t="inlineStr"/>
      <c r="BD13" s="706" t="inlineStr"/>
      <c r="BE13" s="706" t="inlineStr"/>
      <c r="BF13" s="706" t="inlineStr"/>
      <c r="BG13" s="706" t="inlineStr"/>
      <c r="BH13" s="706" t="inlineStr"/>
      <c r="BI13" s="706" t="inlineStr"/>
      <c r="BJ13" s="706" t="inlineStr"/>
      <c r="BK13" s="706" t="inlineStr"/>
      <c r="BL13" s="706" t="inlineStr"/>
      <c r="BM13" s="706" t="inlineStr"/>
      <c r="BN13" s="706" t="inlineStr"/>
      <c r="BO13" s="706" t="inlineStr"/>
      <c r="BP13" s="706" t="inlineStr"/>
      <c r="BQ13" s="706" t="inlineStr"/>
      <c r="BR13" s="706" t="inlineStr"/>
      <c r="BS13" s="706" t="inlineStr"/>
      <c r="BT13" s="706" t="inlineStr"/>
      <c r="BU13" s="706" t="inlineStr"/>
    </row>
    <row r="14" outlineLevel="1" ht="14.25" customFormat="1" customHeight="1" s="483">
      <c r="A14" s="738" t="inlineStr">
        <is>
          <t>合计</t>
        </is>
      </c>
      <c r="B14" s="739" t="n"/>
      <c r="C14" s="739" t="n"/>
      <c r="D14" s="739" t="n"/>
      <c r="E14" s="740" t="n"/>
      <c r="F14" s="379">
        <f>SUM(F10:F13)</f>
        <v/>
      </c>
      <c r="G14" s="738">
        <f>SUM(G10:G13)</f>
        <v/>
      </c>
      <c r="H14" s="738">
        <f>SUM(H10:H13)</f>
        <v/>
      </c>
      <c r="I14" s="738">
        <f>SUM(I10:I13)</f>
        <v/>
      </c>
      <c r="J14" s="738">
        <f>SUM(J10:J13)</f>
        <v/>
      </c>
      <c r="K14" s="738">
        <f>SUM(K10:K13)</f>
        <v/>
      </c>
      <c r="L14" s="738">
        <f>SUM(L10:L13)</f>
        <v/>
      </c>
      <c r="M14" s="738">
        <f>SUM(M10:M13)</f>
        <v/>
      </c>
      <c r="N14" s="738">
        <f>SUM(N10:N13)</f>
        <v/>
      </c>
      <c r="O14" s="738">
        <f>SUM(O10:O13)</f>
        <v/>
      </c>
      <c r="P14" s="738">
        <f>SUM(P10:P13)</f>
        <v/>
      </c>
      <c r="Q14" s="738">
        <f>SUM(Q10:Q13)</f>
        <v/>
      </c>
      <c r="R14" s="738">
        <f>SUM(R10:R13)</f>
        <v/>
      </c>
      <c r="S14" s="738">
        <f>SUM(S10:S13)</f>
        <v/>
      </c>
      <c r="T14" s="738">
        <f>SUM(T10:T13)</f>
        <v/>
      </c>
      <c r="U14" s="738">
        <f>SUM(U10:U13)</f>
        <v/>
      </c>
      <c r="V14" s="738">
        <f>SUM(V10:V13)</f>
        <v/>
      </c>
      <c r="W14" s="738">
        <f>SUM(W10:W13)</f>
        <v/>
      </c>
      <c r="X14" s="738">
        <f>SUM(X10:X13)</f>
        <v/>
      </c>
      <c r="Y14" s="738">
        <f>SUM(Y10:Y13)</f>
        <v/>
      </c>
      <c r="Z14" s="738">
        <f>SUM(Z10:Z13)</f>
        <v/>
      </c>
      <c r="AA14" s="738">
        <f>SUM(AA10:AA13)</f>
        <v/>
      </c>
      <c r="AB14" s="738">
        <f>SUM(AB10:AB13)</f>
        <v/>
      </c>
      <c r="AC14" s="738">
        <f>SUM(AC10:AC13)</f>
        <v/>
      </c>
      <c r="AD14" s="738">
        <f>SUM(AD10:AD13)</f>
        <v/>
      </c>
      <c r="AE14" s="738">
        <f>SUM(AE10:AE13)</f>
        <v/>
      </c>
      <c r="AF14" s="738">
        <f>SUM(AF10:AF13)</f>
        <v/>
      </c>
      <c r="AG14" s="738">
        <f>SUM(AG10:AG13)</f>
        <v/>
      </c>
      <c r="AH14" s="738">
        <f>SUM(AH10:AH13)</f>
        <v/>
      </c>
      <c r="AI14" s="738">
        <f>SUM(AI10:AI13)</f>
        <v/>
      </c>
      <c r="AJ14" s="738">
        <f>SUM(AJ10:AJ13)</f>
        <v/>
      </c>
      <c r="AK14" s="738">
        <f>SUM(AK10:AK13)</f>
        <v/>
      </c>
      <c r="AL14" s="738">
        <f>SUM(AL10:AL13)</f>
        <v/>
      </c>
      <c r="AM14" s="738">
        <f>SUM(AM10:AM13)</f>
        <v/>
      </c>
      <c r="AN14" s="738">
        <f>SUM(AN10:AN13)</f>
        <v/>
      </c>
      <c r="AO14" s="379">
        <f>SUM(K14+O14+S14+W14+AA14+AE14+AI14+AM14+AN14)</f>
        <v/>
      </c>
      <c r="AP14" s="381">
        <f>IF(F14=0,"",K14/(F14/((YEAR(E10)*12+MONTH(E10))-(YEAR(D10)*12+MONTH(D10))+1)))</f>
        <v/>
      </c>
      <c r="AQ14" s="382">
        <f>G14/F14</f>
        <v/>
      </c>
      <c r="AR14" s="743">
        <f>F14-G14</f>
        <v/>
      </c>
      <c r="AS14" s="383">
        <f>AS10</f>
        <v/>
      </c>
      <c r="AT14" s="381">
        <f>AO14/AS10</f>
        <v/>
      </c>
      <c r="AU14" s="742">
        <f>AS10-AO14</f>
        <v/>
      </c>
      <c r="AV14" s="713" t="inlineStr"/>
      <c r="AW14" s="713" t="inlineStr"/>
      <c r="AX14" s="713" t="inlineStr"/>
      <c r="AY14" s="713" t="inlineStr"/>
      <c r="AZ14" s="713" t="inlineStr"/>
      <c r="BA14" s="713" t="inlineStr"/>
      <c r="BB14" s="713" t="inlineStr"/>
      <c r="BC14" s="713" t="inlineStr"/>
      <c r="BD14" s="713" t="inlineStr"/>
      <c r="BE14" s="713" t="inlineStr"/>
      <c r="BF14" s="713" t="inlineStr"/>
      <c r="BG14" s="713" t="inlineStr"/>
      <c r="BH14" s="713" t="inlineStr"/>
      <c r="BI14" s="713" t="inlineStr"/>
      <c r="BJ14" s="713" t="inlineStr"/>
      <c r="BK14" s="713" t="inlineStr"/>
      <c r="BL14" s="713" t="inlineStr"/>
      <c r="BM14" s="713" t="inlineStr"/>
      <c r="BN14" s="713" t="inlineStr"/>
      <c r="BO14" s="713" t="inlineStr"/>
      <c r="BP14" s="713" t="inlineStr"/>
      <c r="BQ14" s="713" t="inlineStr"/>
      <c r="BR14" s="713" t="inlineStr"/>
      <c r="BS14" s="713" t="inlineStr"/>
      <c r="BT14" s="713" t="inlineStr"/>
      <c r="BU14" s="713" t="inlineStr"/>
    </row>
    <row r="15" outlineLevel="1" ht="14.25" customFormat="1" customHeight="1" s="483">
      <c r="A15" s="729" t="inlineStr">
        <is>
          <t>理财师007</t>
        </is>
      </c>
      <c r="B15" s="729" t="inlineStr">
        <is>
          <t>理财师023</t>
        </is>
      </c>
      <c r="C15" s="729" t="inlineStr">
        <is>
          <t>私人财富管理资深顾问PWA2-5</t>
        </is>
      </c>
      <c r="D15" s="730" t="n">
        <v>46204</v>
      </c>
      <c r="E15" s="730" t="n">
        <v>46387</v>
      </c>
      <c r="F15" s="729" t="n">
        <v>17806.8</v>
      </c>
      <c r="G15" s="729" t="n">
        <v>1652.29107</v>
      </c>
      <c r="H15" s="729" t="n">
        <v>0</v>
      </c>
      <c r="I15" s="729" t="n">
        <v>0</v>
      </c>
      <c r="J15" s="729" t="n">
        <v>0</v>
      </c>
      <c r="K15" s="729">
        <f>SUM(H15:J15)</f>
        <v/>
      </c>
      <c r="L15" s="729" t="n">
        <v>267.141588</v>
      </c>
      <c r="M15" s="729" t="n">
        <v>0</v>
      </c>
      <c r="N15" s="729" t="n">
        <v>0</v>
      </c>
      <c r="O15" s="729">
        <f>SUM(L15:N15)</f>
        <v/>
      </c>
      <c r="P15" s="729" t="n">
        <v>1190.323875</v>
      </c>
      <c r="Q15" s="729" t="n">
        <v>0</v>
      </c>
      <c r="R15" s="729" t="n">
        <v>194.825606</v>
      </c>
      <c r="S15" s="729">
        <f>SUM(P15:R15)</f>
        <v/>
      </c>
      <c r="T15" s="729" t="n">
        <v>1521.715752</v>
      </c>
      <c r="U15" s="729" t="n">
        <v>14101.410508</v>
      </c>
      <c r="V15" s="729" t="n">
        <v>201.494206</v>
      </c>
      <c r="W15" s="729">
        <f>SUM(T15:V15)</f>
        <v/>
      </c>
      <c r="X15" s="729" t="n">
        <v>1776.618655</v>
      </c>
      <c r="Y15" s="729" t="n">
        <v>0</v>
      </c>
      <c r="Z15" s="729" t="n">
        <v>64.972886</v>
      </c>
      <c r="AA15" s="729">
        <f>SUM(X15:Z15)</f>
        <v/>
      </c>
      <c r="AB15" s="729" t="n">
        <v>2171.402323</v>
      </c>
      <c r="AC15" s="729" t="n">
        <v>0</v>
      </c>
      <c r="AD15" s="729" t="n">
        <v>15.631431</v>
      </c>
      <c r="AE15" s="729">
        <f>SUM(AB15:AD15)</f>
        <v/>
      </c>
      <c r="AF15" s="729" t="n">
        <v>1305.1575</v>
      </c>
      <c r="AG15" s="729" t="n">
        <v>1178.4864</v>
      </c>
      <c r="AH15" s="729" t="n">
        <v>22.441342</v>
      </c>
      <c r="AI15" s="729">
        <f>SUM(AF15:AH15)</f>
        <v/>
      </c>
      <c r="AJ15" s="729" t="n">
        <v>0</v>
      </c>
      <c r="AK15" s="729" t="n">
        <v>0</v>
      </c>
      <c r="AL15" s="729" t="n">
        <v>15.177921</v>
      </c>
      <c r="AM15" s="729">
        <f>SUM(AJ15:AL15)</f>
        <v/>
      </c>
      <c r="AN15" s="729" t="n">
        <v>2630.55</v>
      </c>
      <c r="AO15" s="744">
        <f>SUM(K15+O15+S15+W15+AA15+AE15+AI15+AM15+AN15)</f>
        <v/>
      </c>
      <c r="AP15" s="364">
        <f>IF(F15=0,"",K15/(F15/((YEAR(E15)*12+MONTH(E15))-(YEAR(D15)*12+MONTH(D15))+1)))</f>
        <v/>
      </c>
      <c r="AQ15" s="364">
        <f>G15/F15</f>
        <v/>
      </c>
      <c r="AR15" s="744">
        <f>F15-G15</f>
        <v/>
      </c>
      <c r="AS15" s="366">
        <f>SUM(F15:F17)</f>
        <v/>
      </c>
      <c r="AT15" s="367">
        <f>AT18</f>
        <v/>
      </c>
      <c r="AU15" s="745">
        <f>AU18</f>
        <v/>
      </c>
      <c r="AV15" s="706" t="inlineStr"/>
      <c r="AW15" s="706" t="inlineStr"/>
      <c r="AX15" s="706" t="inlineStr"/>
      <c r="AY15" s="706" t="inlineStr"/>
      <c r="AZ15" s="706" t="inlineStr"/>
      <c r="BA15" s="706" t="inlineStr"/>
      <c r="BB15" s="706" t="inlineStr"/>
      <c r="BC15" s="706" t="inlineStr"/>
      <c r="BD15" s="706" t="inlineStr"/>
      <c r="BE15" s="706" t="inlineStr"/>
      <c r="BF15" s="706" t="inlineStr"/>
      <c r="BG15" s="706" t="inlineStr"/>
      <c r="BH15" s="706" t="inlineStr"/>
      <c r="BI15" s="706" t="inlineStr"/>
      <c r="BJ15" s="706" t="inlineStr"/>
      <c r="BK15" s="706" t="inlineStr"/>
      <c r="BL15" s="706" t="inlineStr"/>
      <c r="BM15" s="706" t="inlineStr"/>
      <c r="BN15" s="706" t="inlineStr"/>
      <c r="BO15" s="706" t="inlineStr"/>
      <c r="BP15" s="706" t="inlineStr"/>
      <c r="BQ15" s="706" t="inlineStr"/>
      <c r="BR15" s="706" t="inlineStr"/>
      <c r="BS15" s="706" t="inlineStr"/>
      <c r="BT15" s="706" t="inlineStr"/>
      <c r="BU15" s="706" t="inlineStr"/>
    </row>
    <row r="16" outlineLevel="1" ht="14.25" customFormat="1" customHeight="1" s="483">
      <c r="A16" s="733" t="n"/>
      <c r="B16" s="734" t="inlineStr">
        <is>
          <t>理财师035</t>
        </is>
      </c>
      <c r="C16" s="734" t="inlineStr"/>
      <c r="D16" s="735" t="n">
        <v>46052</v>
      </c>
      <c r="E16" s="735" t="n">
        <v>46232</v>
      </c>
      <c r="F16" s="734" t="n">
        <v>0</v>
      </c>
      <c r="G16" s="734" t="n">
        <v>5598.599415</v>
      </c>
      <c r="H16" s="734" t="n">
        <v>0</v>
      </c>
      <c r="I16" s="734" t="n">
        <v>0</v>
      </c>
      <c r="J16" s="734" t="n">
        <v>0</v>
      </c>
      <c r="K16" s="734">
        <f>SUM(H16:J16)</f>
        <v/>
      </c>
      <c r="L16" s="734" t="n">
        <v>1774.64196</v>
      </c>
      <c r="M16" s="734" t="n">
        <v>0</v>
      </c>
      <c r="N16" s="734" t="n">
        <v>0</v>
      </c>
      <c r="O16" s="734">
        <f>SUM(L16:N16)</f>
        <v/>
      </c>
      <c r="P16" s="734" t="n">
        <v>683.565792</v>
      </c>
      <c r="Q16" s="734" t="n">
        <v>0</v>
      </c>
      <c r="R16" s="734" t="n">
        <v>24.884003</v>
      </c>
      <c r="S16" s="734">
        <f>SUM(P16:R16)</f>
        <v/>
      </c>
      <c r="T16" s="734" t="n">
        <v>412.205196</v>
      </c>
      <c r="U16" s="734" t="n">
        <v>0</v>
      </c>
      <c r="V16" s="734" t="n">
        <v>61.849591</v>
      </c>
      <c r="W16" s="734">
        <f>SUM(T16:V16)</f>
        <v/>
      </c>
      <c r="X16" s="734" t="n">
        <v>539.9043</v>
      </c>
      <c r="Y16" s="734" t="n">
        <v>1859.14872</v>
      </c>
      <c r="Z16" s="734" t="n">
        <v>44.064709</v>
      </c>
      <c r="AA16" s="734">
        <f>SUM(X16:Z16)</f>
        <v/>
      </c>
      <c r="AB16" s="734" t="n">
        <v>0</v>
      </c>
      <c r="AC16" s="734" t="n">
        <v>0</v>
      </c>
      <c r="AD16" s="734" t="n">
        <v>43.453355</v>
      </c>
      <c r="AE16" s="734">
        <f>SUM(AB16:AD16)</f>
        <v/>
      </c>
      <c r="AF16" s="734" t="n">
        <v>0</v>
      </c>
      <c r="AG16" s="734" t="n">
        <v>1943.65548</v>
      </c>
      <c r="AH16" s="734" t="n">
        <v>10.752272</v>
      </c>
      <c r="AI16" s="734">
        <f>SUM(AF16:AH16)</f>
        <v/>
      </c>
      <c r="AJ16" s="734" t="n">
        <v>0</v>
      </c>
      <c r="AK16" s="734" t="n">
        <v>0</v>
      </c>
      <c r="AL16" s="734" t="n">
        <v>0</v>
      </c>
      <c r="AM16" s="734">
        <f>SUM(AJ16:AL16)</f>
        <v/>
      </c>
      <c r="AN16" s="734" t="n">
        <v>0</v>
      </c>
      <c r="AO16" s="372">
        <f>SUM(K16+O16+S16+W16+AA16+AE16+AI16+AM16+AN16)</f>
        <v/>
      </c>
      <c r="AP16" s="373">
        <f>IF(F16=0,"",K16/(F16/MAX(1,(YEAR(E16)*12+MONTH(E16))-(YEAR(D16)*12+MONTH(D16))+1)))</f>
        <v/>
      </c>
      <c r="AQ16" s="373">
        <f>G16/F16</f>
        <v/>
      </c>
      <c r="AR16" s="736">
        <f>F16-G16</f>
        <v/>
      </c>
      <c r="AS16" s="733" t="n"/>
      <c r="AT16" s="733" t="n"/>
      <c r="AU16" s="733" t="n"/>
      <c r="AV16" s="706" t="inlineStr"/>
      <c r="AW16" s="706" t="inlineStr"/>
      <c r="AX16" s="706" t="inlineStr"/>
      <c r="AY16" s="706" t="inlineStr"/>
      <c r="AZ16" s="706" t="inlineStr"/>
      <c r="BA16" s="706" t="inlineStr"/>
      <c r="BB16" s="706" t="inlineStr"/>
      <c r="BC16" s="706" t="inlineStr"/>
      <c r="BD16" s="706" t="inlineStr"/>
      <c r="BE16" s="706" t="inlineStr"/>
      <c r="BF16" s="706" t="inlineStr"/>
      <c r="BG16" s="706" t="inlineStr"/>
      <c r="BH16" s="706" t="inlineStr"/>
      <c r="BI16" s="706" t="inlineStr"/>
      <c r="BJ16" s="706" t="inlineStr"/>
      <c r="BK16" s="706" t="inlineStr"/>
      <c r="BL16" s="706" t="inlineStr"/>
      <c r="BM16" s="706" t="inlineStr"/>
      <c r="BN16" s="706" t="inlineStr"/>
      <c r="BO16" s="706" t="inlineStr"/>
      <c r="BP16" s="706" t="inlineStr"/>
      <c r="BQ16" s="706" t="inlineStr"/>
      <c r="BR16" s="706" t="inlineStr"/>
      <c r="BS16" s="706" t="inlineStr"/>
      <c r="BT16" s="706" t="inlineStr"/>
      <c r="BU16" s="706" t="inlineStr"/>
    </row>
    <row r="17" outlineLevel="1" ht="14.25" customFormat="1" customHeight="1" s="483">
      <c r="A17" s="737" t="n"/>
      <c r="B17" s="734" t="inlineStr">
        <is>
          <t>理财师007</t>
        </is>
      </c>
      <c r="C17" s="734" t="inlineStr">
        <is>
          <t>私人财富管理专家PWA4-4</t>
        </is>
      </c>
      <c r="D17" s="735" t="n">
        <v>46204</v>
      </c>
      <c r="E17" s="735" t="n">
        <v>46387</v>
      </c>
      <c r="F17" s="734" t="n">
        <v>31044.75</v>
      </c>
      <c r="G17" s="734" t="n">
        <v>6116.960879</v>
      </c>
      <c r="H17" s="734" t="n">
        <v>543.316428</v>
      </c>
      <c r="I17" s="734" t="n">
        <v>0</v>
      </c>
      <c r="J17" s="734" t="n">
        <v>0</v>
      </c>
      <c r="K17" s="734">
        <f>SUM(H17:J17)</f>
        <v/>
      </c>
      <c r="L17" s="734" t="n">
        <v>1549.2344</v>
      </c>
      <c r="M17" s="734" t="n">
        <v>0</v>
      </c>
      <c r="N17" s="734" t="n">
        <v>0</v>
      </c>
      <c r="O17" s="734">
        <f>SUM(L17:N17)</f>
        <v/>
      </c>
      <c r="P17" s="734" t="n">
        <v>3697.687679</v>
      </c>
      <c r="Q17" s="734" t="n">
        <v>0</v>
      </c>
      <c r="R17" s="734" t="n">
        <v>326.722372</v>
      </c>
      <c r="S17" s="734">
        <f>SUM(P17:R17)</f>
        <v/>
      </c>
      <c r="T17" s="734" t="n">
        <v>4030.216259</v>
      </c>
      <c r="U17" s="734" t="n">
        <v>0</v>
      </c>
      <c r="V17" s="734" t="n">
        <v>591.792457</v>
      </c>
      <c r="W17" s="734">
        <f>SUM(T17:V17)</f>
        <v/>
      </c>
      <c r="X17" s="734" t="n">
        <v>1274.903482</v>
      </c>
      <c r="Y17" s="734" t="n">
        <v>3566.1951</v>
      </c>
      <c r="Z17" s="734" t="n">
        <v>343.572179</v>
      </c>
      <c r="AA17" s="734">
        <f>SUM(X17:Z17)</f>
        <v/>
      </c>
      <c r="AB17" s="734" t="n">
        <v>2660.12632</v>
      </c>
      <c r="AC17" s="734" t="n">
        <v>0</v>
      </c>
      <c r="AD17" s="734" t="n">
        <v>331.400492</v>
      </c>
      <c r="AE17" s="734">
        <f>SUM(AB17:AD17)</f>
        <v/>
      </c>
      <c r="AF17" s="734" t="n">
        <v>3406.959578</v>
      </c>
      <c r="AG17" s="734" t="n">
        <v>14793.1056</v>
      </c>
      <c r="AH17" s="734" t="n">
        <v>606.358521</v>
      </c>
      <c r="AI17" s="734">
        <f>SUM(AF17:AH17)</f>
        <v/>
      </c>
      <c r="AJ17" s="734" t="n">
        <v>3557.362586</v>
      </c>
      <c r="AK17" s="734" t="n">
        <v>0</v>
      </c>
      <c r="AL17" s="734" t="n">
        <v>301.023526</v>
      </c>
      <c r="AM17" s="734">
        <f>SUM(AJ17:AL17)</f>
        <v/>
      </c>
      <c r="AN17" s="734" t="n">
        <v>8988.571889000001</v>
      </c>
      <c r="AO17" s="372">
        <f>SUM(K17+O17+S17+W17+AA17+AE17+AI17+AM17+AN17)</f>
        <v/>
      </c>
      <c r="AP17" s="373">
        <f>IF(F17=0,"",K17/(F17/((YEAR(E17)*12+MONTH(E17))-(YEAR(D17)*12+MONTH(D17))+1)))</f>
        <v/>
      </c>
      <c r="AQ17" s="373">
        <f>G17/F17</f>
        <v/>
      </c>
      <c r="AR17" s="736">
        <f>F17-G17</f>
        <v/>
      </c>
      <c r="AS17" s="737" t="n"/>
      <c r="AT17" s="737" t="n"/>
      <c r="AU17" s="737" t="n"/>
      <c r="AV17" s="706" t="inlineStr"/>
      <c r="AW17" s="706" t="inlineStr"/>
      <c r="AX17" s="706" t="inlineStr"/>
      <c r="AY17" s="706" t="inlineStr"/>
      <c r="AZ17" s="706" t="inlineStr"/>
      <c r="BA17" s="706" t="inlineStr"/>
      <c r="BB17" s="706" t="inlineStr"/>
      <c r="BC17" s="706" t="inlineStr"/>
      <c r="BD17" s="706" t="inlineStr"/>
      <c r="BE17" s="706" t="inlineStr"/>
      <c r="BF17" s="706" t="inlineStr"/>
      <c r="BG17" s="706" t="inlineStr"/>
      <c r="BH17" s="706" t="inlineStr"/>
      <c r="BI17" s="706" t="inlineStr"/>
      <c r="BJ17" s="706" t="inlineStr"/>
      <c r="BK17" s="706" t="inlineStr"/>
      <c r="BL17" s="706" t="inlineStr"/>
      <c r="BM17" s="706" t="inlineStr"/>
      <c r="BN17" s="706" t="inlineStr"/>
      <c r="BO17" s="706" t="inlineStr"/>
      <c r="BP17" s="706" t="inlineStr"/>
      <c r="BQ17" s="706" t="inlineStr"/>
      <c r="BR17" s="706" t="inlineStr"/>
      <c r="BS17" s="706" t="inlineStr"/>
      <c r="BT17" s="706" t="inlineStr"/>
      <c r="BU17" s="706" t="inlineStr"/>
    </row>
    <row r="18" outlineLevel="1" ht="14.25" customFormat="1" customHeight="1" s="483">
      <c r="A18" s="738" t="inlineStr">
        <is>
          <t>合计</t>
        </is>
      </c>
      <c r="B18" s="739" t="n"/>
      <c r="C18" s="739" t="n"/>
      <c r="D18" s="739" t="n"/>
      <c r="E18" s="740" t="n"/>
      <c r="F18" s="379">
        <f>SUM(F15:F17)</f>
        <v/>
      </c>
      <c r="G18" s="738">
        <f>SUM(G15:G17)</f>
        <v/>
      </c>
      <c r="H18" s="738">
        <f>SUM(H15:H17)</f>
        <v/>
      </c>
      <c r="I18" s="738">
        <f>SUM(I15:I17)</f>
        <v/>
      </c>
      <c r="J18" s="738">
        <f>SUM(J15:J17)</f>
        <v/>
      </c>
      <c r="K18" s="738">
        <f>SUM(K15:K17)</f>
        <v/>
      </c>
      <c r="L18" s="738">
        <f>SUM(L15:L17)</f>
        <v/>
      </c>
      <c r="M18" s="738">
        <f>SUM(M15:M17)</f>
        <v/>
      </c>
      <c r="N18" s="738">
        <f>SUM(N15:N17)</f>
        <v/>
      </c>
      <c r="O18" s="738">
        <f>SUM(O15:O17)</f>
        <v/>
      </c>
      <c r="P18" s="738">
        <f>SUM(P15:P17)</f>
        <v/>
      </c>
      <c r="Q18" s="738">
        <f>SUM(Q15:Q17)</f>
        <v/>
      </c>
      <c r="R18" s="738">
        <f>SUM(R15:R17)</f>
        <v/>
      </c>
      <c r="S18" s="738">
        <f>SUM(S15:S17)</f>
        <v/>
      </c>
      <c r="T18" s="738">
        <f>SUM(T15:T17)</f>
        <v/>
      </c>
      <c r="U18" s="738">
        <f>SUM(U15:U17)</f>
        <v/>
      </c>
      <c r="V18" s="738">
        <f>SUM(V15:V17)</f>
        <v/>
      </c>
      <c r="W18" s="738">
        <f>SUM(W15:W17)</f>
        <v/>
      </c>
      <c r="X18" s="738">
        <f>SUM(X15:X17)</f>
        <v/>
      </c>
      <c r="Y18" s="738">
        <f>SUM(Y15:Y17)</f>
        <v/>
      </c>
      <c r="Z18" s="738">
        <f>SUM(Z15:Z17)</f>
        <v/>
      </c>
      <c r="AA18" s="738">
        <f>SUM(AA15:AA17)</f>
        <v/>
      </c>
      <c r="AB18" s="738">
        <f>SUM(AB15:AB17)</f>
        <v/>
      </c>
      <c r="AC18" s="738">
        <f>SUM(AC15:AC17)</f>
        <v/>
      </c>
      <c r="AD18" s="738">
        <f>SUM(AD15:AD17)</f>
        <v/>
      </c>
      <c r="AE18" s="738">
        <f>SUM(AE15:AE17)</f>
        <v/>
      </c>
      <c r="AF18" s="738">
        <f>SUM(AF15:AF17)</f>
        <v/>
      </c>
      <c r="AG18" s="738">
        <f>SUM(AG15:AG17)</f>
        <v/>
      </c>
      <c r="AH18" s="738">
        <f>SUM(AH15:AH17)</f>
        <v/>
      </c>
      <c r="AI18" s="738">
        <f>SUM(AI15:AI17)</f>
        <v/>
      </c>
      <c r="AJ18" s="738">
        <f>SUM(AJ15:AJ17)</f>
        <v/>
      </c>
      <c r="AK18" s="738">
        <f>SUM(AK15:AK17)</f>
        <v/>
      </c>
      <c r="AL18" s="738">
        <f>SUM(AL15:AL17)</f>
        <v/>
      </c>
      <c r="AM18" s="738">
        <f>SUM(AM15:AM17)</f>
        <v/>
      </c>
      <c r="AN18" s="738">
        <f>SUM(AN15:AN17)</f>
        <v/>
      </c>
      <c r="AO18" s="379">
        <f>SUM(K18+O18+S18+W18+AA18+AE18+AI18+AM18+AN18)</f>
        <v/>
      </c>
      <c r="AP18" s="381">
        <f>IF(F18=0,"",K18/(F18/((YEAR(E15)*12+MONTH(E15))-(YEAR(D15)*12+MONTH(D15))+1)))</f>
        <v/>
      </c>
      <c r="AQ18" s="382">
        <f>G18/F18</f>
        <v/>
      </c>
      <c r="AR18" s="743">
        <f>F18-G18</f>
        <v/>
      </c>
      <c r="AS18" s="383">
        <f>AS15</f>
        <v/>
      </c>
      <c r="AT18" s="381">
        <f>AO18/AS15</f>
        <v/>
      </c>
      <c r="AU18" s="742">
        <f>AS15-AO18</f>
        <v/>
      </c>
      <c r="AV18" s="713" t="inlineStr"/>
      <c r="AW18" s="713" t="inlineStr"/>
      <c r="AX18" s="713" t="inlineStr"/>
      <c r="AY18" s="713" t="inlineStr"/>
      <c r="AZ18" s="713" t="inlineStr"/>
      <c r="BA18" s="713" t="inlineStr"/>
      <c r="BB18" s="713" t="inlineStr"/>
      <c r="BC18" s="713" t="inlineStr"/>
      <c r="BD18" s="713" t="inlineStr"/>
      <c r="BE18" s="713" t="inlineStr"/>
      <c r="BF18" s="713" t="inlineStr"/>
      <c r="BG18" s="713" t="inlineStr"/>
      <c r="BH18" s="713" t="inlineStr"/>
      <c r="BI18" s="713" t="inlineStr"/>
      <c r="BJ18" s="713" t="inlineStr"/>
      <c r="BK18" s="713" t="inlineStr"/>
      <c r="BL18" s="713" t="inlineStr"/>
      <c r="BM18" s="713" t="inlineStr"/>
      <c r="BN18" s="713" t="inlineStr"/>
      <c r="BO18" s="713" t="inlineStr"/>
      <c r="BP18" s="713" t="inlineStr"/>
      <c r="BQ18" s="713" t="inlineStr"/>
      <c r="BR18" s="713" t="inlineStr"/>
      <c r="BS18" s="713" t="inlineStr"/>
      <c r="BT18" s="713" t="inlineStr"/>
      <c r="BU18" s="713" t="inlineStr"/>
    </row>
    <row r="19" outlineLevel="1" ht="14.25" customFormat="1" customHeight="1" s="483">
      <c r="A19" s="729" t="inlineStr">
        <is>
          <t>理财师016</t>
        </is>
      </c>
      <c r="B19" s="729" t="inlineStr">
        <is>
          <t>理财师028</t>
        </is>
      </c>
      <c r="C19" s="729" t="inlineStr">
        <is>
          <t>私人财富管理专家PWA4-5</t>
        </is>
      </c>
      <c r="D19" s="730" t="n">
        <v>46001</v>
      </c>
      <c r="E19" s="730" t="n">
        <v>46182</v>
      </c>
      <c r="F19" s="729" t="n">
        <v>23502</v>
      </c>
      <c r="G19" s="729" t="n">
        <v>337.57095</v>
      </c>
      <c r="H19" s="729" t="n">
        <v>0</v>
      </c>
      <c r="I19" s="729" t="n">
        <v>0</v>
      </c>
      <c r="J19" s="729" t="n">
        <v>0</v>
      </c>
      <c r="K19" s="729">
        <f>SUM(H19:J19)</f>
        <v/>
      </c>
      <c r="L19" s="729" t="n">
        <v>0</v>
      </c>
      <c r="M19" s="729" t="n">
        <v>0</v>
      </c>
      <c r="N19" s="729" t="n">
        <v>0</v>
      </c>
      <c r="O19" s="729">
        <f>SUM(L19:N19)</f>
        <v/>
      </c>
      <c r="P19" s="729" t="n">
        <v>76.3815</v>
      </c>
      <c r="Q19" s="729" t="n">
        <v>0</v>
      </c>
      <c r="R19" s="729" t="n">
        <v>19.558102</v>
      </c>
      <c r="S19" s="729">
        <f>SUM(P19:R19)</f>
        <v/>
      </c>
      <c r="T19" s="729" t="n">
        <v>488.8416</v>
      </c>
      <c r="U19" s="729" t="n">
        <v>0</v>
      </c>
      <c r="V19" s="729" t="n">
        <v>90.34230599999999</v>
      </c>
      <c r="W19" s="729">
        <f>SUM(T19:V19)</f>
        <v/>
      </c>
      <c r="X19" s="729" t="n">
        <v>305.526</v>
      </c>
      <c r="Y19" s="729" t="n">
        <v>0</v>
      </c>
      <c r="Z19" s="729" t="n">
        <v>0</v>
      </c>
      <c r="AA19" s="729">
        <f>SUM(X19:Z19)</f>
        <v/>
      </c>
      <c r="AB19" s="729" t="n">
        <v>0</v>
      </c>
      <c r="AC19" s="729" t="n">
        <v>0</v>
      </c>
      <c r="AD19" s="729" t="n">
        <v>0</v>
      </c>
      <c r="AE19" s="729">
        <f>SUM(AB19:AD19)</f>
        <v/>
      </c>
      <c r="AF19" s="729" t="n">
        <v>0</v>
      </c>
      <c r="AG19" s="729" t="n">
        <v>0</v>
      </c>
      <c r="AH19" s="729" t="n">
        <v>32.04495</v>
      </c>
      <c r="AI19" s="729">
        <f>SUM(AF19:AH19)</f>
        <v/>
      </c>
      <c r="AJ19" s="729" t="n">
        <v>0</v>
      </c>
      <c r="AK19" s="729" t="n">
        <v>0</v>
      </c>
      <c r="AL19" s="729" t="n">
        <v>0</v>
      </c>
      <c r="AM19" s="729">
        <f>SUM(AJ19:AL19)</f>
        <v/>
      </c>
      <c r="AN19" s="729" t="n">
        <v>0</v>
      </c>
      <c r="AO19" s="744">
        <f>SUM(K19+O19+S19+W19+AA19+AE19+AI19+AM19+AN19)</f>
        <v/>
      </c>
      <c r="AP19" s="364">
        <f>IF(F19=0,"",K19/(F19/((YEAR(E19)*12+MONTH(E19))-(YEAR(D19)*12+MONTH(D19))+1)))</f>
        <v/>
      </c>
      <c r="AQ19" s="364">
        <f>G19/F19</f>
        <v/>
      </c>
      <c r="AR19" s="744">
        <f>F19-G19</f>
        <v/>
      </c>
      <c r="AS19" s="366">
        <f>SUM(F19:F21)</f>
        <v/>
      </c>
      <c r="AT19" s="367">
        <f>AT22</f>
        <v/>
      </c>
      <c r="AU19" s="745">
        <f>AU22</f>
        <v/>
      </c>
      <c r="AV19" s="706" t="inlineStr"/>
      <c r="AW19" s="706" t="inlineStr"/>
      <c r="AX19" s="706" t="inlineStr"/>
      <c r="AY19" s="706" t="inlineStr"/>
      <c r="AZ19" s="706" t="inlineStr"/>
      <c r="BA19" s="706" t="inlineStr"/>
      <c r="BB19" s="706" t="inlineStr"/>
      <c r="BC19" s="706" t="inlineStr"/>
      <c r="BD19" s="706" t="inlineStr"/>
      <c r="BE19" s="706" t="inlineStr"/>
      <c r="BF19" s="706" t="inlineStr"/>
      <c r="BG19" s="706" t="inlineStr"/>
      <c r="BH19" s="706" t="inlineStr"/>
      <c r="BI19" s="706" t="inlineStr"/>
      <c r="BJ19" s="706" t="inlineStr"/>
      <c r="BK19" s="706" t="inlineStr"/>
      <c r="BL19" s="706" t="inlineStr"/>
      <c r="BM19" s="706" t="inlineStr"/>
      <c r="BN19" s="706" t="inlineStr"/>
      <c r="BO19" s="706" t="inlineStr"/>
      <c r="BP19" s="706" t="inlineStr"/>
      <c r="BQ19" s="706" t="inlineStr"/>
      <c r="BR19" s="706" t="inlineStr"/>
      <c r="BS19" s="706" t="inlineStr"/>
      <c r="BT19" s="706" t="inlineStr"/>
      <c r="BU19" s="706" t="inlineStr"/>
    </row>
    <row r="20" outlineLevel="1" ht="14.25" customFormat="1" customHeight="1" s="483">
      <c r="A20" s="733" t="n"/>
      <c r="B20" s="734" t="inlineStr">
        <is>
          <t>理财师015</t>
        </is>
      </c>
      <c r="C20" s="734" t="inlineStr">
        <is>
          <t>私人财富管理顾问PWA1-3</t>
        </is>
      </c>
      <c r="D20" s="735" t="n">
        <v>46204</v>
      </c>
      <c r="E20" s="735" t="n">
        <v>46387</v>
      </c>
      <c r="F20" s="734" t="n">
        <v>5335.47</v>
      </c>
      <c r="G20" s="734" t="n">
        <v>2464.866558</v>
      </c>
      <c r="H20" s="734" t="n">
        <v>0</v>
      </c>
      <c r="I20" s="734" t="n">
        <v>0</v>
      </c>
      <c r="J20" s="734" t="n">
        <v>0</v>
      </c>
      <c r="K20" s="734">
        <f>SUM(H20:J20)</f>
        <v/>
      </c>
      <c r="L20" s="734" t="n">
        <v>198.1746</v>
      </c>
      <c r="M20" s="734" t="n">
        <v>0</v>
      </c>
      <c r="N20" s="734" t="n">
        <v>0</v>
      </c>
      <c r="O20" s="734">
        <f>SUM(L20:N20)</f>
        <v/>
      </c>
      <c r="P20" s="734" t="n">
        <v>0</v>
      </c>
      <c r="Q20" s="734" t="n">
        <v>2212.9497</v>
      </c>
      <c r="R20" s="734" t="n">
        <v>53.742258</v>
      </c>
      <c r="S20" s="734">
        <f>SUM(P20:R20)</f>
        <v/>
      </c>
      <c r="T20" s="734" t="n">
        <v>42.846788</v>
      </c>
      <c r="U20" s="734" t="n">
        <v>0</v>
      </c>
      <c r="V20" s="734" t="n">
        <v>56.785916</v>
      </c>
      <c r="W20" s="734">
        <f>SUM(T20:V20)</f>
        <v/>
      </c>
      <c r="X20" s="734" t="n">
        <v>494.115336</v>
      </c>
      <c r="Y20" s="734" t="n">
        <v>0</v>
      </c>
      <c r="Z20" s="734" t="n">
        <v>46.211266</v>
      </c>
      <c r="AA20" s="734">
        <f>SUM(X20:Z20)</f>
        <v/>
      </c>
      <c r="AB20" s="734" t="n">
        <v>0</v>
      </c>
      <c r="AC20" s="734" t="n">
        <v>0</v>
      </c>
      <c r="AD20" s="734" t="n">
        <v>37.443523</v>
      </c>
      <c r="AE20" s="734">
        <f>SUM(AB20:AD20)</f>
        <v/>
      </c>
      <c r="AF20" s="734" t="n">
        <v>198.1746</v>
      </c>
      <c r="AG20" s="734" t="n">
        <v>0</v>
      </c>
      <c r="AH20" s="734" t="n">
        <v>29.640215</v>
      </c>
      <c r="AI20" s="734">
        <f>SUM(AF20:AH20)</f>
        <v/>
      </c>
      <c r="AJ20" s="734" t="n">
        <v>0.8469</v>
      </c>
      <c r="AK20" s="734" t="n">
        <v>4558.0158</v>
      </c>
      <c r="AL20" s="734" t="n">
        <v>19.389048</v>
      </c>
      <c r="AM20" s="734">
        <f>SUM(AJ20:AL20)</f>
        <v/>
      </c>
      <c r="AN20" s="734" t="n">
        <v>21.644177</v>
      </c>
      <c r="AO20" s="372">
        <f>SUM(K20+O20+S20+W20+AA20+AE20+AI20+AM20+AN20)</f>
        <v/>
      </c>
      <c r="AP20" s="373">
        <f>IF(F20=0,"",K20/(F20/((YEAR(E20)*12+MONTH(E20))-(YEAR(D20)*12+MONTH(D20))+1)))</f>
        <v/>
      </c>
      <c r="AQ20" s="373">
        <f>G20/F20</f>
        <v/>
      </c>
      <c r="AR20" s="736">
        <f>F20-G20</f>
        <v/>
      </c>
      <c r="AS20" s="733" t="n"/>
      <c r="AT20" s="733" t="n"/>
      <c r="AU20" s="733" t="n"/>
      <c r="AV20" s="706" t="inlineStr"/>
      <c r="AW20" s="706" t="inlineStr"/>
      <c r="AX20" s="706" t="inlineStr"/>
      <c r="AY20" s="706" t="inlineStr"/>
      <c r="AZ20" s="706" t="inlineStr"/>
      <c r="BA20" s="706" t="inlineStr"/>
      <c r="BB20" s="706" t="inlineStr"/>
      <c r="BC20" s="706" t="inlineStr"/>
      <c r="BD20" s="706" t="inlineStr"/>
      <c r="BE20" s="706" t="inlineStr"/>
      <c r="BF20" s="706" t="inlineStr"/>
      <c r="BG20" s="706" t="inlineStr"/>
      <c r="BH20" s="706" t="inlineStr"/>
      <c r="BI20" s="706" t="inlineStr"/>
      <c r="BJ20" s="706" t="inlineStr"/>
      <c r="BK20" s="706" t="inlineStr"/>
      <c r="BL20" s="706" t="inlineStr"/>
      <c r="BM20" s="706" t="inlineStr"/>
      <c r="BN20" s="706" t="inlineStr"/>
      <c r="BO20" s="706" t="inlineStr"/>
      <c r="BP20" s="706" t="inlineStr"/>
      <c r="BQ20" s="706" t="inlineStr"/>
      <c r="BR20" s="706" t="inlineStr"/>
      <c r="BS20" s="706" t="inlineStr"/>
      <c r="BT20" s="706" t="inlineStr"/>
      <c r="BU20" s="706" t="inlineStr"/>
    </row>
    <row r="21" outlineLevel="1" ht="14.25" customFormat="1" customHeight="1" s="483">
      <c r="A21" s="737" t="n"/>
      <c r="B21" s="734" t="inlineStr">
        <is>
          <t>理财师016</t>
        </is>
      </c>
      <c r="C21" s="734" t="inlineStr">
        <is>
          <t>私人财富管理资深顾问PWA2-5</t>
        </is>
      </c>
      <c r="D21" s="735" t="n">
        <v>46204</v>
      </c>
      <c r="E21" s="735" t="n">
        <v>46387</v>
      </c>
      <c r="F21" s="734" t="n">
        <v>9935.639999999999</v>
      </c>
      <c r="G21" s="734" t="n">
        <v>2926.6619</v>
      </c>
      <c r="H21" s="734" t="n">
        <v>0</v>
      </c>
      <c r="I21" s="734" t="n">
        <v>0</v>
      </c>
      <c r="J21" s="734" t="n">
        <v>0</v>
      </c>
      <c r="K21" s="734">
        <f>SUM(H21:J21)</f>
        <v/>
      </c>
      <c r="L21" s="734" t="n">
        <v>0</v>
      </c>
      <c r="M21" s="734" t="n">
        <v>0</v>
      </c>
      <c r="N21" s="734" t="n">
        <v>0</v>
      </c>
      <c r="O21" s="734">
        <f>SUM(L21:N21)</f>
        <v/>
      </c>
      <c r="P21" s="734" t="n">
        <v>1470.337729</v>
      </c>
      <c r="Q21" s="734" t="n">
        <v>1188.904234</v>
      </c>
      <c r="R21" s="734" t="n">
        <v>267.419938</v>
      </c>
      <c r="S21" s="734">
        <f>SUM(P21:R21)</f>
        <v/>
      </c>
      <c r="T21" s="734" t="n">
        <v>1356.21486</v>
      </c>
      <c r="U21" s="734" t="n">
        <v>0</v>
      </c>
      <c r="V21" s="734" t="n">
        <v>318.635116</v>
      </c>
      <c r="W21" s="734">
        <f>SUM(T21:V21)</f>
        <v/>
      </c>
      <c r="X21" s="734" t="n">
        <v>2200.72469</v>
      </c>
      <c r="Y21" s="734" t="n">
        <v>0</v>
      </c>
      <c r="Z21" s="734" t="n">
        <v>130.270558</v>
      </c>
      <c r="AA21" s="734">
        <f>SUM(X21:Z21)</f>
        <v/>
      </c>
      <c r="AB21" s="734" t="n">
        <v>1832.902273</v>
      </c>
      <c r="AC21" s="734" t="n">
        <v>0</v>
      </c>
      <c r="AD21" s="734" t="n">
        <v>114.994826</v>
      </c>
      <c r="AE21" s="734">
        <f>SUM(AB21:AD21)</f>
        <v/>
      </c>
      <c r="AF21" s="734" t="n">
        <v>220.16475</v>
      </c>
      <c r="AG21" s="734" t="n">
        <v>0</v>
      </c>
      <c r="AH21" s="734" t="n">
        <v>158.674065</v>
      </c>
      <c r="AI21" s="734">
        <f>SUM(AF21:AH21)</f>
        <v/>
      </c>
      <c r="AJ21" s="734" t="n">
        <v>3847.561596</v>
      </c>
      <c r="AK21" s="734" t="n">
        <v>0</v>
      </c>
      <c r="AL21" s="734" t="n">
        <v>39.036743</v>
      </c>
      <c r="AM21" s="734">
        <f>SUM(AJ21:AL21)</f>
        <v/>
      </c>
      <c r="AN21" s="734" t="n">
        <v>2540.064804</v>
      </c>
      <c r="AO21" s="372">
        <f>SUM(K21+O21+S21+W21+AA21+AE21+AI21+AM21+AN21)</f>
        <v/>
      </c>
      <c r="AP21" s="373">
        <f>IF(F21=0,"",K21/(F21/((YEAR(E21)*12+MONTH(E21))-(YEAR(D21)*12+MONTH(D21))+1)))</f>
        <v/>
      </c>
      <c r="AQ21" s="373">
        <f>G21/F21</f>
        <v/>
      </c>
      <c r="AR21" s="736">
        <f>F21-G21</f>
        <v/>
      </c>
      <c r="AS21" s="737" t="n"/>
      <c r="AT21" s="737" t="n"/>
      <c r="AU21" s="737" t="n"/>
      <c r="AV21" s="706" t="inlineStr"/>
      <c r="AW21" s="706" t="inlineStr"/>
      <c r="AX21" s="706" t="inlineStr"/>
      <c r="AY21" s="706" t="inlineStr"/>
      <c r="AZ21" s="706" t="inlineStr"/>
      <c r="BA21" s="706" t="inlineStr"/>
      <c r="BB21" s="706" t="inlineStr"/>
      <c r="BC21" s="706" t="inlineStr"/>
      <c r="BD21" s="706" t="inlineStr"/>
      <c r="BE21" s="706" t="inlineStr"/>
      <c r="BF21" s="706" t="inlineStr"/>
      <c r="BG21" s="706" t="inlineStr"/>
      <c r="BH21" s="706" t="inlineStr"/>
      <c r="BI21" s="706" t="inlineStr"/>
      <c r="BJ21" s="706" t="inlineStr"/>
      <c r="BK21" s="706" t="inlineStr"/>
      <c r="BL21" s="706" t="inlineStr"/>
      <c r="BM21" s="706" t="inlineStr"/>
      <c r="BN21" s="706" t="inlineStr"/>
      <c r="BO21" s="706" t="inlineStr"/>
      <c r="BP21" s="706" t="inlineStr"/>
      <c r="BQ21" s="706" t="inlineStr"/>
      <c r="BR21" s="706" t="inlineStr"/>
      <c r="BS21" s="706" t="inlineStr"/>
      <c r="BT21" s="706" t="inlineStr"/>
      <c r="BU21" s="706" t="inlineStr"/>
    </row>
    <row r="22" outlineLevel="1" ht="14.25" customFormat="1" customHeight="1" s="483">
      <c r="A22" s="738" t="inlineStr">
        <is>
          <t>合计</t>
        </is>
      </c>
      <c r="B22" s="739" t="n"/>
      <c r="C22" s="739" t="n"/>
      <c r="D22" s="739" t="n"/>
      <c r="E22" s="740" t="n"/>
      <c r="F22" s="379">
        <f>SUM(F19:F21)</f>
        <v/>
      </c>
      <c r="G22" s="738">
        <f>SUM(G19:G21)</f>
        <v/>
      </c>
      <c r="H22" s="738">
        <f>SUM(H19:H21)</f>
        <v/>
      </c>
      <c r="I22" s="738">
        <f>SUM(I19:I21)</f>
        <v/>
      </c>
      <c r="J22" s="738">
        <f>SUM(J19:J21)</f>
        <v/>
      </c>
      <c r="K22" s="738">
        <f>SUM(K19:K21)</f>
        <v/>
      </c>
      <c r="L22" s="738">
        <f>SUM(L19:L21)</f>
        <v/>
      </c>
      <c r="M22" s="738">
        <f>SUM(M19:M21)</f>
        <v/>
      </c>
      <c r="N22" s="738">
        <f>SUM(N19:N21)</f>
        <v/>
      </c>
      <c r="O22" s="738">
        <f>SUM(O19:O21)</f>
        <v/>
      </c>
      <c r="P22" s="738">
        <f>SUM(P19:P21)</f>
        <v/>
      </c>
      <c r="Q22" s="738">
        <f>SUM(Q19:Q21)</f>
        <v/>
      </c>
      <c r="R22" s="738">
        <f>SUM(R19:R21)</f>
        <v/>
      </c>
      <c r="S22" s="738">
        <f>SUM(S19:S21)</f>
        <v/>
      </c>
      <c r="T22" s="738">
        <f>SUM(T19:T21)</f>
        <v/>
      </c>
      <c r="U22" s="738">
        <f>SUM(U19:U21)</f>
        <v/>
      </c>
      <c r="V22" s="738">
        <f>SUM(V19:V21)</f>
        <v/>
      </c>
      <c r="W22" s="738">
        <f>SUM(W19:W21)</f>
        <v/>
      </c>
      <c r="X22" s="738">
        <f>SUM(X19:X21)</f>
        <v/>
      </c>
      <c r="Y22" s="738">
        <f>SUM(Y19:Y21)</f>
        <v/>
      </c>
      <c r="Z22" s="738">
        <f>SUM(Z19:Z21)</f>
        <v/>
      </c>
      <c r="AA22" s="738">
        <f>SUM(AA19:AA21)</f>
        <v/>
      </c>
      <c r="AB22" s="738">
        <f>SUM(AB19:AB21)</f>
        <v/>
      </c>
      <c r="AC22" s="738">
        <f>SUM(AC19:AC21)</f>
        <v/>
      </c>
      <c r="AD22" s="738">
        <f>SUM(AD19:AD21)</f>
        <v/>
      </c>
      <c r="AE22" s="738">
        <f>SUM(AE19:AE21)</f>
        <v/>
      </c>
      <c r="AF22" s="738">
        <f>SUM(AF19:AF21)</f>
        <v/>
      </c>
      <c r="AG22" s="738">
        <f>SUM(AG19:AG21)</f>
        <v/>
      </c>
      <c r="AH22" s="738">
        <f>SUM(AH19:AH21)</f>
        <v/>
      </c>
      <c r="AI22" s="738">
        <f>SUM(AI19:AI21)</f>
        <v/>
      </c>
      <c r="AJ22" s="738">
        <f>SUM(AJ19:AJ21)</f>
        <v/>
      </c>
      <c r="AK22" s="738">
        <f>SUM(AK19:AK21)</f>
        <v/>
      </c>
      <c r="AL22" s="738">
        <f>SUM(AL19:AL21)</f>
        <v/>
      </c>
      <c r="AM22" s="738">
        <f>SUM(AM19:AM21)</f>
        <v/>
      </c>
      <c r="AN22" s="738">
        <f>SUM(AN19:AN21)</f>
        <v/>
      </c>
      <c r="AO22" s="379">
        <f>SUM(K22+O22+S22+W22+AA22+AE22+AI22+AM22+AN22)</f>
        <v/>
      </c>
      <c r="AP22" s="381">
        <f>IF(F22=0,"",K22/(F22/((YEAR(E19)*12+MONTH(E19))-(YEAR(D19)*12+MONTH(D19))+1)))</f>
        <v/>
      </c>
      <c r="AQ22" s="382">
        <f>G22/F22</f>
        <v/>
      </c>
      <c r="AR22" s="743">
        <f>F22-G22</f>
        <v/>
      </c>
      <c r="AS22" s="383">
        <f>AS19</f>
        <v/>
      </c>
      <c r="AT22" s="381">
        <f>AO22/AS19</f>
        <v/>
      </c>
      <c r="AU22" s="742">
        <f>AS19-AO22</f>
        <v/>
      </c>
      <c r="AV22" s="713" t="inlineStr"/>
      <c r="AW22" s="713" t="inlineStr"/>
      <c r="AX22" s="713" t="inlineStr"/>
      <c r="AY22" s="713" t="inlineStr"/>
      <c r="AZ22" s="713" t="inlineStr"/>
      <c r="BA22" s="713" t="inlineStr"/>
      <c r="BB22" s="713" t="inlineStr"/>
      <c r="BC22" s="713" t="inlineStr"/>
      <c r="BD22" s="713" t="inlineStr"/>
      <c r="BE22" s="713" t="inlineStr"/>
      <c r="BF22" s="713" t="inlineStr"/>
      <c r="BG22" s="713" t="inlineStr"/>
      <c r="BH22" s="713" t="inlineStr"/>
      <c r="BI22" s="713" t="inlineStr"/>
      <c r="BJ22" s="713" t="inlineStr"/>
      <c r="BK22" s="713" t="inlineStr"/>
      <c r="BL22" s="713" t="inlineStr"/>
      <c r="BM22" s="713" t="inlineStr"/>
      <c r="BN22" s="713" t="inlineStr"/>
      <c r="BO22" s="713" t="inlineStr"/>
      <c r="BP22" s="713" t="inlineStr"/>
      <c r="BQ22" s="713" t="inlineStr"/>
      <c r="BR22" s="713" t="inlineStr"/>
      <c r="BS22" s="713" t="inlineStr"/>
      <c r="BT22" s="713" t="inlineStr"/>
      <c r="BU22" s="713" t="inlineStr"/>
    </row>
    <row r="23" outlineLevel="1" ht="14.25" customFormat="1" customHeight="1" s="483">
      <c r="A23" s="729" t="inlineStr">
        <is>
          <t>理财师002</t>
        </is>
      </c>
      <c r="B23" s="729" t="inlineStr">
        <is>
          <t>理财师001</t>
        </is>
      </c>
      <c r="C23" s="729" t="inlineStr">
        <is>
          <t>私人财富管理顾问PWA1-3</t>
        </is>
      </c>
      <c r="D23" s="730" t="n">
        <v>46204</v>
      </c>
      <c r="E23" s="730" t="n">
        <v>46387</v>
      </c>
      <c r="F23" s="729" t="n">
        <v>5423.67</v>
      </c>
      <c r="G23" s="729" t="n">
        <v>1295.191846</v>
      </c>
      <c r="H23" s="729" t="n">
        <v>0</v>
      </c>
      <c r="I23" s="729" t="n">
        <v>0</v>
      </c>
      <c r="J23" s="729" t="n">
        <v>0</v>
      </c>
      <c r="K23" s="729">
        <f>SUM(H23:J23)</f>
        <v/>
      </c>
      <c r="L23" s="729" t="n">
        <v>398.066386</v>
      </c>
      <c r="M23" s="729" t="n">
        <v>0</v>
      </c>
      <c r="N23" s="729" t="n">
        <v>0</v>
      </c>
      <c r="O23" s="729">
        <f>SUM(L23:N23)</f>
        <v/>
      </c>
      <c r="P23" s="729" t="n">
        <v>212.328071</v>
      </c>
      <c r="Q23" s="729" t="n">
        <v>0</v>
      </c>
      <c r="R23" s="729" t="n">
        <v>684.797389</v>
      </c>
      <c r="S23" s="729">
        <f>SUM(P23:R23)</f>
        <v/>
      </c>
      <c r="T23" s="729" t="n">
        <v>1035.385146</v>
      </c>
      <c r="U23" s="729" t="n">
        <v>0</v>
      </c>
      <c r="V23" s="729" t="n">
        <v>717.905769</v>
      </c>
      <c r="W23" s="729">
        <f>SUM(T23:V23)</f>
        <v/>
      </c>
      <c r="X23" s="729" t="n">
        <v>121.826127</v>
      </c>
      <c r="Y23" s="729" t="n">
        <v>0</v>
      </c>
      <c r="Z23" s="729" t="n">
        <v>638.531805</v>
      </c>
      <c r="AA23" s="729">
        <f>SUM(X23:Z23)</f>
        <v/>
      </c>
      <c r="AB23" s="729" t="n">
        <v>88.54274700000001</v>
      </c>
      <c r="AC23" s="729" t="n">
        <v>0</v>
      </c>
      <c r="AD23" s="729" t="n">
        <v>616.124389</v>
      </c>
      <c r="AE23" s="729">
        <f>SUM(AB23:AD23)</f>
        <v/>
      </c>
      <c r="AF23" s="729" t="n">
        <v>50.830377</v>
      </c>
      <c r="AG23" s="729" t="n">
        <v>0</v>
      </c>
      <c r="AH23" s="729" t="n">
        <v>791.318135</v>
      </c>
      <c r="AI23" s="729">
        <f>SUM(AF23:AH23)</f>
        <v/>
      </c>
      <c r="AJ23" s="729" t="n">
        <v>153.11976</v>
      </c>
      <c r="AK23" s="729" t="n">
        <v>0</v>
      </c>
      <c r="AL23" s="729" t="n">
        <v>560.548117</v>
      </c>
      <c r="AM23" s="729">
        <f>SUM(AJ23:AL23)</f>
        <v/>
      </c>
      <c r="AN23" s="729" t="n">
        <v>2029.518541</v>
      </c>
      <c r="AO23" s="363">
        <f>SUM(K23+O23+S23+W23+AA23+AE23+AI23+AM23+AN23)</f>
        <v/>
      </c>
      <c r="AP23" s="364">
        <f>IF(F23=0,"",K23/(F23/((YEAR(E23)*12+MONTH(E23))-(YEAR(D23)*12+MONTH(D23))+1)))</f>
        <v/>
      </c>
      <c r="AQ23" s="364">
        <f>G23/F23</f>
        <v/>
      </c>
      <c r="AR23" s="731">
        <f>F23-G23</f>
        <v/>
      </c>
      <c r="AS23" s="366">
        <f>SUM(F23:F25)</f>
        <v/>
      </c>
      <c r="AT23" s="367">
        <f>AT26</f>
        <v/>
      </c>
      <c r="AU23" s="745">
        <f>AU26</f>
        <v/>
      </c>
      <c r="AV23" s="706" t="inlineStr"/>
      <c r="AW23" s="706" t="inlineStr"/>
      <c r="AX23" s="706" t="inlineStr"/>
      <c r="AY23" s="706" t="inlineStr"/>
      <c r="AZ23" s="706" t="inlineStr"/>
      <c r="BA23" s="706" t="inlineStr"/>
      <c r="BB23" s="706" t="inlineStr"/>
      <c r="BC23" s="706" t="inlineStr"/>
      <c r="BD23" s="706" t="inlineStr"/>
      <c r="BE23" s="706" t="inlineStr"/>
      <c r="BF23" s="706" t="inlineStr"/>
      <c r="BG23" s="706" t="inlineStr"/>
      <c r="BH23" s="706" t="inlineStr"/>
      <c r="BI23" s="706" t="inlineStr"/>
      <c r="BJ23" s="706" t="inlineStr"/>
      <c r="BK23" s="706" t="inlineStr"/>
      <c r="BL23" s="706" t="inlineStr"/>
      <c r="BM23" s="706" t="inlineStr"/>
      <c r="BN23" s="706" t="inlineStr"/>
      <c r="BO23" s="706" t="inlineStr"/>
      <c r="BP23" s="706" t="inlineStr"/>
      <c r="BQ23" s="706" t="inlineStr"/>
      <c r="BR23" s="706" t="inlineStr"/>
      <c r="BS23" s="706" t="inlineStr"/>
      <c r="BT23" s="706" t="inlineStr"/>
      <c r="BU23" s="706" t="inlineStr"/>
    </row>
    <row r="24" outlineLevel="1" ht="14.25" customFormat="1" customHeight="1" s="483">
      <c r="A24" s="733" t="n"/>
      <c r="B24" s="734" t="inlineStr">
        <is>
          <t>理财师027</t>
        </is>
      </c>
      <c r="C24" s="734" t="inlineStr">
        <is>
          <t>私人财富管理顾问PWA1-3</t>
        </is>
      </c>
      <c r="D24" s="735" t="n">
        <v>46125</v>
      </c>
      <c r="E24" s="735" t="n">
        <v>46326</v>
      </c>
      <c r="F24" s="734" t="n">
        <v>4774.516274</v>
      </c>
      <c r="G24" s="734" t="n">
        <v>4823.090327</v>
      </c>
      <c r="H24" s="734" t="n">
        <v>0</v>
      </c>
      <c r="I24" s="734" t="n">
        <v>0</v>
      </c>
      <c r="J24" s="734" t="n">
        <v>0</v>
      </c>
      <c r="K24" s="734">
        <f>SUM(H24:J24)</f>
        <v/>
      </c>
      <c r="L24" s="734" t="n">
        <v>684.1535280000001</v>
      </c>
      <c r="M24" s="734" t="n">
        <v>3685.0554</v>
      </c>
      <c r="N24" s="734" t="n">
        <v>0</v>
      </c>
      <c r="O24" s="734">
        <f>SUM(L24:N24)</f>
        <v/>
      </c>
      <c r="P24" s="734" t="n">
        <v>106.8132</v>
      </c>
      <c r="Q24" s="734" t="n">
        <v>0</v>
      </c>
      <c r="R24" s="734" t="n">
        <v>29.433754</v>
      </c>
      <c r="S24" s="734">
        <f>SUM(P24:R24)</f>
        <v/>
      </c>
      <c r="T24" s="734" t="n">
        <v>63.103793</v>
      </c>
      <c r="U24" s="734" t="n">
        <v>0</v>
      </c>
      <c r="V24" s="734" t="n">
        <v>22.083459</v>
      </c>
      <c r="W24" s="734">
        <f>SUM(T24:V24)</f>
        <v/>
      </c>
      <c r="X24" s="734" t="n">
        <v>63.1797</v>
      </c>
      <c r="Y24" s="734" t="n">
        <v>0</v>
      </c>
      <c r="Z24" s="734" t="n">
        <v>19.121258</v>
      </c>
      <c r="AA24" s="734">
        <f>SUM(X24:Z24)</f>
        <v/>
      </c>
      <c r="AB24" s="734" t="n">
        <v>135.387173</v>
      </c>
      <c r="AC24" s="734" t="n">
        <v>3685.0554</v>
      </c>
      <c r="AD24" s="734" t="n">
        <v>14.759064</v>
      </c>
      <c r="AE24" s="734">
        <f>SUM(AB24:AD24)</f>
        <v/>
      </c>
      <c r="AF24" s="734" t="n">
        <v>0</v>
      </c>
      <c r="AG24" s="734" t="n">
        <v>0</v>
      </c>
      <c r="AH24" s="734" t="n">
        <v>2.181886</v>
      </c>
      <c r="AI24" s="734">
        <f>SUM(AF24:AH24)</f>
        <v/>
      </c>
      <c r="AJ24" s="734" t="n">
        <v>0</v>
      </c>
      <c r="AK24" s="734" t="n">
        <v>0</v>
      </c>
      <c r="AL24" s="734" t="n">
        <v>1.481485</v>
      </c>
      <c r="AM24" s="734">
        <f>SUM(AJ24:AL24)</f>
        <v/>
      </c>
      <c r="AN24" s="734" t="n">
        <v>66.75825</v>
      </c>
      <c r="AO24" s="746">
        <f>SUM(K24+O24+S24+W24+AA24+AE24+AI24+AM24+AN24)</f>
        <v/>
      </c>
      <c r="AP24" s="373">
        <f>IF(F24=0,"",K24/(F24/((YEAR(E24)*12+MONTH(E24))-(YEAR(D24)*12+MONTH(D24))+1)))</f>
        <v/>
      </c>
      <c r="AQ24" s="373">
        <f>G24/F24</f>
        <v/>
      </c>
      <c r="AR24" s="746">
        <f>F24-G24</f>
        <v/>
      </c>
      <c r="AS24" s="733" t="n"/>
      <c r="AT24" s="733" t="n"/>
      <c r="AU24" s="733" t="n"/>
      <c r="AV24" s="706" t="inlineStr"/>
      <c r="AW24" s="706" t="inlineStr"/>
      <c r="AX24" s="706" t="inlineStr"/>
      <c r="AY24" s="706" t="inlineStr"/>
      <c r="AZ24" s="706" t="inlineStr"/>
      <c r="BA24" s="706" t="inlineStr"/>
      <c r="BB24" s="706" t="inlineStr"/>
      <c r="BC24" s="706" t="inlineStr"/>
      <c r="BD24" s="706" t="inlineStr"/>
      <c r="BE24" s="706" t="inlineStr"/>
      <c r="BF24" s="706" t="inlineStr"/>
      <c r="BG24" s="706" t="inlineStr"/>
      <c r="BH24" s="706" t="inlineStr"/>
      <c r="BI24" s="706" t="inlineStr"/>
      <c r="BJ24" s="706" t="inlineStr"/>
      <c r="BK24" s="706" t="inlineStr"/>
      <c r="BL24" s="706" t="inlineStr"/>
      <c r="BM24" s="706" t="inlineStr"/>
      <c r="BN24" s="706" t="inlineStr"/>
      <c r="BO24" s="706" t="inlineStr"/>
      <c r="BP24" s="706" t="inlineStr"/>
      <c r="BQ24" s="706" t="inlineStr"/>
      <c r="BR24" s="706" t="inlineStr"/>
      <c r="BS24" s="706" t="inlineStr"/>
      <c r="BT24" s="706" t="inlineStr"/>
      <c r="BU24" s="706" t="inlineStr"/>
    </row>
    <row r="25" outlineLevel="1" ht="14.25" customFormat="1" customHeight="1" s="483">
      <c r="A25" s="737" t="n"/>
      <c r="B25" s="734" t="inlineStr">
        <is>
          <t>理财师002</t>
        </is>
      </c>
      <c r="C25" s="734" t="inlineStr">
        <is>
          <t>首席私人财富管理专家PWA5-1</t>
        </is>
      </c>
      <c r="D25" s="735" t="n">
        <v>46204</v>
      </c>
      <c r="E25" s="735" t="n">
        <v>46387</v>
      </c>
      <c r="F25" s="734" t="n">
        <v>28479.5</v>
      </c>
      <c r="G25" s="734" t="n">
        <v>22654.487853</v>
      </c>
      <c r="H25" s="734" t="n">
        <v>0</v>
      </c>
      <c r="I25" s="734" t="n">
        <v>0</v>
      </c>
      <c r="J25" s="734" t="n">
        <v>0</v>
      </c>
      <c r="K25" s="734">
        <f>SUM(H25:J25)</f>
        <v/>
      </c>
      <c r="L25" s="734" t="n">
        <v>19144.754352</v>
      </c>
      <c r="M25" s="734" t="n">
        <v>0</v>
      </c>
      <c r="N25" s="734" t="n">
        <v>0</v>
      </c>
      <c r="O25" s="734">
        <f>SUM(L25:N25)</f>
        <v/>
      </c>
      <c r="P25" s="734" t="n">
        <v>3280.918973</v>
      </c>
      <c r="Q25" s="734" t="n">
        <v>0</v>
      </c>
      <c r="R25" s="734" t="n">
        <v>228.814528</v>
      </c>
      <c r="S25" s="734">
        <f>SUM(P25:R25)</f>
        <v/>
      </c>
      <c r="T25" s="734" t="n">
        <v>662.537684</v>
      </c>
      <c r="U25" s="734" t="n">
        <v>0</v>
      </c>
      <c r="V25" s="734" t="n">
        <v>353.318319</v>
      </c>
      <c r="W25" s="734">
        <f>SUM(T25:V25)</f>
        <v/>
      </c>
      <c r="X25" s="734" t="n">
        <v>2227.154433</v>
      </c>
      <c r="Y25" s="734" t="n">
        <v>0</v>
      </c>
      <c r="Z25" s="734" t="n">
        <v>234.231608</v>
      </c>
      <c r="AA25" s="734">
        <f>SUM(X25:Z25)</f>
        <v/>
      </c>
      <c r="AB25" s="734" t="n">
        <v>-6272.609198</v>
      </c>
      <c r="AC25" s="734" t="n">
        <v>0</v>
      </c>
      <c r="AD25" s="734" t="n">
        <v>210.102519</v>
      </c>
      <c r="AE25" s="734">
        <f>SUM(AB25:AD25)</f>
        <v/>
      </c>
      <c r="AF25" s="734" t="n">
        <v>2164.476574</v>
      </c>
      <c r="AG25" s="734" t="n">
        <v>0</v>
      </c>
      <c r="AH25" s="734" t="n">
        <v>365.27682</v>
      </c>
      <c r="AI25" s="734">
        <f>SUM(AF25:AH25)</f>
        <v/>
      </c>
      <c r="AJ25" s="734" t="n">
        <v>2346.171162</v>
      </c>
      <c r="AK25" s="734" t="n">
        <v>0</v>
      </c>
      <c r="AL25" s="734" t="n">
        <v>187.41719</v>
      </c>
      <c r="AM25" s="734">
        <f>SUM(AJ25:AL25)</f>
        <v/>
      </c>
      <c r="AN25" s="734" t="n">
        <v>24919.495747</v>
      </c>
      <c r="AO25" s="372">
        <f>SUM(K25+O25+S25+W25+AA25+AE25+AI25+AM25+AN25)</f>
        <v/>
      </c>
      <c r="AP25" s="373">
        <f>IF(F25=0,"",K25/(F25/((YEAR(E25)*12+MONTH(E25))-(YEAR(D25)*12+MONTH(D25))+1)))</f>
        <v/>
      </c>
      <c r="AQ25" s="373">
        <f>G25/F25</f>
        <v/>
      </c>
      <c r="AR25" s="736">
        <f>F25-G25</f>
        <v/>
      </c>
      <c r="AS25" s="737" t="n"/>
      <c r="AT25" s="737" t="n"/>
      <c r="AU25" s="737" t="n"/>
      <c r="AV25" s="706" t="inlineStr"/>
      <c r="AW25" s="706" t="inlineStr"/>
      <c r="AX25" s="706" t="inlineStr"/>
      <c r="AY25" s="706" t="inlineStr"/>
      <c r="AZ25" s="706" t="inlineStr"/>
      <c r="BA25" s="706" t="inlineStr"/>
      <c r="BB25" s="706" t="inlineStr"/>
      <c r="BC25" s="706" t="inlineStr"/>
      <c r="BD25" s="706" t="inlineStr"/>
      <c r="BE25" s="706" t="inlineStr"/>
      <c r="BF25" s="706" t="inlineStr"/>
      <c r="BG25" s="706" t="inlineStr"/>
      <c r="BH25" s="706" t="inlineStr"/>
      <c r="BI25" s="706" t="inlineStr"/>
      <c r="BJ25" s="706" t="inlineStr"/>
      <c r="BK25" s="706" t="inlineStr"/>
      <c r="BL25" s="706" t="inlineStr"/>
      <c r="BM25" s="706" t="inlineStr"/>
      <c r="BN25" s="706" t="inlineStr"/>
      <c r="BO25" s="706" t="inlineStr"/>
      <c r="BP25" s="706" t="inlineStr"/>
      <c r="BQ25" s="706" t="inlineStr"/>
      <c r="BR25" s="706" t="inlineStr"/>
      <c r="BS25" s="706" t="inlineStr"/>
      <c r="BT25" s="706" t="inlineStr"/>
      <c r="BU25" s="706" t="inlineStr"/>
    </row>
    <row r="26" outlineLevel="1" ht="14.25" customFormat="1" customHeight="1" s="483">
      <c r="A26" s="738" t="inlineStr">
        <is>
          <t>合计</t>
        </is>
      </c>
      <c r="B26" s="739" t="n"/>
      <c r="C26" s="739" t="n"/>
      <c r="D26" s="739" t="n"/>
      <c r="E26" s="740" t="n"/>
      <c r="F26" s="379">
        <f>SUM(F23:F25)</f>
        <v/>
      </c>
      <c r="G26" s="738">
        <f>SUM(G23:G25)</f>
        <v/>
      </c>
      <c r="H26" s="738">
        <f>SUM(H23:H25)</f>
        <v/>
      </c>
      <c r="I26" s="738">
        <f>SUM(I23:I25)</f>
        <v/>
      </c>
      <c r="J26" s="738">
        <f>SUM(J23:J25)</f>
        <v/>
      </c>
      <c r="K26" s="738">
        <f>SUM(K23:K25)</f>
        <v/>
      </c>
      <c r="L26" s="738">
        <f>SUM(L23:L25)</f>
        <v/>
      </c>
      <c r="M26" s="738">
        <f>SUM(M23:M25)</f>
        <v/>
      </c>
      <c r="N26" s="738">
        <f>SUM(N23:N25)</f>
        <v/>
      </c>
      <c r="O26" s="738">
        <f>SUM(O23:O25)</f>
        <v/>
      </c>
      <c r="P26" s="738">
        <f>SUM(P23:P25)</f>
        <v/>
      </c>
      <c r="Q26" s="738">
        <f>SUM(Q23:Q25)</f>
        <v/>
      </c>
      <c r="R26" s="738">
        <f>SUM(R23:R25)</f>
        <v/>
      </c>
      <c r="S26" s="738">
        <f>SUM(S23:S25)</f>
        <v/>
      </c>
      <c r="T26" s="738">
        <f>SUM(T23:T25)</f>
        <v/>
      </c>
      <c r="U26" s="738">
        <f>SUM(U23:U25)</f>
        <v/>
      </c>
      <c r="V26" s="738">
        <f>SUM(V23:V25)</f>
        <v/>
      </c>
      <c r="W26" s="738">
        <f>SUM(W23:W25)</f>
        <v/>
      </c>
      <c r="X26" s="738">
        <f>SUM(X23:X25)</f>
        <v/>
      </c>
      <c r="Y26" s="738">
        <f>SUM(Y23:Y25)</f>
        <v/>
      </c>
      <c r="Z26" s="738">
        <f>SUM(Z23:Z25)</f>
        <v/>
      </c>
      <c r="AA26" s="738">
        <f>SUM(AA23:AA25)</f>
        <v/>
      </c>
      <c r="AB26" s="738">
        <f>SUM(AB23:AB25)</f>
        <v/>
      </c>
      <c r="AC26" s="738">
        <f>SUM(AC23:AC25)</f>
        <v/>
      </c>
      <c r="AD26" s="738">
        <f>SUM(AD23:AD25)</f>
        <v/>
      </c>
      <c r="AE26" s="738">
        <f>SUM(AE23:AE25)</f>
        <v/>
      </c>
      <c r="AF26" s="738">
        <f>SUM(AF23:AF25)</f>
        <v/>
      </c>
      <c r="AG26" s="738">
        <f>SUM(AG23:AG25)</f>
        <v/>
      </c>
      <c r="AH26" s="738">
        <f>SUM(AH23:AH25)</f>
        <v/>
      </c>
      <c r="AI26" s="738">
        <f>SUM(AI23:AI25)</f>
        <v/>
      </c>
      <c r="AJ26" s="738">
        <f>SUM(AJ23:AJ25)</f>
        <v/>
      </c>
      <c r="AK26" s="738">
        <f>SUM(AK23:AK25)</f>
        <v/>
      </c>
      <c r="AL26" s="738">
        <f>SUM(AL23:AL25)</f>
        <v/>
      </c>
      <c r="AM26" s="738">
        <f>SUM(AM23:AM25)</f>
        <v/>
      </c>
      <c r="AN26" s="738">
        <f>SUM(AN23:AN25)</f>
        <v/>
      </c>
      <c r="AO26" s="379">
        <f>SUM(K26+O26+S26+W26+AA26+AE26+AI26+AM26+AN26)</f>
        <v/>
      </c>
      <c r="AP26" s="381">
        <f>IF(F26=0,"",K26/(F26/((YEAR(E23)*12+MONTH(E23))-(YEAR(D23)*12+MONTH(D23))+1)))</f>
        <v/>
      </c>
      <c r="AQ26" s="382">
        <f>G26/F26</f>
        <v/>
      </c>
      <c r="AR26" s="743">
        <f>F26-G26</f>
        <v/>
      </c>
      <c r="AS26" s="383">
        <f>AS23</f>
        <v/>
      </c>
      <c r="AT26" s="381">
        <f>AO26/AS23</f>
        <v/>
      </c>
      <c r="AU26" s="742">
        <f>AS23-AO26</f>
        <v/>
      </c>
      <c r="AV26" s="713" t="inlineStr"/>
      <c r="AW26" s="713" t="inlineStr"/>
      <c r="AX26" s="713" t="inlineStr"/>
      <c r="AY26" s="713" t="inlineStr"/>
      <c r="AZ26" s="713" t="inlineStr"/>
      <c r="BA26" s="713" t="inlineStr"/>
      <c r="BB26" s="713" t="inlineStr"/>
      <c r="BC26" s="713" t="inlineStr"/>
      <c r="BD26" s="713" t="inlineStr"/>
      <c r="BE26" s="713" t="inlineStr"/>
      <c r="BF26" s="713" t="inlineStr"/>
      <c r="BG26" s="713" t="inlineStr"/>
      <c r="BH26" s="713" t="inlineStr"/>
      <c r="BI26" s="713" t="inlineStr"/>
      <c r="BJ26" s="713" t="inlineStr"/>
      <c r="BK26" s="713" t="inlineStr"/>
      <c r="BL26" s="713" t="inlineStr"/>
      <c r="BM26" s="713" t="inlineStr"/>
      <c r="BN26" s="713" t="inlineStr"/>
      <c r="BO26" s="713" t="inlineStr"/>
      <c r="BP26" s="713" t="inlineStr"/>
      <c r="BQ26" s="713" t="inlineStr"/>
      <c r="BR26" s="713" t="inlineStr"/>
      <c r="BS26" s="713" t="inlineStr"/>
      <c r="BT26" s="713" t="inlineStr"/>
      <c r="BU26" s="713" t="inlineStr"/>
    </row>
    <row r="27" outlineLevel="1" ht="14.25" customFormat="1" customHeight="1" s="483">
      <c r="A27" s="729" t="inlineStr">
        <is>
          <t>理财师009</t>
        </is>
      </c>
      <c r="B27" s="729" t="inlineStr">
        <is>
          <t>理财师009</t>
        </is>
      </c>
      <c r="C27" s="729" t="inlineStr">
        <is>
          <t>私人财富管理专家PWA4-3</t>
        </is>
      </c>
      <c r="D27" s="730" t="n">
        <v>46204</v>
      </c>
      <c r="E27" s="730" t="n">
        <v>46387</v>
      </c>
      <c r="F27" s="729" t="n">
        <v>32232.2</v>
      </c>
      <c r="G27" s="729" t="n">
        <v>5471.228564</v>
      </c>
      <c r="H27" s="729" t="n">
        <v>0</v>
      </c>
      <c r="I27" s="729" t="n">
        <v>0</v>
      </c>
      <c r="J27" s="729" t="n">
        <v>0</v>
      </c>
      <c r="K27" s="729">
        <f>SUM(H27:J27)</f>
        <v/>
      </c>
      <c r="L27" s="729" t="n">
        <v>49.686</v>
      </c>
      <c r="M27" s="729" t="n">
        <v>0</v>
      </c>
      <c r="N27" s="729" t="n">
        <v>0</v>
      </c>
      <c r="O27" s="729">
        <f>SUM(L27:N27)</f>
        <v/>
      </c>
      <c r="P27" s="729" t="n">
        <v>4913.9454</v>
      </c>
      <c r="Q27" s="729" t="n">
        <v>0</v>
      </c>
      <c r="R27" s="729" t="n">
        <v>507.597164</v>
      </c>
      <c r="S27" s="729">
        <f>SUM(P27:R27)</f>
        <v/>
      </c>
      <c r="T27" s="729" t="n">
        <v>2106.18954</v>
      </c>
      <c r="U27" s="729" t="n">
        <v>2057.0004</v>
      </c>
      <c r="V27" s="729" t="n">
        <v>965.0387030000001</v>
      </c>
      <c r="W27" s="729">
        <f>SUM(T27:V27)</f>
        <v/>
      </c>
      <c r="X27" s="729" t="n">
        <v>536.6088</v>
      </c>
      <c r="Y27" s="729" t="n">
        <v>0</v>
      </c>
      <c r="Z27" s="729" t="n">
        <v>722.01536</v>
      </c>
      <c r="AA27" s="729">
        <f>SUM(X27:Z27)</f>
        <v/>
      </c>
      <c r="AB27" s="729" t="n">
        <v>1351.820914</v>
      </c>
      <c r="AC27" s="729" t="n">
        <v>20570.004</v>
      </c>
      <c r="AD27" s="729" t="n">
        <v>668.034433</v>
      </c>
      <c r="AE27" s="729">
        <f>SUM(AB27:AD27)</f>
        <v/>
      </c>
      <c r="AF27" s="729" t="n">
        <v>3314.503374</v>
      </c>
      <c r="AG27" s="729" t="n">
        <v>0</v>
      </c>
      <c r="AH27" s="729" t="n">
        <v>713.569709</v>
      </c>
      <c r="AI27" s="729">
        <f>SUM(AF27:AH27)</f>
        <v/>
      </c>
      <c r="AJ27" s="729" t="n">
        <v>4769.379014</v>
      </c>
      <c r="AK27" s="729" t="n">
        <v>0</v>
      </c>
      <c r="AL27" s="729" t="n">
        <v>228.136442</v>
      </c>
      <c r="AM27" s="729">
        <f>SUM(AJ27:AL27)</f>
        <v/>
      </c>
      <c r="AN27" s="729" t="n">
        <v>1069.968142</v>
      </c>
      <c r="AO27" s="363">
        <f>SUM(K27+O27+S27+W27+AA27+AE27+AI27+AM27+AN27)</f>
        <v/>
      </c>
      <c r="AP27" s="364">
        <f>IF(F27=0,"",K27/(F27/((YEAR(E27)*12+MONTH(E27))-(YEAR(D27)*12+MONTH(D27))+1)))</f>
        <v/>
      </c>
      <c r="AQ27" s="364">
        <f>G27/F27</f>
        <v/>
      </c>
      <c r="AR27" s="731">
        <f>F27-G27</f>
        <v/>
      </c>
      <c r="AS27" s="366">
        <f>SUM(F27:F28)</f>
        <v/>
      </c>
      <c r="AT27" s="367">
        <f>AT29</f>
        <v/>
      </c>
      <c r="AU27" s="745">
        <f>AU29</f>
        <v/>
      </c>
      <c r="AV27" s="706" t="inlineStr"/>
      <c r="AW27" s="706" t="inlineStr"/>
      <c r="AX27" s="706" t="inlineStr"/>
      <c r="AY27" s="706" t="inlineStr"/>
      <c r="AZ27" s="706" t="inlineStr"/>
      <c r="BA27" s="706" t="inlineStr"/>
      <c r="BB27" s="706" t="inlineStr"/>
      <c r="BC27" s="706" t="inlineStr"/>
      <c r="BD27" s="706" t="inlineStr"/>
      <c r="BE27" s="706" t="inlineStr"/>
      <c r="BF27" s="706" t="inlineStr"/>
      <c r="BG27" s="706" t="inlineStr"/>
      <c r="BH27" s="706" t="inlineStr"/>
      <c r="BI27" s="706" t="inlineStr"/>
      <c r="BJ27" s="706" t="inlineStr"/>
      <c r="BK27" s="706" t="inlineStr"/>
      <c r="BL27" s="706" t="inlineStr"/>
      <c r="BM27" s="706" t="inlineStr"/>
      <c r="BN27" s="706" t="inlineStr"/>
      <c r="BO27" s="706" t="inlineStr"/>
      <c r="BP27" s="706" t="inlineStr"/>
      <c r="BQ27" s="706" t="inlineStr"/>
      <c r="BR27" s="706" t="inlineStr"/>
      <c r="BS27" s="706" t="inlineStr"/>
      <c r="BT27" s="706" t="inlineStr"/>
      <c r="BU27" s="706" t="inlineStr"/>
    </row>
    <row r="28" outlineLevel="1" ht="14.25" customFormat="1" customHeight="1" s="483">
      <c r="A28" s="737" t="n"/>
      <c r="B28" s="734" t="inlineStr">
        <is>
          <t>理财师010</t>
        </is>
      </c>
      <c r="C28" s="734" t="inlineStr">
        <is>
          <t>私人财富管理资深顾问PWA2-4</t>
        </is>
      </c>
      <c r="D28" s="735" t="n">
        <v>46204</v>
      </c>
      <c r="E28" s="735" t="n">
        <v>46387</v>
      </c>
      <c r="F28" s="734" t="n">
        <v>11764.72</v>
      </c>
      <c r="G28" s="734" t="n">
        <v>5696.006283</v>
      </c>
      <c r="H28" s="734" t="n">
        <v>0</v>
      </c>
      <c r="I28" s="734" t="n">
        <v>0</v>
      </c>
      <c r="J28" s="734" t="n">
        <v>0</v>
      </c>
      <c r="K28" s="734">
        <f>SUM(H28:J28)</f>
        <v/>
      </c>
      <c r="L28" s="734" t="n">
        <v>2428.520655</v>
      </c>
      <c r="M28" s="734" t="n">
        <v>0</v>
      </c>
      <c r="N28" s="734" t="n">
        <v>0</v>
      </c>
      <c r="O28" s="734">
        <f>SUM(L28:N28)</f>
        <v/>
      </c>
      <c r="P28" s="734" t="n">
        <v>305.355336</v>
      </c>
      <c r="Q28" s="734" t="n">
        <v>2729.2122</v>
      </c>
      <c r="R28" s="734" t="n">
        <v>232.918092</v>
      </c>
      <c r="S28" s="734">
        <f>SUM(P28:R28)</f>
        <v/>
      </c>
      <c r="T28" s="734" t="n">
        <v>520.393558</v>
      </c>
      <c r="U28" s="734" t="n">
        <v>1637.52732</v>
      </c>
      <c r="V28" s="734" t="n">
        <v>284.729185</v>
      </c>
      <c r="W28" s="734">
        <f>SUM(T28:V28)</f>
        <v/>
      </c>
      <c r="X28" s="734" t="n">
        <v>994.77807</v>
      </c>
      <c r="Y28" s="734" t="n">
        <v>0</v>
      </c>
      <c r="Z28" s="734" t="n">
        <v>185.511372</v>
      </c>
      <c r="AA28" s="734">
        <f>SUM(X28:Z28)</f>
        <v/>
      </c>
      <c r="AB28" s="734" t="n">
        <v>949.2912</v>
      </c>
      <c r="AC28" s="734" t="n">
        <v>0</v>
      </c>
      <c r="AD28" s="734" t="n">
        <v>144.291309</v>
      </c>
      <c r="AE28" s="734">
        <f>SUM(AB28:AD28)</f>
        <v/>
      </c>
      <c r="AF28" s="734" t="n">
        <v>2158.292651</v>
      </c>
      <c r="AG28" s="734" t="n">
        <v>8187.6366</v>
      </c>
      <c r="AH28" s="734" t="n">
        <v>194.447373</v>
      </c>
      <c r="AI28" s="734">
        <f>SUM(AF28:AH28)</f>
        <v/>
      </c>
      <c r="AJ28" s="734" t="n">
        <v>474.6456</v>
      </c>
      <c r="AK28" s="734" t="n">
        <v>0</v>
      </c>
      <c r="AL28" s="734" t="n">
        <v>122.035472</v>
      </c>
      <c r="AM28" s="734">
        <f>SUM(AJ28:AL28)</f>
        <v/>
      </c>
      <c r="AN28" s="734" t="n">
        <v>1144.784607</v>
      </c>
      <c r="AO28" s="746">
        <f>SUM(K28+O28+S28+W28+AA28+AE28+AI28+AM28+AN28)</f>
        <v/>
      </c>
      <c r="AP28" s="373">
        <f>IF(F28=0,"",K28/(F28/((YEAR(E28)*12+MONTH(E28))-(YEAR(D28)*12+MONTH(D28))+1)))</f>
        <v/>
      </c>
      <c r="AQ28" s="373">
        <f>G28/F28</f>
        <v/>
      </c>
      <c r="AR28" s="746">
        <f>F28-G28</f>
        <v/>
      </c>
      <c r="AS28" s="737" t="n"/>
      <c r="AT28" s="737" t="n"/>
      <c r="AU28" s="737" t="n"/>
      <c r="AV28" s="706" t="inlineStr"/>
      <c r="AW28" s="706" t="inlineStr"/>
      <c r="AX28" s="706" t="inlineStr"/>
      <c r="AY28" s="706" t="inlineStr"/>
      <c r="AZ28" s="706" t="inlineStr"/>
      <c r="BA28" s="706" t="inlineStr"/>
      <c r="BB28" s="706" t="inlineStr"/>
      <c r="BC28" s="706" t="inlineStr"/>
      <c r="BD28" s="706" t="inlineStr"/>
      <c r="BE28" s="706" t="inlineStr"/>
      <c r="BF28" s="706" t="inlineStr"/>
      <c r="BG28" s="706" t="inlineStr"/>
      <c r="BH28" s="706" t="inlineStr"/>
      <c r="BI28" s="706" t="inlineStr"/>
      <c r="BJ28" s="706" t="inlineStr"/>
      <c r="BK28" s="706" t="inlineStr"/>
      <c r="BL28" s="706" t="inlineStr"/>
      <c r="BM28" s="706" t="inlineStr"/>
      <c r="BN28" s="706" t="inlineStr"/>
      <c r="BO28" s="706" t="inlineStr"/>
      <c r="BP28" s="706" t="inlineStr"/>
      <c r="BQ28" s="706" t="inlineStr"/>
      <c r="BR28" s="706" t="inlineStr"/>
      <c r="BS28" s="706" t="inlineStr"/>
      <c r="BT28" s="706" t="inlineStr"/>
      <c r="BU28" s="706" t="inlineStr"/>
    </row>
    <row r="29" outlineLevel="1" ht="14.25" customFormat="1" customHeight="1" s="483">
      <c r="A29" s="738" t="inlineStr">
        <is>
          <t>合计</t>
        </is>
      </c>
      <c r="B29" s="739" t="n"/>
      <c r="C29" s="739" t="n"/>
      <c r="D29" s="739" t="n"/>
      <c r="E29" s="740" t="n"/>
      <c r="F29" s="379">
        <f>SUM(F27:F28)</f>
        <v/>
      </c>
      <c r="G29" s="738">
        <f>SUM(G27:G28)</f>
        <v/>
      </c>
      <c r="H29" s="738">
        <f>SUM(H27:H28)</f>
        <v/>
      </c>
      <c r="I29" s="738">
        <f>SUM(I27:I28)</f>
        <v/>
      </c>
      <c r="J29" s="738">
        <f>SUM(J27:J28)</f>
        <v/>
      </c>
      <c r="K29" s="738">
        <f>SUM(K27:K28)</f>
        <v/>
      </c>
      <c r="L29" s="738">
        <f>SUM(L27:L28)</f>
        <v/>
      </c>
      <c r="M29" s="738">
        <f>SUM(M27:M28)</f>
        <v/>
      </c>
      <c r="N29" s="738">
        <f>SUM(N27:N28)</f>
        <v/>
      </c>
      <c r="O29" s="738">
        <f>SUM(O27:O28)</f>
        <v/>
      </c>
      <c r="P29" s="738">
        <f>SUM(P27:P28)</f>
        <v/>
      </c>
      <c r="Q29" s="738">
        <f>SUM(Q27:Q28)</f>
        <v/>
      </c>
      <c r="R29" s="738">
        <f>SUM(R27:R28)</f>
        <v/>
      </c>
      <c r="S29" s="738">
        <f>SUM(S27:S28)</f>
        <v/>
      </c>
      <c r="T29" s="738">
        <f>SUM(T27:T28)</f>
        <v/>
      </c>
      <c r="U29" s="738">
        <f>SUM(U27:U28)</f>
        <v/>
      </c>
      <c r="V29" s="738">
        <f>SUM(V27:V28)</f>
        <v/>
      </c>
      <c r="W29" s="738">
        <f>SUM(W27:W28)</f>
        <v/>
      </c>
      <c r="X29" s="738">
        <f>SUM(X27:X28)</f>
        <v/>
      </c>
      <c r="Y29" s="738">
        <f>SUM(Y27:Y28)</f>
        <v/>
      </c>
      <c r="Z29" s="738">
        <f>SUM(Z27:Z28)</f>
        <v/>
      </c>
      <c r="AA29" s="738">
        <f>SUM(AA27:AA28)</f>
        <v/>
      </c>
      <c r="AB29" s="738">
        <f>SUM(AB27:AB28)</f>
        <v/>
      </c>
      <c r="AC29" s="738">
        <f>SUM(AC27:AC28)</f>
        <v/>
      </c>
      <c r="AD29" s="738">
        <f>SUM(AD27:AD28)</f>
        <v/>
      </c>
      <c r="AE29" s="738">
        <f>SUM(AE27:AE28)</f>
        <v/>
      </c>
      <c r="AF29" s="738">
        <f>SUM(AF27:AF28)</f>
        <v/>
      </c>
      <c r="AG29" s="738">
        <f>SUM(AG27:AG28)</f>
        <v/>
      </c>
      <c r="AH29" s="738">
        <f>SUM(AH27:AH28)</f>
        <v/>
      </c>
      <c r="AI29" s="738">
        <f>SUM(AI27:AI28)</f>
        <v/>
      </c>
      <c r="AJ29" s="738">
        <f>SUM(AJ27:AJ28)</f>
        <v/>
      </c>
      <c r="AK29" s="738">
        <f>SUM(AK27:AK28)</f>
        <v/>
      </c>
      <c r="AL29" s="738">
        <f>SUM(AL27:AL28)</f>
        <v/>
      </c>
      <c r="AM29" s="738">
        <f>SUM(AM27:AM28)</f>
        <v/>
      </c>
      <c r="AN29" s="738">
        <f>SUM(AN27:AN28)</f>
        <v/>
      </c>
      <c r="AO29" s="379">
        <f>SUM(K29+O29+S29+W29+AA29+AE29+AI29+AM29+AN29)</f>
        <v/>
      </c>
      <c r="AP29" s="381">
        <f>IF(F29=0,"",K29/(F29/((YEAR(E27)*12+MONTH(E27))-(YEAR(D27)*12+MONTH(D27))+1)))</f>
        <v/>
      </c>
      <c r="AQ29" s="382">
        <f>G29/F29</f>
        <v/>
      </c>
      <c r="AR29" s="743">
        <f>F29-G29</f>
        <v/>
      </c>
      <c r="AS29" s="383">
        <f>AS27</f>
        <v/>
      </c>
      <c r="AT29" s="381">
        <f>AO29/AS27</f>
        <v/>
      </c>
      <c r="AU29" s="742">
        <f>AS27-AO29</f>
        <v/>
      </c>
      <c r="AV29" s="713" t="inlineStr"/>
      <c r="AW29" s="713" t="inlineStr"/>
      <c r="AX29" s="713" t="inlineStr"/>
      <c r="AY29" s="713" t="inlineStr"/>
      <c r="AZ29" s="713" t="inlineStr"/>
      <c r="BA29" s="713" t="inlineStr"/>
      <c r="BB29" s="713" t="inlineStr"/>
      <c r="BC29" s="713" t="inlineStr"/>
      <c r="BD29" s="713" t="inlineStr"/>
      <c r="BE29" s="713" t="inlineStr"/>
      <c r="BF29" s="713" t="inlineStr"/>
      <c r="BG29" s="713" t="inlineStr"/>
      <c r="BH29" s="713" t="inlineStr"/>
      <c r="BI29" s="713" t="inlineStr"/>
      <c r="BJ29" s="713" t="inlineStr"/>
      <c r="BK29" s="713" t="inlineStr"/>
      <c r="BL29" s="713" t="inlineStr"/>
      <c r="BM29" s="713" t="inlineStr"/>
      <c r="BN29" s="713" t="inlineStr"/>
      <c r="BO29" s="713" t="inlineStr"/>
      <c r="BP29" s="713" t="inlineStr"/>
      <c r="BQ29" s="713" t="inlineStr"/>
      <c r="BR29" s="713" t="inlineStr"/>
      <c r="BS29" s="713" t="inlineStr"/>
      <c r="BT29" s="713" t="inlineStr"/>
      <c r="BU29" s="713" t="inlineStr"/>
    </row>
    <row r="30" outlineLevel="1" ht="14.25" customFormat="1" customHeight="1" s="483">
      <c r="A30" s="729" t="inlineStr">
        <is>
          <t>理财师020</t>
        </is>
      </c>
      <c r="B30" s="729" t="inlineStr">
        <is>
          <t>理财师032</t>
        </is>
      </c>
      <c r="C30" s="729" t="inlineStr">
        <is>
          <t>私人财富管理资深顾问PWA2-3</t>
        </is>
      </c>
      <c r="D30" s="730" t="n">
        <v>46230</v>
      </c>
      <c r="E30" s="730" t="n">
        <v>46387</v>
      </c>
      <c r="F30" s="729" t="n">
        <v>10476.7178</v>
      </c>
      <c r="G30" s="729" t="n">
        <v>1894.885497</v>
      </c>
      <c r="H30" s="729" t="n">
        <v>0</v>
      </c>
      <c r="I30" s="729" t="n">
        <v>0</v>
      </c>
      <c r="J30" s="729" t="n">
        <v>0</v>
      </c>
      <c r="K30" s="729">
        <f>SUM(H30:J30)</f>
        <v/>
      </c>
      <c r="L30" s="729" t="n">
        <v>1522.301508</v>
      </c>
      <c r="M30" s="729" t="n">
        <v>0</v>
      </c>
      <c r="N30" s="729" t="n">
        <v>0</v>
      </c>
      <c r="O30" s="729">
        <f>SUM(L30:N30)</f>
        <v/>
      </c>
      <c r="P30" s="729" t="n">
        <v>1882.098428</v>
      </c>
      <c r="Q30" s="729" t="n">
        <v>0</v>
      </c>
      <c r="R30" s="729" t="n">
        <v>192.631102</v>
      </c>
      <c r="S30" s="729">
        <f>SUM(P30:R30)</f>
        <v/>
      </c>
      <c r="T30" s="729" t="n">
        <v>2009.44</v>
      </c>
      <c r="U30" s="729" t="n">
        <v>646.53732</v>
      </c>
      <c r="V30" s="729" t="n">
        <v>224.30146</v>
      </c>
      <c r="W30" s="729">
        <f>SUM(T30:V30)</f>
        <v/>
      </c>
      <c r="X30" s="729" t="n">
        <v>1610.465688</v>
      </c>
      <c r="Y30" s="729" t="n">
        <v>110.192882</v>
      </c>
      <c r="Z30" s="729" t="n">
        <v>64.69</v>
      </c>
      <c r="AA30" s="729">
        <f>SUM(X30:Z30)</f>
        <v/>
      </c>
      <c r="AB30" s="729" t="n">
        <v>1083.439812</v>
      </c>
      <c r="AC30" s="729" t="n">
        <v>0</v>
      </c>
      <c r="AD30" s="729" t="n">
        <v>14.205807</v>
      </c>
      <c r="AE30" s="729">
        <f>SUM(AB30:AD30)</f>
        <v/>
      </c>
      <c r="AF30" s="729" t="n">
        <v>0</v>
      </c>
      <c r="AG30" s="729" t="n">
        <v>342.296351</v>
      </c>
      <c r="AH30" s="729" t="n">
        <v>26.611569</v>
      </c>
      <c r="AI30" s="729">
        <f>SUM(AF30:AH30)</f>
        <v/>
      </c>
      <c r="AJ30" s="729" t="n">
        <v>440.8209</v>
      </c>
      <c r="AK30" s="729" t="n">
        <v>0</v>
      </c>
      <c r="AL30" s="729" t="n">
        <v>5.151776</v>
      </c>
      <c r="AM30" s="729">
        <f>SUM(AJ30:AL30)</f>
        <v/>
      </c>
      <c r="AN30" s="729" t="n">
        <v>1181.201818</v>
      </c>
      <c r="AO30" s="363">
        <f>SUM(K30+O30+S30+W30+AA30+AE30+AI30+AM30+AN30)</f>
        <v/>
      </c>
      <c r="AP30" s="364">
        <f>IF(F30=0,"",K30/(F30/((YEAR(E30)*12+MONTH(E30))-(YEAR(D30)*12+MONTH(D30))+1)))</f>
        <v/>
      </c>
      <c r="AQ30" s="364">
        <f>G30/F30</f>
        <v/>
      </c>
      <c r="AR30" s="731">
        <f>F30-G30</f>
        <v/>
      </c>
      <c r="AS30" s="366">
        <f>SUM(F30:F31)</f>
        <v/>
      </c>
      <c r="AT30" s="367">
        <f>AT32</f>
        <v/>
      </c>
      <c r="AU30" s="745">
        <f>AU32</f>
        <v/>
      </c>
      <c r="AV30" s="706" t="inlineStr"/>
      <c r="AW30" s="706" t="inlineStr"/>
      <c r="AX30" s="706" t="inlineStr"/>
      <c r="AY30" s="706" t="inlineStr"/>
      <c r="AZ30" s="706" t="inlineStr"/>
      <c r="BA30" s="706" t="inlineStr"/>
      <c r="BB30" s="706" t="inlineStr"/>
      <c r="BC30" s="706" t="inlineStr"/>
      <c r="BD30" s="706" t="inlineStr"/>
      <c r="BE30" s="706" t="inlineStr"/>
      <c r="BF30" s="706" t="inlineStr"/>
      <c r="BG30" s="706" t="inlineStr"/>
      <c r="BH30" s="706" t="inlineStr"/>
      <c r="BI30" s="706" t="inlineStr"/>
      <c r="BJ30" s="706" t="inlineStr"/>
      <c r="BK30" s="706" t="inlineStr"/>
      <c r="BL30" s="706" t="inlineStr"/>
      <c r="BM30" s="706" t="inlineStr"/>
      <c r="BN30" s="706" t="inlineStr"/>
      <c r="BO30" s="706" t="inlineStr"/>
      <c r="BP30" s="706" t="inlineStr"/>
      <c r="BQ30" s="706" t="inlineStr"/>
      <c r="BR30" s="706" t="inlineStr"/>
      <c r="BS30" s="706" t="inlineStr"/>
      <c r="BT30" s="706" t="inlineStr"/>
      <c r="BU30" s="706" t="inlineStr"/>
    </row>
    <row r="31" outlineLevel="1" ht="14.25" customFormat="1" customHeight="1" s="483">
      <c r="A31" s="737" t="n"/>
      <c r="B31" s="734" t="inlineStr">
        <is>
          <t>理财师020</t>
        </is>
      </c>
      <c r="C31" s="734" t="inlineStr">
        <is>
          <t>首席私人财富管理专家PWA5-1</t>
        </is>
      </c>
      <c r="D31" s="735" t="n">
        <v>46204</v>
      </c>
      <c r="E31" s="735" t="n">
        <v>46387</v>
      </c>
      <c r="F31" s="734" t="n">
        <v>42178.5</v>
      </c>
      <c r="G31" s="734" t="n">
        <v>5514.694209</v>
      </c>
      <c r="H31" s="734" t="n">
        <v>0</v>
      </c>
      <c r="I31" s="734" t="n">
        <v>0</v>
      </c>
      <c r="J31" s="734" t="n">
        <v>0</v>
      </c>
      <c r="K31" s="734">
        <f>SUM(H31:J31)</f>
        <v/>
      </c>
      <c r="L31" s="734" t="n">
        <v>789.58152</v>
      </c>
      <c r="M31" s="734" t="n">
        <v>0</v>
      </c>
      <c r="N31" s="734" t="n">
        <v>0</v>
      </c>
      <c r="O31" s="734">
        <f>SUM(L31:N31)</f>
        <v/>
      </c>
      <c r="P31" s="734" t="n">
        <v>1888.180808</v>
      </c>
      <c r="Q31" s="734" t="n">
        <v>2400.703812</v>
      </c>
      <c r="R31" s="734" t="n">
        <v>436.22807</v>
      </c>
      <c r="S31" s="734">
        <f>SUM(P31:R31)</f>
        <v/>
      </c>
      <c r="T31" s="734" t="n">
        <v>7288.783433</v>
      </c>
      <c r="U31" s="734" t="n">
        <v>601.58592</v>
      </c>
      <c r="V31" s="734" t="n">
        <v>529.921185</v>
      </c>
      <c r="W31" s="734">
        <f>SUM(T31:V31)</f>
        <v/>
      </c>
      <c r="X31" s="734" t="n">
        <v>8333.122670999999</v>
      </c>
      <c r="Y31" s="734" t="n">
        <v>0</v>
      </c>
      <c r="Z31" s="734" t="n">
        <v>344.832994</v>
      </c>
      <c r="AA31" s="734">
        <f>SUM(X31:Z31)</f>
        <v/>
      </c>
      <c r="AB31" s="734" t="n">
        <v>1757.399138</v>
      </c>
      <c r="AC31" s="734" t="n">
        <v>3101.9274</v>
      </c>
      <c r="AD31" s="734" t="n">
        <v>351.050214</v>
      </c>
      <c r="AE31" s="734">
        <f>SUM(AB31:AD31)</f>
        <v/>
      </c>
      <c r="AF31" s="734" t="n">
        <v>10803.329409</v>
      </c>
      <c r="AG31" s="734" t="n">
        <v>0</v>
      </c>
      <c r="AH31" s="734" t="n">
        <v>482.924828</v>
      </c>
      <c r="AI31" s="734">
        <f>SUM(AF31:AH31)</f>
        <v/>
      </c>
      <c r="AJ31" s="734" t="n">
        <v>6594.535422</v>
      </c>
      <c r="AK31" s="734" t="n">
        <v>0</v>
      </c>
      <c r="AL31" s="734" t="n">
        <v>298.548906</v>
      </c>
      <c r="AM31" s="734">
        <f>SUM(AJ31:AL31)</f>
        <v/>
      </c>
      <c r="AN31" s="734" t="n">
        <v>9248.294954999999</v>
      </c>
      <c r="AO31" s="372">
        <f>SUM(K31+O31+S31+W31+AA31+AE31+AI31+AM31+AN31)</f>
        <v/>
      </c>
      <c r="AP31" s="373">
        <f>IF(F31=0,"",K31/(F31/((YEAR(E31)*12+MONTH(E31))-(YEAR(D31)*12+MONTH(D31))+1)))</f>
        <v/>
      </c>
      <c r="AQ31" s="373">
        <f>G31/F31</f>
        <v/>
      </c>
      <c r="AR31" s="736">
        <f>F31-G31</f>
        <v/>
      </c>
      <c r="AS31" s="737" t="n"/>
      <c r="AT31" s="737" t="n"/>
      <c r="AU31" s="737" t="n"/>
      <c r="AV31" s="706" t="inlineStr"/>
      <c r="AW31" s="706" t="inlineStr"/>
      <c r="AX31" s="706" t="inlineStr"/>
      <c r="AY31" s="706" t="inlineStr"/>
      <c r="AZ31" s="706" t="inlineStr"/>
      <c r="BA31" s="706" t="inlineStr"/>
      <c r="BB31" s="706" t="inlineStr"/>
      <c r="BC31" s="706" t="inlineStr"/>
      <c r="BD31" s="706" t="inlineStr"/>
      <c r="BE31" s="706" t="inlineStr"/>
      <c r="BF31" s="706" t="inlineStr"/>
      <c r="BG31" s="706" t="inlineStr"/>
      <c r="BH31" s="706" t="inlineStr"/>
      <c r="BI31" s="706" t="inlineStr"/>
      <c r="BJ31" s="706" t="inlineStr"/>
      <c r="BK31" s="706" t="inlineStr"/>
      <c r="BL31" s="706" t="inlineStr"/>
      <c r="BM31" s="706" t="inlineStr"/>
      <c r="BN31" s="706" t="inlineStr"/>
      <c r="BO31" s="706" t="inlineStr"/>
      <c r="BP31" s="706" t="inlineStr"/>
      <c r="BQ31" s="706" t="inlineStr"/>
      <c r="BR31" s="706" t="inlineStr"/>
      <c r="BS31" s="706" t="inlineStr"/>
      <c r="BT31" s="706" t="inlineStr"/>
      <c r="BU31" s="706" t="inlineStr"/>
    </row>
    <row r="32" outlineLevel="1" ht="14.25" customFormat="1" customHeight="1" s="483">
      <c r="A32" s="738" t="inlineStr">
        <is>
          <t>合计</t>
        </is>
      </c>
      <c r="B32" s="739" t="n"/>
      <c r="C32" s="739" t="n"/>
      <c r="D32" s="739" t="n"/>
      <c r="E32" s="740" t="n"/>
      <c r="F32" s="379">
        <f>SUM(F30:F31)</f>
        <v/>
      </c>
      <c r="G32" s="738">
        <f>SUM(G30:G31)</f>
        <v/>
      </c>
      <c r="H32" s="738">
        <f>SUM(H30:H31)</f>
        <v/>
      </c>
      <c r="I32" s="738">
        <f>SUM(I30:I31)</f>
        <v/>
      </c>
      <c r="J32" s="738">
        <f>SUM(J30:J31)</f>
        <v/>
      </c>
      <c r="K32" s="738">
        <f>SUM(K30:K31)</f>
        <v/>
      </c>
      <c r="L32" s="738">
        <f>SUM(L30:L31)</f>
        <v/>
      </c>
      <c r="M32" s="738">
        <f>SUM(M30:M31)</f>
        <v/>
      </c>
      <c r="N32" s="738">
        <f>SUM(N30:N31)</f>
        <v/>
      </c>
      <c r="O32" s="738">
        <f>SUM(O30:O31)</f>
        <v/>
      </c>
      <c r="P32" s="738">
        <f>SUM(P30:P31)</f>
        <v/>
      </c>
      <c r="Q32" s="738">
        <f>SUM(Q30:Q31)</f>
        <v/>
      </c>
      <c r="R32" s="738">
        <f>SUM(R30:R31)</f>
        <v/>
      </c>
      <c r="S32" s="738">
        <f>SUM(S30:S31)</f>
        <v/>
      </c>
      <c r="T32" s="738">
        <f>SUM(T30:T31)</f>
        <v/>
      </c>
      <c r="U32" s="738">
        <f>SUM(U30:U31)</f>
        <v/>
      </c>
      <c r="V32" s="738">
        <f>SUM(V30:V31)</f>
        <v/>
      </c>
      <c r="W32" s="738">
        <f>SUM(W30:W31)</f>
        <v/>
      </c>
      <c r="X32" s="738">
        <f>SUM(X30:X31)</f>
        <v/>
      </c>
      <c r="Y32" s="738">
        <f>SUM(Y30:Y31)</f>
        <v/>
      </c>
      <c r="Z32" s="738">
        <f>SUM(Z30:Z31)</f>
        <v/>
      </c>
      <c r="AA32" s="738">
        <f>SUM(AA30:AA31)</f>
        <v/>
      </c>
      <c r="AB32" s="738">
        <f>SUM(AB30:AB31)</f>
        <v/>
      </c>
      <c r="AC32" s="738">
        <f>SUM(AC30:AC31)</f>
        <v/>
      </c>
      <c r="AD32" s="738">
        <f>SUM(AD30:AD31)</f>
        <v/>
      </c>
      <c r="AE32" s="738">
        <f>SUM(AE30:AE31)</f>
        <v/>
      </c>
      <c r="AF32" s="738">
        <f>SUM(AF30:AF31)</f>
        <v/>
      </c>
      <c r="AG32" s="738">
        <f>SUM(AG30:AG31)</f>
        <v/>
      </c>
      <c r="AH32" s="738">
        <f>SUM(AH30:AH31)</f>
        <v/>
      </c>
      <c r="AI32" s="738">
        <f>SUM(AI30:AI31)</f>
        <v/>
      </c>
      <c r="AJ32" s="738">
        <f>SUM(AJ30:AJ31)</f>
        <v/>
      </c>
      <c r="AK32" s="738">
        <f>SUM(AK30:AK31)</f>
        <v/>
      </c>
      <c r="AL32" s="738">
        <f>SUM(AL30:AL31)</f>
        <v/>
      </c>
      <c r="AM32" s="738">
        <f>SUM(AM30:AM31)</f>
        <v/>
      </c>
      <c r="AN32" s="738">
        <f>SUM(AN30:AN31)</f>
        <v/>
      </c>
      <c r="AO32" s="741">
        <f>SUM(K32+O32+S32+W32+AA32+AE32+AI32+AM32+AN32)</f>
        <v/>
      </c>
      <c r="AP32" s="381">
        <f>IF(F32=0,"",K32/(F32/((YEAR(E30)*12+MONTH(E30))-(YEAR(D30)*12+MONTH(D30))+1)))</f>
        <v/>
      </c>
      <c r="AQ32" s="382">
        <f>G32/F32</f>
        <v/>
      </c>
      <c r="AR32" s="741">
        <f>F32-G32</f>
        <v/>
      </c>
      <c r="AS32" s="383">
        <f>AS30</f>
        <v/>
      </c>
      <c r="AT32" s="381">
        <f>AO32/AS30</f>
        <v/>
      </c>
      <c r="AU32" s="742">
        <f>AS30-AO32</f>
        <v/>
      </c>
      <c r="AV32" s="713" t="inlineStr"/>
      <c r="AW32" s="713" t="inlineStr"/>
      <c r="AX32" s="713" t="inlineStr"/>
      <c r="AY32" s="713" t="inlineStr"/>
      <c r="AZ32" s="713" t="inlineStr"/>
      <c r="BA32" s="713" t="inlineStr"/>
      <c r="BB32" s="713" t="inlineStr"/>
      <c r="BC32" s="713" t="inlineStr"/>
      <c r="BD32" s="713" t="inlineStr"/>
      <c r="BE32" s="713" t="inlineStr"/>
      <c r="BF32" s="713" t="inlineStr"/>
      <c r="BG32" s="713" t="inlineStr"/>
      <c r="BH32" s="713" t="inlineStr"/>
      <c r="BI32" s="713" t="inlineStr"/>
      <c r="BJ32" s="713" t="inlineStr"/>
      <c r="BK32" s="713" t="inlineStr"/>
      <c r="BL32" s="713" t="inlineStr"/>
      <c r="BM32" s="713" t="inlineStr"/>
      <c r="BN32" s="713" t="inlineStr"/>
      <c r="BO32" s="713" t="inlineStr"/>
      <c r="BP32" s="713" t="inlineStr"/>
      <c r="BQ32" s="713" t="inlineStr"/>
      <c r="BR32" s="713" t="inlineStr"/>
      <c r="BS32" s="713" t="inlineStr"/>
      <c r="BT32" s="713" t="inlineStr"/>
      <c r="BU32" s="713" t="inlineStr"/>
    </row>
    <row r="33" outlineLevel="1" ht="14.25" customFormat="1" customHeight="1" s="483">
      <c r="A33" s="729" t="inlineStr">
        <is>
          <t>理财师005</t>
        </is>
      </c>
      <c r="B33" s="729" t="inlineStr">
        <is>
          <t>理财师030</t>
        </is>
      </c>
      <c r="C33" s="729" t="inlineStr">
        <is>
          <t>私人财富管理顾问PWA1-1</t>
        </is>
      </c>
      <c r="D33" s="730" t="n">
        <v>46195</v>
      </c>
      <c r="E33" s="730" t="n">
        <v>46377</v>
      </c>
      <c r="F33" s="729" t="n">
        <v>7461.34</v>
      </c>
      <c r="G33" s="729" t="n">
        <v>153.986741</v>
      </c>
      <c r="H33" s="729" t="n">
        <v>0</v>
      </c>
      <c r="I33" s="729" t="n">
        <v>0</v>
      </c>
      <c r="J33" s="729" t="n">
        <v>0</v>
      </c>
      <c r="K33" s="729">
        <f>SUM(H33:J33)</f>
        <v/>
      </c>
      <c r="L33" s="729" t="n">
        <v>0</v>
      </c>
      <c r="M33" s="729" t="n">
        <v>0</v>
      </c>
      <c r="N33" s="729" t="n">
        <v>0</v>
      </c>
      <c r="O33" s="729">
        <f>SUM(L33:N33)</f>
        <v/>
      </c>
      <c r="P33" s="729" t="n">
        <v>0</v>
      </c>
      <c r="Q33" s="729" t="n">
        <v>0</v>
      </c>
      <c r="R33" s="729" t="n">
        <v>15.372437</v>
      </c>
      <c r="S33" s="729">
        <f>SUM(P33:R33)</f>
        <v/>
      </c>
      <c r="T33" s="729" t="n">
        <v>247.0689</v>
      </c>
      <c r="U33" s="729" t="n">
        <v>0</v>
      </c>
      <c r="V33" s="729" t="n">
        <v>1.353804</v>
      </c>
      <c r="W33" s="729">
        <f>SUM(T33:V33)</f>
        <v/>
      </c>
      <c r="X33" s="729" t="n">
        <v>0</v>
      </c>
      <c r="Y33" s="729" t="n">
        <v>0</v>
      </c>
      <c r="Z33" s="729" t="n">
        <v>0</v>
      </c>
      <c r="AA33" s="729">
        <f>SUM(X33:Z33)</f>
        <v/>
      </c>
      <c r="AB33" s="729" t="n">
        <v>0</v>
      </c>
      <c r="AC33" s="729" t="n">
        <v>0</v>
      </c>
      <c r="AD33" s="729" t="n">
        <v>0</v>
      </c>
      <c r="AE33" s="729">
        <f>SUM(AB33:AD33)</f>
        <v/>
      </c>
      <c r="AF33" s="729" t="n">
        <v>0</v>
      </c>
      <c r="AG33" s="729" t="n">
        <v>0</v>
      </c>
      <c r="AH33" s="729" t="n">
        <v>0</v>
      </c>
      <c r="AI33" s="729">
        <f>SUM(AF33:AH33)</f>
        <v/>
      </c>
      <c r="AJ33" s="729" t="n">
        <v>0</v>
      </c>
      <c r="AK33" s="729" t="n">
        <v>0</v>
      </c>
      <c r="AL33" s="729" t="n">
        <v>0</v>
      </c>
      <c r="AM33" s="729">
        <f>SUM(AJ33:AL33)</f>
        <v/>
      </c>
      <c r="AN33" s="729" t="n">
        <v>0</v>
      </c>
      <c r="AO33" s="363">
        <f>SUM(K33+O33+S33+W33+AA33+AE33+AI33+AM33+AN33)</f>
        <v/>
      </c>
      <c r="AP33" s="364">
        <f>IF(F33=0,"",K33/(F33/((YEAR(E33)*12+MONTH(E33))-(YEAR(D33)*12+MONTH(D33))+1)))</f>
        <v/>
      </c>
      <c r="AQ33" s="364">
        <f>G33/F33</f>
        <v/>
      </c>
      <c r="AR33" s="731">
        <f>F33-G33</f>
        <v/>
      </c>
      <c r="AS33" s="366">
        <f>SUM(F33:F35)</f>
        <v/>
      </c>
      <c r="AT33" s="367">
        <f>AT36</f>
        <v/>
      </c>
      <c r="AU33" s="745">
        <f>AU36</f>
        <v/>
      </c>
      <c r="AV33" s="706" t="inlineStr"/>
      <c r="AW33" s="706" t="inlineStr"/>
      <c r="AX33" s="706" t="inlineStr"/>
      <c r="AY33" s="706" t="inlineStr"/>
      <c r="AZ33" s="706" t="inlineStr"/>
      <c r="BA33" s="706" t="inlineStr"/>
      <c r="BB33" s="706" t="inlineStr"/>
      <c r="BC33" s="706" t="inlineStr"/>
      <c r="BD33" s="706" t="inlineStr"/>
      <c r="BE33" s="706" t="inlineStr"/>
      <c r="BF33" s="706" t="inlineStr"/>
      <c r="BG33" s="706" t="inlineStr"/>
      <c r="BH33" s="706" t="inlineStr"/>
      <c r="BI33" s="706" t="inlineStr"/>
      <c r="BJ33" s="706" t="inlineStr"/>
      <c r="BK33" s="706" t="inlineStr"/>
      <c r="BL33" s="706" t="inlineStr"/>
      <c r="BM33" s="706" t="inlineStr"/>
      <c r="BN33" s="706" t="inlineStr"/>
      <c r="BO33" s="706" t="inlineStr"/>
      <c r="BP33" s="706" t="inlineStr"/>
      <c r="BQ33" s="706" t="inlineStr"/>
      <c r="BR33" s="706" t="inlineStr"/>
      <c r="BS33" s="706" t="inlineStr"/>
      <c r="BT33" s="706" t="inlineStr"/>
      <c r="BU33" s="706" t="inlineStr"/>
    </row>
    <row r="34" outlineLevel="1" ht="14.25" customFormat="1" customHeight="1" s="483">
      <c r="A34" s="733" t="n"/>
      <c r="B34" s="734" t="inlineStr">
        <is>
          <t>理财师026</t>
        </is>
      </c>
      <c r="C34" s="734" t="inlineStr">
        <is>
          <t>观察期PWA0-1</t>
        </is>
      </c>
      <c r="D34" s="735" t="n">
        <v>46113</v>
      </c>
      <c r="E34" s="735" t="n">
        <v>46203</v>
      </c>
      <c r="F34" s="734" t="n">
        <v>1943.13</v>
      </c>
      <c r="G34" s="734" t="n">
        <v>465.481988</v>
      </c>
      <c r="H34" s="734" t="n">
        <v>0</v>
      </c>
      <c r="I34" s="734" t="n">
        <v>0</v>
      </c>
      <c r="J34" s="734" t="n">
        <v>0</v>
      </c>
      <c r="K34" s="734">
        <f>SUM(H34:J34)</f>
        <v/>
      </c>
      <c r="L34" s="734" t="n">
        <v>0</v>
      </c>
      <c r="M34" s="734" t="n">
        <v>0</v>
      </c>
      <c r="N34" s="734" t="n">
        <v>0</v>
      </c>
      <c r="O34" s="734">
        <f>SUM(L34:N34)</f>
        <v/>
      </c>
      <c r="P34" s="734" t="n">
        <v>0</v>
      </c>
      <c r="Q34" s="734" t="n">
        <v>0</v>
      </c>
      <c r="R34" s="734" t="n">
        <v>18.717729</v>
      </c>
      <c r="S34" s="734">
        <f>SUM(P34:R34)</f>
        <v/>
      </c>
      <c r="T34" s="734" t="n">
        <v>288.6936</v>
      </c>
      <c r="U34" s="734" t="n">
        <v>0</v>
      </c>
      <c r="V34" s="734" t="n">
        <v>29.573753</v>
      </c>
      <c r="W34" s="734">
        <f>SUM(T34:V34)</f>
        <v/>
      </c>
      <c r="X34" s="734" t="n">
        <v>114.611359</v>
      </c>
      <c r="Y34" s="734" t="n">
        <v>0</v>
      </c>
      <c r="Z34" s="734" t="n">
        <v>18.055825</v>
      </c>
      <c r="AA34" s="734">
        <f>SUM(X34:Z34)</f>
        <v/>
      </c>
      <c r="AB34" s="734" t="n">
        <v>0</v>
      </c>
      <c r="AC34" s="734" t="n">
        <v>0</v>
      </c>
      <c r="AD34" s="734" t="n">
        <v>14.547451</v>
      </c>
      <c r="AE34" s="734">
        <f>SUM(AB34:AD34)</f>
        <v/>
      </c>
      <c r="AF34" s="734" t="n">
        <v>809.929895</v>
      </c>
      <c r="AG34" s="734" t="n">
        <v>0</v>
      </c>
      <c r="AH34" s="734" t="n">
        <v>47.501776</v>
      </c>
      <c r="AI34" s="734">
        <f>SUM(AF34:AH34)</f>
        <v/>
      </c>
      <c r="AJ34" s="734" t="n">
        <v>176.20858</v>
      </c>
      <c r="AK34" s="734" t="n">
        <v>0</v>
      </c>
      <c r="AL34" s="734" t="n">
        <v>11.404098</v>
      </c>
      <c r="AM34" s="734">
        <f>SUM(AJ34:AL34)</f>
        <v/>
      </c>
      <c r="AN34" s="734" t="n">
        <v>12.282809</v>
      </c>
      <c r="AO34" s="372">
        <f>SUM(K34+O34+S34+W34+AA34+AE34+AI34+AM34+AN34)</f>
        <v/>
      </c>
      <c r="AP34" s="373">
        <f>IF(F34=0,"",K34/(F34/((YEAR(E34)*12+MONTH(E34))-(YEAR(D34)*12+MONTH(D34))+1)))</f>
        <v/>
      </c>
      <c r="AQ34" s="373">
        <f>G34/F34</f>
        <v/>
      </c>
      <c r="AR34" s="736">
        <f>F34-G34</f>
        <v/>
      </c>
      <c r="AS34" s="733" t="n"/>
      <c r="AT34" s="733" t="n"/>
      <c r="AU34" s="733" t="n"/>
      <c r="AV34" s="706" t="inlineStr"/>
      <c r="AW34" s="706" t="inlineStr"/>
      <c r="AX34" s="706" t="inlineStr"/>
      <c r="AY34" s="706" t="inlineStr"/>
      <c r="AZ34" s="706" t="inlineStr"/>
      <c r="BA34" s="706" t="inlineStr"/>
      <c r="BB34" s="706" t="inlineStr"/>
      <c r="BC34" s="706" t="inlineStr"/>
      <c r="BD34" s="706" t="inlineStr"/>
      <c r="BE34" s="706" t="inlineStr"/>
      <c r="BF34" s="706" t="inlineStr"/>
      <c r="BG34" s="706" t="inlineStr"/>
      <c r="BH34" s="706" t="inlineStr"/>
      <c r="BI34" s="706" t="inlineStr"/>
      <c r="BJ34" s="706" t="inlineStr"/>
      <c r="BK34" s="706" t="inlineStr"/>
      <c r="BL34" s="706" t="inlineStr"/>
      <c r="BM34" s="706" t="inlineStr"/>
      <c r="BN34" s="706" t="inlineStr"/>
      <c r="BO34" s="706" t="inlineStr"/>
      <c r="BP34" s="706" t="inlineStr"/>
      <c r="BQ34" s="706" t="inlineStr"/>
      <c r="BR34" s="706" t="inlineStr"/>
      <c r="BS34" s="706" t="inlineStr"/>
      <c r="BT34" s="706" t="inlineStr"/>
      <c r="BU34" s="706" t="inlineStr"/>
    </row>
    <row r="35" outlineLevel="1" ht="14.25" customFormat="1" customHeight="1" s="483">
      <c r="A35" s="737" t="n"/>
      <c r="B35" s="734" t="inlineStr">
        <is>
          <t>理财师005</t>
        </is>
      </c>
      <c r="C35" s="734" t="inlineStr">
        <is>
          <t>私人财富管理资深顾问PWA2-5</t>
        </is>
      </c>
      <c r="D35" s="735" t="n">
        <v>46204</v>
      </c>
      <c r="E35" s="735" t="n">
        <v>46387</v>
      </c>
      <c r="F35" s="734" t="n">
        <v>13123.44</v>
      </c>
      <c r="G35" s="734" t="n">
        <v>2617.09177</v>
      </c>
      <c r="H35" s="734" t="n">
        <v>290.8035</v>
      </c>
      <c r="I35" s="734" t="n">
        <v>0</v>
      </c>
      <c r="J35" s="734" t="n">
        <v>0</v>
      </c>
      <c r="K35" s="734">
        <f>SUM(H35:J35)</f>
        <v/>
      </c>
      <c r="L35" s="734" t="n">
        <v>490.876308</v>
      </c>
      <c r="M35" s="734" t="n">
        <v>0</v>
      </c>
      <c r="N35" s="734" t="n">
        <v>0</v>
      </c>
      <c r="O35" s="734">
        <f>SUM(L35:N35)</f>
        <v/>
      </c>
      <c r="P35" s="734" t="n">
        <v>1321.776671</v>
      </c>
      <c r="Q35" s="734" t="n">
        <v>0</v>
      </c>
      <c r="R35" s="734" t="n">
        <v>513.6352900000001</v>
      </c>
      <c r="S35" s="734">
        <f>SUM(P35:R35)</f>
        <v/>
      </c>
      <c r="T35" s="734" t="n">
        <v>3750.483593</v>
      </c>
      <c r="U35" s="734" t="n">
        <v>0</v>
      </c>
      <c r="V35" s="734" t="n">
        <v>577.821105</v>
      </c>
      <c r="W35" s="734">
        <f>SUM(T35:V35)</f>
        <v/>
      </c>
      <c r="X35" s="734" t="n">
        <v>907.591957</v>
      </c>
      <c r="Y35" s="734" t="n">
        <v>0</v>
      </c>
      <c r="Z35" s="734" t="n">
        <v>364.243787</v>
      </c>
      <c r="AA35" s="734">
        <f>SUM(X35:Z35)</f>
        <v/>
      </c>
      <c r="AB35" s="734" t="n">
        <v>1870.349984</v>
      </c>
      <c r="AC35" s="734" t="n">
        <v>2312.474666</v>
      </c>
      <c r="AD35" s="734" t="n">
        <v>319.48223</v>
      </c>
      <c r="AE35" s="734">
        <f>SUM(AB35:AD35)</f>
        <v/>
      </c>
      <c r="AF35" s="734" t="n">
        <v>731.292658</v>
      </c>
      <c r="AG35" s="734" t="n">
        <v>1925.150771</v>
      </c>
      <c r="AH35" s="734" t="n">
        <v>383.775324</v>
      </c>
      <c r="AI35" s="734">
        <f>SUM(AF35:AH35)</f>
        <v/>
      </c>
      <c r="AJ35" s="734" t="n">
        <v>1738.204897</v>
      </c>
      <c r="AK35" s="734" t="n">
        <v>0</v>
      </c>
      <c r="AL35" s="734" t="n">
        <v>284.706769</v>
      </c>
      <c r="AM35" s="734">
        <f>SUM(AJ35:AL35)</f>
        <v/>
      </c>
      <c r="AN35" s="734" t="n">
        <v>1538.392041</v>
      </c>
      <c r="AO35" s="746">
        <f>SUM(K35+O35+S35+W35+AA35+AE35+AI35+AM35+AN35)</f>
        <v/>
      </c>
      <c r="AP35" s="373">
        <f>IF(F35=0,"",K35/(F35/((YEAR(E35)*12+MONTH(E35))-(YEAR(D35)*12+MONTH(D35))+1)))</f>
        <v/>
      </c>
      <c r="AQ35" s="373">
        <f>G35/F35</f>
        <v/>
      </c>
      <c r="AR35" s="746">
        <f>F35-G35</f>
        <v/>
      </c>
      <c r="AS35" s="737" t="n"/>
      <c r="AT35" s="737" t="n"/>
      <c r="AU35" s="737" t="n"/>
      <c r="AV35" s="706" t="inlineStr"/>
      <c r="AW35" s="706" t="inlineStr"/>
      <c r="AX35" s="706" t="inlineStr"/>
      <c r="AY35" s="706" t="inlineStr"/>
      <c r="AZ35" s="706" t="inlineStr"/>
      <c r="BA35" s="706" t="inlineStr"/>
      <c r="BB35" s="706" t="inlineStr"/>
      <c r="BC35" s="706" t="inlineStr"/>
      <c r="BD35" s="706" t="inlineStr"/>
      <c r="BE35" s="706" t="inlineStr"/>
      <c r="BF35" s="706" t="inlineStr"/>
      <c r="BG35" s="706" t="inlineStr"/>
      <c r="BH35" s="706" t="inlineStr"/>
      <c r="BI35" s="706" t="inlineStr"/>
      <c r="BJ35" s="706" t="inlineStr"/>
      <c r="BK35" s="706" t="inlineStr"/>
      <c r="BL35" s="706" t="inlineStr"/>
      <c r="BM35" s="706" t="inlineStr"/>
      <c r="BN35" s="706" t="inlineStr"/>
      <c r="BO35" s="706" t="inlineStr"/>
      <c r="BP35" s="706" t="inlineStr"/>
      <c r="BQ35" s="706" t="inlineStr"/>
      <c r="BR35" s="706" t="inlineStr"/>
      <c r="BS35" s="706" t="inlineStr"/>
      <c r="BT35" s="706" t="inlineStr"/>
      <c r="BU35" s="706" t="inlineStr"/>
    </row>
    <row r="36" outlineLevel="1" ht="14.25" customFormat="1" customHeight="1" s="483">
      <c r="A36" s="738" t="inlineStr">
        <is>
          <t>合计</t>
        </is>
      </c>
      <c r="B36" s="739" t="n"/>
      <c r="C36" s="739" t="n"/>
      <c r="D36" s="739" t="n"/>
      <c r="E36" s="740" t="n"/>
      <c r="F36" s="379">
        <f>SUM(F33:F35)</f>
        <v/>
      </c>
      <c r="G36" s="738">
        <f>SUM(G33:G35)</f>
        <v/>
      </c>
      <c r="H36" s="738">
        <f>SUM(H33:H35)</f>
        <v/>
      </c>
      <c r="I36" s="738">
        <f>SUM(I33:I35)</f>
        <v/>
      </c>
      <c r="J36" s="738">
        <f>SUM(J33:J35)</f>
        <v/>
      </c>
      <c r="K36" s="738">
        <f>SUM(K33:K35)</f>
        <v/>
      </c>
      <c r="L36" s="738">
        <f>SUM(L33:L35)</f>
        <v/>
      </c>
      <c r="M36" s="738">
        <f>SUM(M33:M35)</f>
        <v/>
      </c>
      <c r="N36" s="738">
        <f>SUM(N33:N35)</f>
        <v/>
      </c>
      <c r="O36" s="738">
        <f>SUM(O33:O35)</f>
        <v/>
      </c>
      <c r="P36" s="738">
        <f>SUM(P33:P35)</f>
        <v/>
      </c>
      <c r="Q36" s="738">
        <f>SUM(Q33:Q35)</f>
        <v/>
      </c>
      <c r="R36" s="738">
        <f>SUM(R33:R35)</f>
        <v/>
      </c>
      <c r="S36" s="738">
        <f>SUM(S33:S35)</f>
        <v/>
      </c>
      <c r="T36" s="738">
        <f>SUM(T33:T35)</f>
        <v/>
      </c>
      <c r="U36" s="738">
        <f>SUM(U33:U35)</f>
        <v/>
      </c>
      <c r="V36" s="738">
        <f>SUM(V33:V35)</f>
        <v/>
      </c>
      <c r="W36" s="738">
        <f>SUM(W33:W35)</f>
        <v/>
      </c>
      <c r="X36" s="738">
        <f>SUM(X33:X35)</f>
        <v/>
      </c>
      <c r="Y36" s="738">
        <f>SUM(Y33:Y35)</f>
        <v/>
      </c>
      <c r="Z36" s="738">
        <f>SUM(Z33:Z35)</f>
        <v/>
      </c>
      <c r="AA36" s="738">
        <f>SUM(AA33:AA35)</f>
        <v/>
      </c>
      <c r="AB36" s="738">
        <f>SUM(AB33:AB35)</f>
        <v/>
      </c>
      <c r="AC36" s="738">
        <f>SUM(AC33:AC35)</f>
        <v/>
      </c>
      <c r="AD36" s="738">
        <f>SUM(AD33:AD35)</f>
        <v/>
      </c>
      <c r="AE36" s="738">
        <f>SUM(AE33:AE35)</f>
        <v/>
      </c>
      <c r="AF36" s="738">
        <f>SUM(AF33:AF35)</f>
        <v/>
      </c>
      <c r="AG36" s="738">
        <f>SUM(AG33:AG35)</f>
        <v/>
      </c>
      <c r="AH36" s="738">
        <f>SUM(AH33:AH35)</f>
        <v/>
      </c>
      <c r="AI36" s="738">
        <f>SUM(AI33:AI35)</f>
        <v/>
      </c>
      <c r="AJ36" s="738">
        <f>SUM(AJ33:AJ35)</f>
        <v/>
      </c>
      <c r="AK36" s="738">
        <f>SUM(AK33:AK35)</f>
        <v/>
      </c>
      <c r="AL36" s="738">
        <f>SUM(AL33:AL35)</f>
        <v/>
      </c>
      <c r="AM36" s="738">
        <f>SUM(AM33:AM35)</f>
        <v/>
      </c>
      <c r="AN36" s="738">
        <f>SUM(AN33:AN35)</f>
        <v/>
      </c>
      <c r="AO36" s="379">
        <f>SUM(K36+O36+S36+W36+AA36+AE36+AI36+AM36+AN36)</f>
        <v/>
      </c>
      <c r="AP36" s="381">
        <f>IF(F36=0,"",K36/(F36/((YEAR(E33)*12+MONTH(E33))-(YEAR(D33)*12+MONTH(D33))+1)))</f>
        <v/>
      </c>
      <c r="AQ36" s="382">
        <f>G36/F36</f>
        <v/>
      </c>
      <c r="AR36" s="743">
        <f>F36-G36</f>
        <v/>
      </c>
      <c r="AS36" s="383">
        <f>AS33</f>
        <v/>
      </c>
      <c r="AT36" s="381">
        <f>AO36/AS33</f>
        <v/>
      </c>
      <c r="AU36" s="742">
        <f>AS33-AO36</f>
        <v/>
      </c>
      <c r="AV36" s="713" t="inlineStr"/>
      <c r="AW36" s="713" t="inlineStr"/>
      <c r="AX36" s="713" t="inlineStr"/>
      <c r="AY36" s="713" t="inlineStr"/>
      <c r="AZ36" s="713" t="inlineStr"/>
      <c r="BA36" s="713" t="inlineStr"/>
      <c r="BB36" s="713" t="inlineStr"/>
      <c r="BC36" s="713" t="inlineStr"/>
      <c r="BD36" s="713" t="inlineStr"/>
      <c r="BE36" s="713" t="inlineStr"/>
      <c r="BF36" s="713" t="inlineStr"/>
      <c r="BG36" s="713" t="inlineStr"/>
      <c r="BH36" s="713" t="inlineStr"/>
      <c r="BI36" s="713" t="inlineStr"/>
      <c r="BJ36" s="713" t="inlineStr"/>
      <c r="BK36" s="713" t="inlineStr"/>
      <c r="BL36" s="713" t="inlineStr"/>
      <c r="BM36" s="713" t="inlineStr"/>
      <c r="BN36" s="713" t="inlineStr"/>
      <c r="BO36" s="713" t="inlineStr"/>
      <c r="BP36" s="713" t="inlineStr"/>
      <c r="BQ36" s="713" t="inlineStr"/>
      <c r="BR36" s="713" t="inlineStr"/>
      <c r="BS36" s="713" t="inlineStr"/>
      <c r="BT36" s="713" t="inlineStr"/>
      <c r="BU36" s="713" t="inlineStr"/>
    </row>
    <row r="37" outlineLevel="1" ht="14.25" customFormat="1" customHeight="1" s="483">
      <c r="A37" s="729" t="inlineStr">
        <is>
          <t>理财师008</t>
        </is>
      </c>
      <c r="B37" s="729" t="inlineStr">
        <is>
          <t>理财师011</t>
        </is>
      </c>
      <c r="C37" s="729" t="inlineStr">
        <is>
          <t>私人财富管理顾问PWA1-2</t>
        </is>
      </c>
      <c r="D37" s="730" t="n">
        <v>46204</v>
      </c>
      <c r="E37" s="730" t="n">
        <v>46387</v>
      </c>
      <c r="F37" s="729" t="n">
        <v>3484.06</v>
      </c>
      <c r="G37" s="729" t="n">
        <v>408.740456</v>
      </c>
      <c r="H37" s="729" t="n">
        <v>0</v>
      </c>
      <c r="I37" s="729" t="n">
        <v>0</v>
      </c>
      <c r="J37" s="729" t="n">
        <v>0</v>
      </c>
      <c r="K37" s="729">
        <f>SUM(H37:J37)</f>
        <v/>
      </c>
      <c r="L37" s="729" t="n">
        <v>0</v>
      </c>
      <c r="M37" s="729" t="n">
        <v>0</v>
      </c>
      <c r="N37" s="729" t="n">
        <v>0</v>
      </c>
      <c r="O37" s="729">
        <f>SUM(L37:N37)</f>
        <v/>
      </c>
      <c r="P37" s="729" t="n">
        <v>84.068866</v>
      </c>
      <c r="Q37" s="729" t="n">
        <v>323.29674</v>
      </c>
      <c r="R37" s="729" t="n">
        <v>1.37485</v>
      </c>
      <c r="S37" s="729">
        <f>SUM(P37:R37)</f>
        <v/>
      </c>
      <c r="T37" s="729" t="n">
        <v>564.94934</v>
      </c>
      <c r="U37" s="729" t="n">
        <v>0</v>
      </c>
      <c r="V37" s="729" t="n">
        <v>82.099047</v>
      </c>
      <c r="W37" s="729">
        <f>SUM(T37:V37)</f>
        <v/>
      </c>
      <c r="X37" s="729" t="n">
        <v>0</v>
      </c>
      <c r="Y37" s="729" t="n">
        <v>3092.4036</v>
      </c>
      <c r="Z37" s="729" t="n">
        <v>61.007408</v>
      </c>
      <c r="AA37" s="729">
        <f>SUM(X37:Z37)</f>
        <v/>
      </c>
      <c r="AB37" s="729" t="n">
        <v>178.04748</v>
      </c>
      <c r="AC37" s="729" t="n">
        <v>0</v>
      </c>
      <c r="AD37" s="729" t="n">
        <v>32.11807</v>
      </c>
      <c r="AE37" s="729">
        <f>SUM(AB37:AD37)</f>
        <v/>
      </c>
      <c r="AF37" s="729" t="n">
        <v>47.229437</v>
      </c>
      <c r="AG37" s="729" t="n">
        <v>0</v>
      </c>
      <c r="AH37" s="729" t="n">
        <v>24.120644</v>
      </c>
      <c r="AI37" s="729">
        <f>SUM(AF37:AH37)</f>
        <v/>
      </c>
      <c r="AJ37" s="729" t="n">
        <v>524.574731</v>
      </c>
      <c r="AK37" s="729" t="n">
        <v>0</v>
      </c>
      <c r="AL37" s="729" t="n">
        <v>1.216481</v>
      </c>
      <c r="AM37" s="729">
        <f>SUM(AJ37:AL37)</f>
        <v/>
      </c>
      <c r="AN37" s="729" t="n">
        <v>0</v>
      </c>
      <c r="AO37" s="363">
        <f>SUM(K37+O37+S37+W37+AA37+AE37+AI37+AM37+AN37)</f>
        <v/>
      </c>
      <c r="AP37" s="364">
        <f>IF(F37=0,"",K37/(F37/((YEAR(E37)*12+MONTH(E37))-(YEAR(D37)*12+MONTH(D37))+1)))</f>
        <v/>
      </c>
      <c r="AQ37" s="364">
        <f>G37/F37</f>
        <v/>
      </c>
      <c r="AR37" s="731">
        <f>F37-G37</f>
        <v/>
      </c>
      <c r="AS37" s="366">
        <f>SUM(F37:F38)</f>
        <v/>
      </c>
      <c r="AT37" s="367">
        <f>AT39</f>
        <v/>
      </c>
      <c r="AU37" s="745">
        <f>AU39</f>
        <v/>
      </c>
      <c r="AV37" s="706" t="inlineStr"/>
      <c r="AW37" s="706" t="inlineStr"/>
      <c r="AX37" s="706" t="inlineStr"/>
      <c r="AY37" s="706" t="inlineStr"/>
      <c r="AZ37" s="706" t="inlineStr"/>
      <c r="BA37" s="706" t="inlineStr"/>
      <c r="BB37" s="706" t="inlineStr"/>
      <c r="BC37" s="706" t="inlineStr"/>
      <c r="BD37" s="706" t="inlineStr"/>
      <c r="BE37" s="706" t="inlineStr"/>
      <c r="BF37" s="706" t="inlineStr"/>
      <c r="BG37" s="706" t="inlineStr"/>
      <c r="BH37" s="706" t="inlineStr"/>
      <c r="BI37" s="706" t="inlineStr"/>
      <c r="BJ37" s="706" t="inlineStr"/>
      <c r="BK37" s="706" t="inlineStr"/>
      <c r="BL37" s="706" t="inlineStr"/>
      <c r="BM37" s="706" t="inlineStr"/>
      <c r="BN37" s="706" t="inlineStr"/>
      <c r="BO37" s="706" t="inlineStr"/>
      <c r="BP37" s="706" t="inlineStr"/>
      <c r="BQ37" s="706" t="inlineStr"/>
      <c r="BR37" s="706" t="inlineStr"/>
      <c r="BS37" s="706" t="inlineStr"/>
      <c r="BT37" s="706" t="inlineStr"/>
      <c r="BU37" s="706" t="inlineStr"/>
    </row>
    <row r="38" outlineLevel="1" ht="14.25" customFormat="1" customHeight="1" s="483">
      <c r="A38" s="737" t="n"/>
      <c r="B38" s="734" t="inlineStr">
        <is>
          <t>理财师008</t>
        </is>
      </c>
      <c r="C38" s="734" t="inlineStr">
        <is>
          <t>私人财富管理专家PWA4-3</t>
        </is>
      </c>
      <c r="D38" s="735" t="n">
        <v>46204</v>
      </c>
      <c r="E38" s="735" t="n">
        <v>46387</v>
      </c>
      <c r="F38" s="734" t="n">
        <v>25727.57</v>
      </c>
      <c r="G38" s="734" t="n">
        <v>4027.008497</v>
      </c>
      <c r="H38" s="734" t="n">
        <v>198.2955</v>
      </c>
      <c r="I38" s="734" t="n">
        <v>0</v>
      </c>
      <c r="J38" s="734" t="n">
        <v>0</v>
      </c>
      <c r="K38" s="734">
        <f>SUM(H38:J38)</f>
        <v/>
      </c>
      <c r="L38" s="734" t="n">
        <v>2053.786153</v>
      </c>
      <c r="M38" s="734" t="n">
        <v>0</v>
      </c>
      <c r="N38" s="734" t="n">
        <v>0</v>
      </c>
      <c r="O38" s="734">
        <f>SUM(L38:N38)</f>
        <v/>
      </c>
      <c r="P38" s="734" t="n">
        <v>1531.095078</v>
      </c>
      <c r="Q38" s="734" t="n">
        <v>0</v>
      </c>
      <c r="R38" s="734" t="n">
        <v>243.831766</v>
      </c>
      <c r="S38" s="734">
        <f>SUM(P38:R38)</f>
        <v/>
      </c>
      <c r="T38" s="734" t="n">
        <v>3874.376797</v>
      </c>
      <c r="U38" s="734" t="n">
        <v>253.81824</v>
      </c>
      <c r="V38" s="734" t="n">
        <v>421.509645</v>
      </c>
      <c r="W38" s="734">
        <f>SUM(T38:V38)</f>
        <v/>
      </c>
      <c r="X38" s="734" t="n">
        <v>5263.972173</v>
      </c>
      <c r="Y38" s="734" t="n">
        <v>1110.4548</v>
      </c>
      <c r="Z38" s="734" t="n">
        <v>271.92657</v>
      </c>
      <c r="AA38" s="734">
        <f>SUM(X38:Z38)</f>
        <v/>
      </c>
      <c r="AB38" s="734" t="n">
        <v>3533.62581</v>
      </c>
      <c r="AC38" s="734" t="n">
        <v>2435.06874</v>
      </c>
      <c r="AD38" s="734" t="n">
        <v>188.462147</v>
      </c>
      <c r="AE38" s="734">
        <f>SUM(AB38:AD38)</f>
        <v/>
      </c>
      <c r="AF38" s="734" t="n">
        <v>9546.464904</v>
      </c>
      <c r="AG38" s="734" t="n">
        <v>0</v>
      </c>
      <c r="AH38" s="734" t="n">
        <v>401.214551</v>
      </c>
      <c r="AI38" s="734">
        <f>SUM(AF38:AH38)</f>
        <v/>
      </c>
      <c r="AJ38" s="734" t="n">
        <v>1081.878995</v>
      </c>
      <c r="AK38" s="734" t="n">
        <v>523.50012</v>
      </c>
      <c r="AL38" s="734" t="n">
        <v>135.589522</v>
      </c>
      <c r="AM38" s="734">
        <f>SUM(AJ38:AL38)</f>
        <v/>
      </c>
      <c r="AN38" s="734" t="n">
        <v>1873.958877</v>
      </c>
      <c r="AO38" s="746">
        <f>SUM(K38+O38+S38+W38+AA38+AE38+AI38+AM38+AN38)</f>
        <v/>
      </c>
      <c r="AP38" s="373">
        <f>IF(F38=0,"",K38/(F38/((YEAR(E38)*12+MONTH(E38))-(YEAR(D38)*12+MONTH(D38))+1)))</f>
        <v/>
      </c>
      <c r="AQ38" s="373">
        <f>G38/F38</f>
        <v/>
      </c>
      <c r="AR38" s="746">
        <f>F38-G38</f>
        <v/>
      </c>
      <c r="AS38" s="737" t="n"/>
      <c r="AT38" s="737" t="n"/>
      <c r="AU38" s="737" t="n"/>
      <c r="AV38" s="706" t="inlineStr"/>
      <c r="AW38" s="706" t="inlineStr"/>
      <c r="AX38" s="706" t="inlineStr"/>
      <c r="AY38" s="706" t="inlineStr"/>
      <c r="AZ38" s="706" t="inlineStr"/>
      <c r="BA38" s="706" t="inlineStr"/>
      <c r="BB38" s="706" t="inlineStr"/>
      <c r="BC38" s="706" t="inlineStr"/>
      <c r="BD38" s="706" t="inlineStr"/>
      <c r="BE38" s="706" t="inlineStr"/>
      <c r="BF38" s="706" t="inlineStr"/>
      <c r="BG38" s="706" t="inlineStr"/>
      <c r="BH38" s="706" t="inlineStr"/>
      <c r="BI38" s="706" t="inlineStr"/>
      <c r="BJ38" s="706" t="inlineStr"/>
      <c r="BK38" s="706" t="inlineStr"/>
      <c r="BL38" s="706" t="inlineStr"/>
      <c r="BM38" s="706" t="inlineStr"/>
      <c r="BN38" s="706" t="inlineStr"/>
      <c r="BO38" s="706" t="inlineStr"/>
      <c r="BP38" s="706" t="inlineStr"/>
      <c r="BQ38" s="706" t="inlineStr"/>
      <c r="BR38" s="706" t="inlineStr"/>
      <c r="BS38" s="706" t="inlineStr"/>
      <c r="BT38" s="706" t="inlineStr"/>
      <c r="BU38" s="706" t="inlineStr"/>
    </row>
    <row r="39" outlineLevel="1" ht="14.25" customFormat="1" customHeight="1" s="483">
      <c r="A39" s="738" t="inlineStr">
        <is>
          <t>合计</t>
        </is>
      </c>
      <c r="B39" s="739" t="n"/>
      <c r="C39" s="739" t="n"/>
      <c r="D39" s="739" t="n"/>
      <c r="E39" s="740" t="n"/>
      <c r="F39" s="379">
        <f>SUM(F37:F38)</f>
        <v/>
      </c>
      <c r="G39" s="738">
        <f>SUM(G37:G38)</f>
        <v/>
      </c>
      <c r="H39" s="738">
        <f>SUM(H37:H38)</f>
        <v/>
      </c>
      <c r="I39" s="738">
        <f>SUM(I37:I38)</f>
        <v/>
      </c>
      <c r="J39" s="738">
        <f>SUM(J37:J38)</f>
        <v/>
      </c>
      <c r="K39" s="738">
        <f>SUM(K37:K38)</f>
        <v/>
      </c>
      <c r="L39" s="738">
        <f>SUM(L37:L38)</f>
        <v/>
      </c>
      <c r="M39" s="738">
        <f>SUM(M37:M38)</f>
        <v/>
      </c>
      <c r="N39" s="738">
        <f>SUM(N37:N38)</f>
        <v/>
      </c>
      <c r="O39" s="738">
        <f>SUM(O37:O38)</f>
        <v/>
      </c>
      <c r="P39" s="738">
        <f>SUM(P37:P38)</f>
        <v/>
      </c>
      <c r="Q39" s="738">
        <f>SUM(Q37:Q38)</f>
        <v/>
      </c>
      <c r="R39" s="738">
        <f>SUM(R37:R38)</f>
        <v/>
      </c>
      <c r="S39" s="738">
        <f>SUM(S37:S38)</f>
        <v/>
      </c>
      <c r="T39" s="738">
        <f>SUM(T37:T38)</f>
        <v/>
      </c>
      <c r="U39" s="738">
        <f>SUM(U37:U38)</f>
        <v/>
      </c>
      <c r="V39" s="738">
        <f>SUM(V37:V38)</f>
        <v/>
      </c>
      <c r="W39" s="738">
        <f>SUM(W37:W38)</f>
        <v/>
      </c>
      <c r="X39" s="738">
        <f>SUM(X37:X38)</f>
        <v/>
      </c>
      <c r="Y39" s="738">
        <f>SUM(Y37:Y38)</f>
        <v/>
      </c>
      <c r="Z39" s="738">
        <f>SUM(Z37:Z38)</f>
        <v/>
      </c>
      <c r="AA39" s="738">
        <f>SUM(AA37:AA38)</f>
        <v/>
      </c>
      <c r="AB39" s="738">
        <f>SUM(AB37:AB38)</f>
        <v/>
      </c>
      <c r="AC39" s="738">
        <f>SUM(AC37:AC38)</f>
        <v/>
      </c>
      <c r="AD39" s="738">
        <f>SUM(AD37:AD38)</f>
        <v/>
      </c>
      <c r="AE39" s="738">
        <f>SUM(AE37:AE38)</f>
        <v/>
      </c>
      <c r="AF39" s="738">
        <f>SUM(AF37:AF38)</f>
        <v/>
      </c>
      <c r="AG39" s="738">
        <f>SUM(AG37:AG38)</f>
        <v/>
      </c>
      <c r="AH39" s="738">
        <f>SUM(AH37:AH38)</f>
        <v/>
      </c>
      <c r="AI39" s="738">
        <f>SUM(AI37:AI38)</f>
        <v/>
      </c>
      <c r="AJ39" s="738">
        <f>SUM(AJ37:AJ38)</f>
        <v/>
      </c>
      <c r="AK39" s="738">
        <f>SUM(AK37:AK38)</f>
        <v/>
      </c>
      <c r="AL39" s="738">
        <f>SUM(AL37:AL38)</f>
        <v/>
      </c>
      <c r="AM39" s="738">
        <f>SUM(AM37:AM38)</f>
        <v/>
      </c>
      <c r="AN39" s="738">
        <f>SUM(AN37:AN38)</f>
        <v/>
      </c>
      <c r="AO39" s="379">
        <f>SUM(K39+O39+S39+W39+AA39+AE39+AI39+AM39+AN39)</f>
        <v/>
      </c>
      <c r="AP39" s="381">
        <f>IF(F39=0,"",K39/(F39/((YEAR(E37)*12+MONTH(E37))-(YEAR(D37)*12+MONTH(D37))+1)))</f>
        <v/>
      </c>
      <c r="AQ39" s="382">
        <f>G39/F39</f>
        <v/>
      </c>
      <c r="AR39" s="743">
        <f>F39-G39</f>
        <v/>
      </c>
      <c r="AS39" s="383">
        <f>AS37</f>
        <v/>
      </c>
      <c r="AT39" s="381">
        <f>AO39/AS37</f>
        <v/>
      </c>
      <c r="AU39" s="742">
        <f>AS37-AO39</f>
        <v/>
      </c>
      <c r="AV39" s="713" t="inlineStr"/>
      <c r="AW39" s="713" t="inlineStr"/>
      <c r="AX39" s="713" t="inlineStr"/>
      <c r="AY39" s="713" t="inlineStr"/>
      <c r="AZ39" s="713" t="inlineStr"/>
      <c r="BA39" s="713" t="inlineStr"/>
      <c r="BB39" s="713" t="inlineStr"/>
      <c r="BC39" s="713" t="inlineStr"/>
      <c r="BD39" s="713" t="inlineStr"/>
      <c r="BE39" s="713" t="inlineStr"/>
      <c r="BF39" s="713" t="inlineStr"/>
      <c r="BG39" s="713" t="inlineStr"/>
      <c r="BH39" s="713" t="inlineStr"/>
      <c r="BI39" s="713" t="inlineStr"/>
      <c r="BJ39" s="713" t="inlineStr"/>
      <c r="BK39" s="713" t="inlineStr"/>
      <c r="BL39" s="713" t="inlineStr"/>
      <c r="BM39" s="713" t="inlineStr"/>
      <c r="BN39" s="713" t="inlineStr"/>
      <c r="BO39" s="713" t="inlineStr"/>
      <c r="BP39" s="713" t="inlineStr"/>
      <c r="BQ39" s="713" t="inlineStr"/>
      <c r="BR39" s="713" t="inlineStr"/>
      <c r="BS39" s="713" t="inlineStr"/>
      <c r="BT39" s="713" t="inlineStr"/>
      <c r="BU39" s="713" t="inlineStr"/>
    </row>
    <row r="40" outlineLevel="1" ht="14.25" customFormat="1" customHeight="1" s="483">
      <c r="A40" s="729" t="inlineStr">
        <is>
          <t>理财师004</t>
        </is>
      </c>
      <c r="B40" s="729" t="inlineStr">
        <is>
          <t>理财师033</t>
        </is>
      </c>
      <c r="C40" s="729" t="inlineStr">
        <is>
          <t>私人财富管理总监PWA3-1</t>
        </is>
      </c>
      <c r="D40" s="730" t="n">
        <v>46268</v>
      </c>
      <c r="E40" s="730" t="n">
        <v>46448</v>
      </c>
      <c r="F40" s="729" t="n">
        <v>18417.12</v>
      </c>
      <c r="G40" s="729" t="n">
        <v>0</v>
      </c>
      <c r="H40" s="729" t="n">
        <v>0</v>
      </c>
      <c r="I40" s="729" t="n">
        <v>0</v>
      </c>
      <c r="J40" s="729" t="n">
        <v>0</v>
      </c>
      <c r="K40" s="729">
        <f>SUM(H40:J40)</f>
        <v/>
      </c>
      <c r="L40" s="729" t="n">
        <v>0</v>
      </c>
      <c r="M40" s="729" t="n">
        <v>0</v>
      </c>
      <c r="N40" s="729" t="n">
        <v>0</v>
      </c>
      <c r="O40" s="729">
        <f>SUM(L40:N40)</f>
        <v/>
      </c>
      <c r="P40" s="729" t="n">
        <v>0</v>
      </c>
      <c r="Q40" s="729" t="n">
        <v>0</v>
      </c>
      <c r="R40" s="729" t="n">
        <v>23.933388</v>
      </c>
      <c r="S40" s="729">
        <f>SUM(P40:R40)</f>
        <v/>
      </c>
      <c r="T40" s="729" t="n">
        <v>970.6319999999999</v>
      </c>
      <c r="U40" s="729" t="n">
        <v>0</v>
      </c>
      <c r="V40" s="729" t="n">
        <v>0.265494</v>
      </c>
      <c r="W40" s="729">
        <f>SUM(T40:V40)</f>
        <v/>
      </c>
      <c r="X40" s="729" t="n">
        <v>0</v>
      </c>
      <c r="Y40" s="729" t="n">
        <v>1844.2008</v>
      </c>
      <c r="Z40" s="729" t="n">
        <v>0</v>
      </c>
      <c r="AA40" s="729">
        <f>SUM(X40:Z40)</f>
        <v/>
      </c>
      <c r="AB40" s="729" t="n">
        <v>0</v>
      </c>
      <c r="AC40" s="729" t="n">
        <v>0</v>
      </c>
      <c r="AD40" s="729" t="n">
        <v>0</v>
      </c>
      <c r="AE40" s="729">
        <f>SUM(AB40:AD40)</f>
        <v/>
      </c>
      <c r="AF40" s="729" t="n">
        <v>0</v>
      </c>
      <c r="AG40" s="729" t="n">
        <v>0</v>
      </c>
      <c r="AH40" s="729" t="n">
        <v>0</v>
      </c>
      <c r="AI40" s="729">
        <f>SUM(AF40:AH40)</f>
        <v/>
      </c>
      <c r="AJ40" s="729" t="n">
        <v>0</v>
      </c>
      <c r="AK40" s="729" t="n">
        <v>0</v>
      </c>
      <c r="AL40" s="729" t="n">
        <v>0</v>
      </c>
      <c r="AM40" s="729">
        <f>SUM(AJ40:AL40)</f>
        <v/>
      </c>
      <c r="AN40" s="729" t="n">
        <v>0</v>
      </c>
      <c r="AO40" s="363">
        <f>SUM(K40+O40+S40+W40+AA40+AE40+AI40+AM40+AN40)</f>
        <v/>
      </c>
      <c r="AP40" s="364">
        <f>IF(F40=0,"",K40/(F40/((YEAR(E40)*12+MONTH(E40))-(YEAR(D40)*12+MONTH(D40))+1)))</f>
        <v/>
      </c>
      <c r="AQ40" s="364">
        <f>G40/F40</f>
        <v/>
      </c>
      <c r="AR40" s="731">
        <f>F40-G40</f>
        <v/>
      </c>
      <c r="AS40" s="366">
        <f>SUM(F40:F46)</f>
        <v/>
      </c>
      <c r="AT40" s="367">
        <f>AT47</f>
        <v/>
      </c>
      <c r="AU40" s="745">
        <f>AU47</f>
        <v/>
      </c>
      <c r="AV40" s="706" t="inlineStr"/>
      <c r="AW40" s="706" t="inlineStr"/>
      <c r="AX40" s="706" t="inlineStr"/>
      <c r="AY40" s="706" t="inlineStr"/>
      <c r="AZ40" s="706" t="inlineStr"/>
      <c r="BA40" s="706" t="inlineStr"/>
      <c r="BB40" s="706" t="inlineStr"/>
      <c r="BC40" s="706" t="inlineStr"/>
      <c r="BD40" s="706" t="inlineStr"/>
      <c r="BE40" s="706" t="inlineStr"/>
      <c r="BF40" s="706" t="inlineStr"/>
      <c r="BG40" s="706" t="inlineStr"/>
      <c r="BH40" s="706" t="inlineStr"/>
      <c r="BI40" s="706" t="inlineStr"/>
      <c r="BJ40" s="706" t="inlineStr"/>
      <c r="BK40" s="706" t="inlineStr"/>
      <c r="BL40" s="706" t="inlineStr"/>
      <c r="BM40" s="706" t="inlineStr"/>
      <c r="BN40" s="706" t="inlineStr"/>
      <c r="BO40" s="706" t="inlineStr"/>
      <c r="BP40" s="706" t="inlineStr"/>
      <c r="BQ40" s="706" t="inlineStr"/>
      <c r="BR40" s="706" t="inlineStr"/>
      <c r="BS40" s="706" t="inlineStr"/>
      <c r="BT40" s="706" t="inlineStr"/>
      <c r="BU40" s="706" t="inlineStr"/>
    </row>
    <row r="41" outlineLevel="1" ht="14.25" customFormat="1" customHeight="1" s="483">
      <c r="A41" s="733" t="n"/>
      <c r="B41" s="734" t="inlineStr">
        <is>
          <t>理财师006</t>
        </is>
      </c>
      <c r="C41" s="734" t="inlineStr">
        <is>
          <t>私人财富管理专家PWA4-5</t>
        </is>
      </c>
      <c r="D41" s="735" t="n">
        <v>46204</v>
      </c>
      <c r="E41" s="735" t="n">
        <v>46387</v>
      </c>
      <c r="F41" s="734" t="n">
        <v>17235</v>
      </c>
      <c r="G41" s="734" t="n">
        <v>5943.590386</v>
      </c>
      <c r="H41" s="734" t="n">
        <v>403.299</v>
      </c>
      <c r="I41" s="734" t="n">
        <v>0</v>
      </c>
      <c r="J41" s="734" t="n">
        <v>0</v>
      </c>
      <c r="K41" s="734">
        <f>SUM(H41:J41)</f>
        <v/>
      </c>
      <c r="L41" s="734" t="n">
        <v>1154.308033</v>
      </c>
      <c r="M41" s="734" t="n">
        <v>0</v>
      </c>
      <c r="N41" s="734" t="n">
        <v>0</v>
      </c>
      <c r="O41" s="734">
        <f>SUM(L41:N41)</f>
        <v/>
      </c>
      <c r="P41" s="734" t="n">
        <v>2476.143832</v>
      </c>
      <c r="Q41" s="734" t="n">
        <v>1523.574</v>
      </c>
      <c r="R41" s="734" t="n">
        <v>386.265521</v>
      </c>
      <c r="S41" s="734">
        <f>SUM(P41:R41)</f>
        <v/>
      </c>
      <c r="T41" s="734" t="n">
        <v>2664.507449</v>
      </c>
      <c r="U41" s="734" t="n">
        <v>384.193382</v>
      </c>
      <c r="V41" s="734" t="n">
        <v>712.728125</v>
      </c>
      <c r="W41" s="734">
        <f>SUM(T41:V41)</f>
        <v/>
      </c>
      <c r="X41" s="734" t="n">
        <v>3250.598551</v>
      </c>
      <c r="Y41" s="734" t="n">
        <v>241.63794</v>
      </c>
      <c r="Z41" s="734" t="n">
        <v>443.427462</v>
      </c>
      <c r="AA41" s="734">
        <f>SUM(X41:Z41)</f>
        <v/>
      </c>
      <c r="AB41" s="734" t="n">
        <v>1492.14231</v>
      </c>
      <c r="AC41" s="734" t="n">
        <v>0</v>
      </c>
      <c r="AD41" s="734" t="n">
        <v>381.121236</v>
      </c>
      <c r="AE41" s="734">
        <f>SUM(AB41:AD41)</f>
        <v/>
      </c>
      <c r="AF41" s="734" t="n">
        <v>2747.788321</v>
      </c>
      <c r="AG41" s="734" t="n">
        <v>0</v>
      </c>
      <c r="AH41" s="734" t="n">
        <v>613.27548</v>
      </c>
      <c r="AI41" s="734">
        <f>SUM(AF41:AH41)</f>
        <v/>
      </c>
      <c r="AJ41" s="734" t="n">
        <v>1566.390968</v>
      </c>
      <c r="AK41" s="734" t="n">
        <v>1037.679365</v>
      </c>
      <c r="AL41" s="734" t="n">
        <v>313.732955</v>
      </c>
      <c r="AM41" s="734">
        <f>SUM(AJ41:AL41)</f>
        <v/>
      </c>
      <c r="AN41" s="734" t="n">
        <v>4335.866577</v>
      </c>
      <c r="AO41" s="746">
        <f>SUM(K41+O41+S41+W41+AA41+AE41+AI41+AM41+AN41)</f>
        <v/>
      </c>
      <c r="AP41" s="373">
        <f>IF(F41=0,"",K41/(F41/((YEAR(E41)*12+MONTH(E41))-(YEAR(D41)*12+MONTH(D41))+1)))</f>
        <v/>
      </c>
      <c r="AQ41" s="373">
        <f>G41/F41</f>
        <v/>
      </c>
      <c r="AR41" s="746">
        <f>F41-G41</f>
        <v/>
      </c>
      <c r="AS41" s="733" t="n"/>
      <c r="AT41" s="733" t="n"/>
      <c r="AU41" s="733" t="n"/>
      <c r="AV41" s="706" t="inlineStr"/>
      <c r="AW41" s="706" t="inlineStr"/>
      <c r="AX41" s="706" t="inlineStr"/>
      <c r="AY41" s="706" t="inlineStr"/>
      <c r="AZ41" s="706" t="inlineStr"/>
      <c r="BA41" s="706" t="inlineStr"/>
      <c r="BB41" s="706" t="inlineStr"/>
      <c r="BC41" s="706" t="inlineStr"/>
      <c r="BD41" s="706" t="inlineStr"/>
      <c r="BE41" s="706" t="inlineStr"/>
      <c r="BF41" s="706" t="inlineStr"/>
      <c r="BG41" s="706" t="inlineStr"/>
      <c r="BH41" s="706" t="inlineStr"/>
      <c r="BI41" s="706" t="inlineStr"/>
      <c r="BJ41" s="706" t="inlineStr"/>
      <c r="BK41" s="706" t="inlineStr"/>
      <c r="BL41" s="706" t="inlineStr"/>
      <c r="BM41" s="706" t="inlineStr"/>
      <c r="BN41" s="706" t="inlineStr"/>
      <c r="BO41" s="706" t="inlineStr"/>
      <c r="BP41" s="706" t="inlineStr"/>
      <c r="BQ41" s="706" t="inlineStr"/>
      <c r="BR41" s="706" t="inlineStr"/>
      <c r="BS41" s="706" t="inlineStr"/>
      <c r="BT41" s="706" t="inlineStr"/>
      <c r="BU41" s="706" t="inlineStr"/>
    </row>
    <row r="42" outlineLevel="1" ht="14.25" customFormat="1" customHeight="1" s="483">
      <c r="A42" s="733" t="n"/>
      <c r="B42" s="734" t="inlineStr">
        <is>
          <t>理财师003</t>
        </is>
      </c>
      <c r="C42" s="734" t="inlineStr">
        <is>
          <t>私人财富管理专家PWA4-1</t>
        </is>
      </c>
      <c r="D42" s="735" t="n">
        <v>46204</v>
      </c>
      <c r="E42" s="735" t="n">
        <v>46387</v>
      </c>
      <c r="F42" s="734" t="n">
        <v>27907.62</v>
      </c>
      <c r="G42" s="734" t="n">
        <v>6487.204125</v>
      </c>
      <c r="H42" s="734" t="n">
        <v>294.1614</v>
      </c>
      <c r="I42" s="734" t="n">
        <v>0</v>
      </c>
      <c r="J42" s="734" t="n">
        <v>0</v>
      </c>
      <c r="K42" s="734">
        <f>SUM(H42:J42)</f>
        <v/>
      </c>
      <c r="L42" s="734" t="n">
        <v>2384.893142</v>
      </c>
      <c r="M42" s="734" t="n">
        <v>0</v>
      </c>
      <c r="N42" s="734" t="n">
        <v>0</v>
      </c>
      <c r="O42" s="734">
        <f>SUM(L42:N42)</f>
        <v/>
      </c>
      <c r="P42" s="734" t="n">
        <v>2190.200829</v>
      </c>
      <c r="Q42" s="734" t="n">
        <v>0</v>
      </c>
      <c r="R42" s="734" t="n">
        <v>1617.948754</v>
      </c>
      <c r="S42" s="734">
        <f>SUM(P42:R42)</f>
        <v/>
      </c>
      <c r="T42" s="734" t="n">
        <v>3023.349137</v>
      </c>
      <c r="U42" s="734" t="n">
        <v>0</v>
      </c>
      <c r="V42" s="734" t="n">
        <v>2172.888255</v>
      </c>
      <c r="W42" s="734">
        <f>SUM(T42:V42)</f>
        <v/>
      </c>
      <c r="X42" s="734" t="n">
        <v>2530.119274</v>
      </c>
      <c r="Y42" s="734" t="n">
        <v>2029.71366</v>
      </c>
      <c r="Z42" s="734" t="n">
        <v>1772.582909</v>
      </c>
      <c r="AA42" s="734">
        <f>SUM(X42:Z42)</f>
        <v/>
      </c>
      <c r="AB42" s="734" t="n">
        <v>567.268131</v>
      </c>
      <c r="AC42" s="734" t="n">
        <v>0</v>
      </c>
      <c r="AD42" s="734" t="n">
        <v>1666.262563</v>
      </c>
      <c r="AE42" s="734">
        <f>SUM(AB42:AD42)</f>
        <v/>
      </c>
      <c r="AF42" s="734" t="n">
        <v>1550.383391</v>
      </c>
      <c r="AG42" s="734" t="n">
        <v>0</v>
      </c>
      <c r="AH42" s="734" t="n">
        <v>2273.498356</v>
      </c>
      <c r="AI42" s="734">
        <f>SUM(AF42:AH42)</f>
        <v/>
      </c>
      <c r="AJ42" s="734" t="n">
        <v>1396.194268</v>
      </c>
      <c r="AK42" s="734" t="n">
        <v>0</v>
      </c>
      <c r="AL42" s="734" t="n">
        <v>1388.558583</v>
      </c>
      <c r="AM42" s="734">
        <f>SUM(AJ42:AL42)</f>
        <v/>
      </c>
      <c r="AN42" s="734" t="n">
        <v>7202.586607</v>
      </c>
      <c r="AO42" s="372">
        <f>SUM(K42+O42+S42+W42+AA42+AE42+AI42+AM42+AN42)</f>
        <v/>
      </c>
      <c r="AP42" s="373">
        <f>IF(F42=0,"",K42/(F42/((YEAR(E42)*12+MONTH(E42))-(YEAR(D42)*12+MONTH(D42))+1)))</f>
        <v/>
      </c>
      <c r="AQ42" s="373">
        <f>G42/F42</f>
        <v/>
      </c>
      <c r="AR42" s="736">
        <f>F42-G42</f>
        <v/>
      </c>
      <c r="AS42" s="733" t="n"/>
      <c r="AT42" s="733" t="n"/>
      <c r="AU42" s="733" t="n"/>
      <c r="AV42" s="706" t="inlineStr"/>
      <c r="AW42" s="706" t="inlineStr"/>
      <c r="AX42" s="706" t="inlineStr"/>
      <c r="AY42" s="706" t="inlineStr"/>
      <c r="AZ42" s="706" t="inlineStr"/>
      <c r="BA42" s="706" t="inlineStr"/>
      <c r="BB42" s="706" t="inlineStr"/>
      <c r="BC42" s="706" t="inlineStr"/>
      <c r="BD42" s="706" t="inlineStr"/>
      <c r="BE42" s="706" t="inlineStr"/>
      <c r="BF42" s="706" t="inlineStr"/>
      <c r="BG42" s="706" t="inlineStr"/>
      <c r="BH42" s="706" t="inlineStr"/>
      <c r="BI42" s="706" t="inlineStr"/>
      <c r="BJ42" s="706" t="inlineStr"/>
      <c r="BK42" s="706" t="inlineStr"/>
      <c r="BL42" s="706" t="inlineStr"/>
      <c r="BM42" s="706" t="inlineStr"/>
      <c r="BN42" s="706" t="inlineStr"/>
      <c r="BO42" s="706" t="inlineStr"/>
      <c r="BP42" s="706" t="inlineStr"/>
      <c r="BQ42" s="706" t="inlineStr"/>
      <c r="BR42" s="706" t="inlineStr"/>
      <c r="BS42" s="706" t="inlineStr"/>
      <c r="BT42" s="706" t="inlineStr"/>
      <c r="BU42" s="706" t="inlineStr"/>
    </row>
    <row r="43" outlineLevel="1" ht="14.25" customFormat="1" customHeight="1" s="483">
      <c r="A43" s="733" t="n"/>
      <c r="B43" s="734" t="inlineStr">
        <is>
          <t>理财师029</t>
        </is>
      </c>
      <c r="C43" s="734" t="inlineStr">
        <is>
          <t>私人财富管理专家PWA4-3</t>
        </is>
      </c>
      <c r="D43" s="735" t="n">
        <v>46150</v>
      </c>
      <c r="E43" s="735" t="n">
        <v>46333</v>
      </c>
      <c r="F43" s="734" t="n">
        <v>16404.52</v>
      </c>
      <c r="G43" s="734" t="n">
        <v>913.611119</v>
      </c>
      <c r="H43" s="734" t="n">
        <v>0</v>
      </c>
      <c r="I43" s="734" t="n">
        <v>0</v>
      </c>
      <c r="J43" s="734" t="n">
        <v>0</v>
      </c>
      <c r="K43" s="734">
        <f>SUM(H43:J43)</f>
        <v/>
      </c>
      <c r="L43" s="734" t="n">
        <v>0</v>
      </c>
      <c r="M43" s="734" t="n">
        <v>0</v>
      </c>
      <c r="N43" s="734" t="n">
        <v>0</v>
      </c>
      <c r="O43" s="734">
        <f>SUM(L43:N43)</f>
        <v/>
      </c>
      <c r="P43" s="734" t="n">
        <v>82.18470000000001</v>
      </c>
      <c r="Q43" s="734" t="n">
        <v>0</v>
      </c>
      <c r="R43" s="734" t="n">
        <v>63.309731</v>
      </c>
      <c r="S43" s="734">
        <f>SUM(P43:R43)</f>
        <v/>
      </c>
      <c r="T43" s="734" t="n">
        <v>644.8338</v>
      </c>
      <c r="U43" s="734" t="n">
        <v>64.736256</v>
      </c>
      <c r="V43" s="734" t="n">
        <v>38.329254</v>
      </c>
      <c r="W43" s="734">
        <f>SUM(T43:V43)</f>
        <v/>
      </c>
      <c r="X43" s="734" t="n">
        <v>0</v>
      </c>
      <c r="Y43" s="734" t="n">
        <v>0</v>
      </c>
      <c r="Z43" s="734" t="n">
        <v>20.217377</v>
      </c>
      <c r="AA43" s="734">
        <f>SUM(X43:Z43)</f>
        <v/>
      </c>
      <c r="AB43" s="734" t="n">
        <v>410.9235</v>
      </c>
      <c r="AC43" s="734" t="n">
        <v>0</v>
      </c>
      <c r="AD43" s="734" t="n">
        <v>4.340061</v>
      </c>
      <c r="AE43" s="734">
        <f>SUM(AB43:AD43)</f>
        <v/>
      </c>
      <c r="AF43" s="734" t="n">
        <v>0</v>
      </c>
      <c r="AG43" s="734" t="n">
        <v>0</v>
      </c>
      <c r="AH43" s="734" t="n">
        <v>5.058234</v>
      </c>
      <c r="AI43" s="734">
        <f>SUM(AF43:AH43)</f>
        <v/>
      </c>
      <c r="AJ43" s="734" t="n">
        <v>0</v>
      </c>
      <c r="AK43" s="734" t="n">
        <v>0</v>
      </c>
      <c r="AL43" s="734" t="n">
        <v>1.127915</v>
      </c>
      <c r="AM43" s="734">
        <f>SUM(AJ43:AL43)</f>
        <v/>
      </c>
      <c r="AN43" s="734" t="n">
        <v>0</v>
      </c>
      <c r="AO43" s="372">
        <f>SUM(K43+O43+S43+W43+AA43+AE43+AI43+AM43+AN43)</f>
        <v/>
      </c>
      <c r="AP43" s="373">
        <f>IF(F43=0,"",K43/(F43/((YEAR(E43)*12+MONTH(E43))-(YEAR(D43)*12+MONTH(D43))+1)))</f>
        <v/>
      </c>
      <c r="AQ43" s="373">
        <f>G43/F43</f>
        <v/>
      </c>
      <c r="AR43" s="736">
        <f>F43-G43</f>
        <v/>
      </c>
      <c r="AS43" s="733" t="n"/>
      <c r="AT43" s="733" t="n"/>
      <c r="AU43" s="733" t="n"/>
      <c r="AV43" s="706" t="inlineStr"/>
      <c r="AW43" s="706" t="inlineStr"/>
      <c r="AX43" s="706" t="inlineStr"/>
      <c r="AY43" s="706" t="inlineStr"/>
      <c r="AZ43" s="706" t="inlineStr"/>
      <c r="BA43" s="706" t="inlineStr"/>
      <c r="BB43" s="706" t="inlineStr"/>
      <c r="BC43" s="706" t="inlineStr"/>
      <c r="BD43" s="706" t="inlineStr"/>
      <c r="BE43" s="706" t="inlineStr"/>
      <c r="BF43" s="706" t="inlineStr"/>
      <c r="BG43" s="706" t="inlineStr"/>
      <c r="BH43" s="706" t="inlineStr"/>
      <c r="BI43" s="706" t="inlineStr"/>
      <c r="BJ43" s="706" t="inlineStr"/>
      <c r="BK43" s="706" t="inlineStr"/>
      <c r="BL43" s="706" t="inlineStr"/>
      <c r="BM43" s="706" t="inlineStr"/>
      <c r="BN43" s="706" t="inlineStr"/>
      <c r="BO43" s="706" t="inlineStr"/>
      <c r="BP43" s="706" t="inlineStr"/>
      <c r="BQ43" s="706" t="inlineStr"/>
      <c r="BR43" s="706" t="inlineStr"/>
      <c r="BS43" s="706" t="inlineStr"/>
      <c r="BT43" s="706" t="inlineStr"/>
      <c r="BU43" s="706" t="inlineStr"/>
    </row>
    <row r="44" outlineLevel="1" ht="14.25" customFormat="1" customHeight="1" s="483">
      <c r="A44" s="733" t="n"/>
      <c r="B44" s="734" t="inlineStr">
        <is>
          <t>理财师004</t>
        </is>
      </c>
      <c r="C44" s="734" t="inlineStr"/>
      <c r="D44" s="734" t="inlineStr"/>
      <c r="E44" s="734" t="inlineStr"/>
      <c r="F44" s="734" t="n">
        <v>0</v>
      </c>
      <c r="G44" s="734" t="n">
        <v>0</v>
      </c>
      <c r="H44" s="734" t="n">
        <v>0</v>
      </c>
      <c r="I44" s="734" t="n">
        <v>0</v>
      </c>
      <c r="J44" s="734" t="n">
        <v>0</v>
      </c>
      <c r="K44" s="734">
        <f>SUM(H44:J44)</f>
        <v/>
      </c>
      <c r="L44" s="734" t="n">
        <v>0</v>
      </c>
      <c r="M44" s="734" t="n">
        <v>0</v>
      </c>
      <c r="N44" s="734" t="n">
        <v>0</v>
      </c>
      <c r="O44" s="734">
        <f>SUM(L44:N44)</f>
        <v/>
      </c>
      <c r="P44" s="734" t="n">
        <v>2341.58054</v>
      </c>
      <c r="Q44" s="734" t="n">
        <v>0</v>
      </c>
      <c r="R44" s="734" t="n">
        <v>678.829965</v>
      </c>
      <c r="S44" s="734">
        <f>SUM(P44:R44)</f>
        <v/>
      </c>
      <c r="T44" s="734" t="n">
        <v>485.207489</v>
      </c>
      <c r="U44" s="734" t="n">
        <v>0</v>
      </c>
      <c r="V44" s="734" t="n">
        <v>647.4247319999999</v>
      </c>
      <c r="W44" s="734">
        <f>SUM(T44:V44)</f>
        <v/>
      </c>
      <c r="X44" s="734" t="n">
        <v>2310.349392</v>
      </c>
      <c r="Y44" s="734" t="n">
        <v>0</v>
      </c>
      <c r="Z44" s="734" t="n">
        <v>578.575409</v>
      </c>
      <c r="AA44" s="734">
        <f>SUM(X44:Z44)</f>
        <v/>
      </c>
      <c r="AB44" s="734" t="n">
        <v>753.431552</v>
      </c>
      <c r="AC44" s="734" t="n">
        <v>0</v>
      </c>
      <c r="AD44" s="734" t="n">
        <v>578.295302</v>
      </c>
      <c r="AE44" s="734">
        <f>SUM(AB44:AD44)</f>
        <v/>
      </c>
      <c r="AF44" s="734" t="n">
        <v>1958.298381</v>
      </c>
      <c r="AG44" s="734" t="n">
        <v>0</v>
      </c>
      <c r="AH44" s="734" t="n">
        <v>652.1048489999999</v>
      </c>
      <c r="AI44" s="734">
        <f>SUM(AF44:AH44)</f>
        <v/>
      </c>
      <c r="AJ44" s="734" t="n">
        <v>2837.047697</v>
      </c>
      <c r="AK44" s="734" t="n">
        <v>0</v>
      </c>
      <c r="AL44" s="734" t="n">
        <v>460.81999</v>
      </c>
      <c r="AM44" s="734">
        <f>SUM(AJ44:AL44)</f>
        <v/>
      </c>
      <c r="AN44" s="734" t="n">
        <v>2541.530781</v>
      </c>
      <c r="AO44" s="372">
        <f>SUM(K44+O44+S44+W44+AA44+AE44+AI44+AM44+AN44)</f>
        <v/>
      </c>
      <c r="AP44" s="373">
        <f>IF(F44=0,"",K44/(F44/MAX(1,(YEAR(E44)*12+MONTH(E44))-(YEAR(D44)*12+MONTH(D44))+1)))</f>
        <v/>
      </c>
      <c r="AQ44" s="373">
        <f>G44/F44</f>
        <v/>
      </c>
      <c r="AR44" s="736">
        <f>F44-G44</f>
        <v/>
      </c>
      <c r="AS44" s="733" t="n"/>
      <c r="AT44" s="733" t="n"/>
      <c r="AU44" s="733" t="n"/>
      <c r="AV44" s="706" t="inlineStr"/>
      <c r="AW44" s="706" t="inlineStr"/>
      <c r="AX44" s="706" t="inlineStr"/>
      <c r="AY44" s="706" t="inlineStr"/>
      <c r="AZ44" s="706" t="inlineStr"/>
      <c r="BA44" s="706" t="inlineStr"/>
      <c r="BB44" s="706" t="inlineStr"/>
      <c r="BC44" s="706" t="inlineStr"/>
      <c r="BD44" s="706" t="inlineStr"/>
      <c r="BE44" s="706" t="inlineStr"/>
      <c r="BF44" s="706" t="inlineStr"/>
      <c r="BG44" s="706" t="inlineStr"/>
      <c r="BH44" s="706" t="inlineStr"/>
      <c r="BI44" s="706" t="inlineStr"/>
      <c r="BJ44" s="706" t="inlineStr"/>
      <c r="BK44" s="706" t="inlineStr"/>
      <c r="BL44" s="706" t="inlineStr"/>
      <c r="BM44" s="706" t="inlineStr"/>
      <c r="BN44" s="706" t="inlineStr"/>
      <c r="BO44" s="706" t="inlineStr"/>
      <c r="BP44" s="706" t="inlineStr"/>
      <c r="BQ44" s="706" t="inlineStr"/>
      <c r="BR44" s="706" t="inlineStr"/>
      <c r="BS44" s="706" t="inlineStr"/>
      <c r="BT44" s="706" t="inlineStr"/>
      <c r="BU44" s="706" t="inlineStr"/>
    </row>
    <row r="45" outlineLevel="1" ht="14.25" customFormat="1" customHeight="1" s="483">
      <c r="A45" s="733" t="n"/>
      <c r="B45" s="734" t="inlineStr">
        <is>
          <t>理财师012</t>
        </is>
      </c>
      <c r="C45" s="734" t="inlineStr">
        <is>
          <t>首席私人财富管理专家PWA5-1</t>
        </is>
      </c>
      <c r="D45" s="735" t="n">
        <v>46204</v>
      </c>
      <c r="E45" s="735" t="n">
        <v>46387</v>
      </c>
      <c r="F45" s="734" t="n">
        <v>39973.5</v>
      </c>
      <c r="G45" s="734" t="n">
        <v>7373.54042</v>
      </c>
      <c r="H45" s="734" t="n">
        <v>289.52235</v>
      </c>
      <c r="I45" s="734" t="n">
        <v>0</v>
      </c>
      <c r="J45" s="734" t="n">
        <v>0</v>
      </c>
      <c r="K45" s="734">
        <f>SUM(H45:J45)</f>
        <v/>
      </c>
      <c r="L45" s="734" t="n">
        <v>618.398062</v>
      </c>
      <c r="M45" s="734" t="n">
        <v>0</v>
      </c>
      <c r="N45" s="734" t="n">
        <v>0</v>
      </c>
      <c r="O45" s="734">
        <f>SUM(L45:N45)</f>
        <v/>
      </c>
      <c r="P45" s="734" t="n">
        <v>5568.203477</v>
      </c>
      <c r="Q45" s="734" t="n">
        <v>0</v>
      </c>
      <c r="R45" s="734" t="n">
        <v>897.416531</v>
      </c>
      <c r="S45" s="734">
        <f>SUM(P45:R45)</f>
        <v/>
      </c>
      <c r="T45" s="734" t="n">
        <v>5710.083829</v>
      </c>
      <c r="U45" s="734" t="n">
        <v>0</v>
      </c>
      <c r="V45" s="734" t="n">
        <v>4494.277957</v>
      </c>
      <c r="W45" s="734">
        <f>SUM(T45:V45)</f>
        <v/>
      </c>
      <c r="X45" s="734" t="n">
        <v>5099.256359</v>
      </c>
      <c r="Y45" s="734" t="n">
        <v>0</v>
      </c>
      <c r="Z45" s="734" t="n">
        <v>2165.674642</v>
      </c>
      <c r="AA45" s="734">
        <f>SUM(X45:Z45)</f>
        <v/>
      </c>
      <c r="AB45" s="734" t="n">
        <v>937.141286</v>
      </c>
      <c r="AC45" s="734" t="n">
        <v>0</v>
      </c>
      <c r="AD45" s="734" t="n">
        <v>1775.786688</v>
      </c>
      <c r="AE45" s="734">
        <f>SUM(AB45:AD45)</f>
        <v/>
      </c>
      <c r="AF45" s="734" t="n">
        <v>3160.387028</v>
      </c>
      <c r="AG45" s="734" t="n">
        <v>0</v>
      </c>
      <c r="AH45" s="734" t="n">
        <v>3880.484178</v>
      </c>
      <c r="AI45" s="734">
        <f>SUM(AF45:AH45)</f>
        <v/>
      </c>
      <c r="AJ45" s="734" t="n">
        <v>3065.24731</v>
      </c>
      <c r="AK45" s="734" t="n">
        <v>0</v>
      </c>
      <c r="AL45" s="734" t="n">
        <v>1466.609142</v>
      </c>
      <c r="AM45" s="734">
        <f>SUM(AJ45:AL45)</f>
        <v/>
      </c>
      <c r="AN45" s="734" t="n">
        <v>4881.758761</v>
      </c>
      <c r="AO45" s="372">
        <f>SUM(K45+O45+S45+W45+AA45+AE45+AI45+AM45+AN45)</f>
        <v/>
      </c>
      <c r="AP45" s="373">
        <f>IF(F45=0,"",K45/(F45/((YEAR(E45)*12+MONTH(E45))-(YEAR(D45)*12+MONTH(D45))+1)))</f>
        <v/>
      </c>
      <c r="AQ45" s="373">
        <f>G45/F45</f>
        <v/>
      </c>
      <c r="AR45" s="736">
        <f>F45-G45</f>
        <v/>
      </c>
      <c r="AS45" s="733" t="n"/>
      <c r="AT45" s="733" t="n"/>
      <c r="AU45" s="733" t="n"/>
      <c r="AV45" s="706" t="inlineStr"/>
      <c r="AW45" s="706" t="inlineStr"/>
      <c r="AX45" s="706" t="inlineStr"/>
      <c r="AY45" s="706" t="inlineStr"/>
      <c r="AZ45" s="706" t="inlineStr"/>
      <c r="BA45" s="706" t="inlineStr"/>
      <c r="BB45" s="706" t="inlineStr"/>
      <c r="BC45" s="706" t="inlineStr"/>
      <c r="BD45" s="706" t="inlineStr"/>
      <c r="BE45" s="706" t="inlineStr"/>
      <c r="BF45" s="706" t="inlineStr"/>
      <c r="BG45" s="706" t="inlineStr"/>
      <c r="BH45" s="706" t="inlineStr"/>
      <c r="BI45" s="706" t="inlineStr"/>
      <c r="BJ45" s="706" t="inlineStr"/>
      <c r="BK45" s="706" t="inlineStr"/>
      <c r="BL45" s="706" t="inlineStr"/>
      <c r="BM45" s="706" t="inlineStr"/>
      <c r="BN45" s="706" t="inlineStr"/>
      <c r="BO45" s="706" t="inlineStr"/>
      <c r="BP45" s="706" t="inlineStr"/>
      <c r="BQ45" s="706" t="inlineStr"/>
      <c r="BR45" s="706" t="inlineStr"/>
      <c r="BS45" s="706" t="inlineStr"/>
      <c r="BT45" s="706" t="inlineStr"/>
      <c r="BU45" s="706" t="inlineStr"/>
    </row>
    <row r="46" outlineLevel="1" ht="14.25" customFormat="1" customHeight="1" s="483">
      <c r="A46" s="737" t="n"/>
      <c r="B46" s="734" t="inlineStr">
        <is>
          <t>理财师031</t>
        </is>
      </c>
      <c r="C46" s="734" t="inlineStr">
        <is>
          <t>私人财富管理总监PWA3-1</t>
        </is>
      </c>
      <c r="D46" s="735" t="n">
        <v>46244</v>
      </c>
      <c r="E46" s="735" t="n">
        <v>46427</v>
      </c>
      <c r="F46" s="734" t="n">
        <v>14903.6</v>
      </c>
      <c r="G46" s="734" t="n">
        <v>0</v>
      </c>
      <c r="H46" s="734" t="n">
        <v>0</v>
      </c>
      <c r="I46" s="734" t="n">
        <v>0</v>
      </c>
      <c r="J46" s="734" t="n">
        <v>0</v>
      </c>
      <c r="K46" s="734">
        <f>SUM(H46:J46)</f>
        <v/>
      </c>
      <c r="L46" s="734" t="n">
        <v>0</v>
      </c>
      <c r="M46" s="734" t="n">
        <v>0</v>
      </c>
      <c r="N46" s="734" t="n">
        <v>0</v>
      </c>
      <c r="O46" s="734">
        <f>SUM(L46:N46)</f>
        <v/>
      </c>
      <c r="P46" s="734" t="n">
        <v>86.0985</v>
      </c>
      <c r="Q46" s="734" t="n">
        <v>0</v>
      </c>
      <c r="R46" s="734" t="n">
        <v>0</v>
      </c>
      <c r="S46" s="734">
        <f>SUM(P46:R46)</f>
        <v/>
      </c>
      <c r="T46" s="734" t="n">
        <v>213.405454</v>
      </c>
      <c r="U46" s="734" t="n">
        <v>0</v>
      </c>
      <c r="V46" s="734" t="n">
        <v>9.135904</v>
      </c>
      <c r="W46" s="734">
        <f>SUM(T46:V46)</f>
        <v/>
      </c>
      <c r="X46" s="734" t="n">
        <v>1006.091686</v>
      </c>
      <c r="Y46" s="734" t="n">
        <v>0</v>
      </c>
      <c r="Z46" s="734" t="n">
        <v>0</v>
      </c>
      <c r="AA46" s="734">
        <f>SUM(X46:Z46)</f>
        <v/>
      </c>
      <c r="AB46" s="734" t="n">
        <v>73.317948</v>
      </c>
      <c r="AC46" s="734" t="n">
        <v>0</v>
      </c>
      <c r="AD46" s="734" t="n">
        <v>0</v>
      </c>
      <c r="AE46" s="734">
        <f>SUM(AB46:AD46)</f>
        <v/>
      </c>
      <c r="AF46" s="734" t="n">
        <v>0</v>
      </c>
      <c r="AG46" s="734" t="n">
        <v>0</v>
      </c>
      <c r="AH46" s="734" t="n">
        <v>0</v>
      </c>
      <c r="AI46" s="734">
        <f>SUM(AF46:AH46)</f>
        <v/>
      </c>
      <c r="AJ46" s="734" t="n">
        <v>0</v>
      </c>
      <c r="AK46" s="734" t="n">
        <v>0</v>
      </c>
      <c r="AL46" s="734" t="n">
        <v>0</v>
      </c>
      <c r="AM46" s="734">
        <f>SUM(AJ46:AL46)</f>
        <v/>
      </c>
      <c r="AN46" s="734" t="n">
        <v>0</v>
      </c>
      <c r="AO46" s="734">
        <f>SUM(K46+O46+S46+W46+AA46+AE46+AI46+AM46+AN46)</f>
        <v/>
      </c>
      <c r="AP46" s="373">
        <f>IF(F46=0,"",K46/(F46/((YEAR(E46)*12+MONTH(E46))-(YEAR(D46)*12+MONTH(D46))+1)))</f>
        <v/>
      </c>
      <c r="AQ46" s="373">
        <f>G46/F46</f>
        <v/>
      </c>
      <c r="AR46" s="734">
        <f>F46-G46</f>
        <v/>
      </c>
      <c r="AS46" s="737" t="n"/>
      <c r="AT46" s="737" t="n"/>
      <c r="AU46" s="737" t="n"/>
      <c r="AV46" s="706" t="inlineStr"/>
      <c r="AW46" s="706" t="inlineStr"/>
      <c r="AX46" s="706" t="inlineStr"/>
      <c r="AY46" s="706" t="inlineStr"/>
      <c r="AZ46" s="706" t="inlineStr"/>
      <c r="BA46" s="706" t="inlineStr"/>
      <c r="BB46" s="706" t="inlineStr"/>
      <c r="BC46" s="706" t="inlineStr"/>
      <c r="BD46" s="706" t="inlineStr"/>
      <c r="BE46" s="706" t="inlineStr"/>
      <c r="BF46" s="706" t="inlineStr"/>
      <c r="BG46" s="706" t="inlineStr"/>
      <c r="BH46" s="706" t="inlineStr"/>
      <c r="BI46" s="706" t="inlineStr"/>
      <c r="BJ46" s="706" t="inlineStr"/>
      <c r="BK46" s="706" t="inlineStr"/>
      <c r="BL46" s="706" t="inlineStr"/>
      <c r="BM46" s="706" t="inlineStr"/>
      <c r="BN46" s="706" t="inlineStr"/>
      <c r="BO46" s="706" t="inlineStr"/>
      <c r="BP46" s="706" t="inlineStr"/>
      <c r="BQ46" s="706" t="inlineStr"/>
      <c r="BR46" s="706" t="inlineStr"/>
      <c r="BS46" s="706" t="inlineStr"/>
      <c r="BT46" s="706" t="inlineStr"/>
      <c r="BU46" s="706" t="inlineStr"/>
    </row>
    <row r="47" outlineLevel="1" ht="14.25" customFormat="1" customHeight="1" s="483">
      <c r="A47" s="738" t="inlineStr">
        <is>
          <t>合计</t>
        </is>
      </c>
      <c r="B47" s="739" t="n"/>
      <c r="C47" s="739" t="n"/>
      <c r="D47" s="739" t="n"/>
      <c r="E47" s="740" t="n"/>
      <c r="F47" s="379">
        <f>SUM(F40:F46)</f>
        <v/>
      </c>
      <c r="G47" s="738">
        <f>SUM(G40:G46)</f>
        <v/>
      </c>
      <c r="H47" s="738">
        <f>SUM(H40:H46)</f>
        <v/>
      </c>
      <c r="I47" s="738">
        <f>SUM(I40:I46)</f>
        <v/>
      </c>
      <c r="J47" s="738">
        <f>SUM(J40:J46)</f>
        <v/>
      </c>
      <c r="K47" s="738">
        <f>SUM(K40:K46)</f>
        <v/>
      </c>
      <c r="L47" s="738">
        <f>SUM(L40:L46)</f>
        <v/>
      </c>
      <c r="M47" s="738">
        <f>SUM(M40:M46)</f>
        <v/>
      </c>
      <c r="N47" s="738">
        <f>SUM(N40:N46)</f>
        <v/>
      </c>
      <c r="O47" s="738">
        <f>SUM(O40:O46)</f>
        <v/>
      </c>
      <c r="P47" s="738">
        <f>SUM(P40:P46)</f>
        <v/>
      </c>
      <c r="Q47" s="738">
        <f>SUM(Q40:Q46)</f>
        <v/>
      </c>
      <c r="R47" s="738">
        <f>SUM(R40:R46)</f>
        <v/>
      </c>
      <c r="S47" s="738">
        <f>SUM(S40:S46)</f>
        <v/>
      </c>
      <c r="T47" s="738">
        <f>SUM(T40:T46)</f>
        <v/>
      </c>
      <c r="U47" s="738">
        <f>SUM(U40:U46)</f>
        <v/>
      </c>
      <c r="V47" s="738">
        <f>SUM(V40:V46)</f>
        <v/>
      </c>
      <c r="W47" s="738">
        <f>SUM(W40:W46)</f>
        <v/>
      </c>
      <c r="X47" s="738">
        <f>SUM(X40:X46)</f>
        <v/>
      </c>
      <c r="Y47" s="738">
        <f>SUM(Y40:Y46)</f>
        <v/>
      </c>
      <c r="Z47" s="738">
        <f>SUM(Z40:Z46)</f>
        <v/>
      </c>
      <c r="AA47" s="738">
        <f>SUM(AA40:AA46)</f>
        <v/>
      </c>
      <c r="AB47" s="738">
        <f>SUM(AB40:AB46)</f>
        <v/>
      </c>
      <c r="AC47" s="738">
        <f>SUM(AC40:AC46)</f>
        <v/>
      </c>
      <c r="AD47" s="738">
        <f>SUM(AD40:AD46)</f>
        <v/>
      </c>
      <c r="AE47" s="738">
        <f>SUM(AE40:AE46)</f>
        <v/>
      </c>
      <c r="AF47" s="738">
        <f>SUM(AF40:AF46)</f>
        <v/>
      </c>
      <c r="AG47" s="738">
        <f>SUM(AG40:AG46)</f>
        <v/>
      </c>
      <c r="AH47" s="738">
        <f>SUM(AH40:AH46)</f>
        <v/>
      </c>
      <c r="AI47" s="738">
        <f>SUM(AI40:AI46)</f>
        <v/>
      </c>
      <c r="AJ47" s="738">
        <f>SUM(AJ40:AJ46)</f>
        <v/>
      </c>
      <c r="AK47" s="738">
        <f>SUM(AK40:AK46)</f>
        <v/>
      </c>
      <c r="AL47" s="738">
        <f>SUM(AL40:AL46)</f>
        <v/>
      </c>
      <c r="AM47" s="738">
        <f>SUM(AM40:AM46)</f>
        <v/>
      </c>
      <c r="AN47" s="738">
        <f>SUM(AN40:AN46)</f>
        <v/>
      </c>
      <c r="AO47" s="738">
        <f>SUM(K47+O47+S47+W47+AA47+AE47+AI47+AM47+AN47)</f>
        <v/>
      </c>
      <c r="AP47" s="381">
        <f>IF(F47=0,"",K47/(F47/((YEAR(E40)*12+MONTH(E40))-(YEAR(D40)*12+MONTH(D40))+1)))</f>
        <v/>
      </c>
      <c r="AQ47" s="382">
        <f>G47/F47</f>
        <v/>
      </c>
      <c r="AR47" s="738">
        <f>F47-G47</f>
        <v/>
      </c>
      <c r="AS47" s="383">
        <f>AS40</f>
        <v/>
      </c>
      <c r="AT47" s="381">
        <f>AO47/AS40</f>
        <v/>
      </c>
      <c r="AU47" s="742">
        <f>AS40-AO47</f>
        <v/>
      </c>
      <c r="AV47" s="713" t="inlineStr"/>
      <c r="AW47" s="713" t="inlineStr"/>
      <c r="AX47" s="713" t="inlineStr"/>
      <c r="AY47" s="713" t="inlineStr"/>
      <c r="AZ47" s="713" t="inlineStr"/>
      <c r="BA47" s="713" t="inlineStr"/>
      <c r="BB47" s="713" t="inlineStr"/>
      <c r="BC47" s="713" t="inlineStr"/>
      <c r="BD47" s="713" t="inlineStr"/>
      <c r="BE47" s="713" t="inlineStr"/>
      <c r="BF47" s="713" t="inlineStr"/>
      <c r="BG47" s="713" t="inlineStr"/>
      <c r="BH47" s="713" t="inlineStr"/>
      <c r="BI47" s="713" t="inlineStr"/>
      <c r="BJ47" s="713" t="inlineStr"/>
      <c r="BK47" s="713" t="inlineStr"/>
      <c r="BL47" s="713" t="inlineStr"/>
      <c r="BM47" s="713" t="inlineStr"/>
      <c r="BN47" s="713" t="inlineStr"/>
      <c r="BO47" s="713" t="inlineStr"/>
      <c r="BP47" s="713" t="inlineStr"/>
      <c r="BQ47" s="713" t="inlineStr"/>
      <c r="BR47" s="713" t="inlineStr"/>
      <c r="BS47" s="713" t="inlineStr"/>
      <c r="BT47" s="713" t="inlineStr"/>
      <c r="BU47" s="713" t="inlineStr"/>
    </row>
    <row r="48" ht="14.25" customFormat="1" customHeight="1" s="483">
      <c r="A48" s="747" t="inlineStr">
        <is>
          <t>合计</t>
        </is>
      </c>
      <c r="B48" s="748" t="n"/>
      <c r="C48" s="748" t="n"/>
      <c r="D48" s="748" t="n"/>
      <c r="E48" s="749" t="n"/>
      <c r="F48" s="750">
        <f>F9+F14+F18+F22+F26+F29+F32+F36+F39+F47</f>
        <v/>
      </c>
      <c r="G48" s="750">
        <f>G9+G14+G18+G22+G26+G29+G32+G36+G39+G47</f>
        <v/>
      </c>
      <c r="H48" s="751">
        <f>H9+H14+H18+H22+H26+H29+H32+H36+H39+H47</f>
        <v/>
      </c>
      <c r="I48" s="751">
        <f>I9+I14+I18+I22+I26+I29+I32+I36+I39+I47</f>
        <v/>
      </c>
      <c r="J48" s="751">
        <f>J9+J14+J18+J22+J26+J29+J32+J36+J39+J47</f>
        <v/>
      </c>
      <c r="K48" s="751">
        <f>K9+K14+K18+K22+K26+K29+K32+K36+K39+K47</f>
        <v/>
      </c>
      <c r="L48" s="751">
        <f>L9+L14+L18+L22+L26+L29+L32+L36+L39+L47</f>
        <v/>
      </c>
      <c r="M48" s="751">
        <f>M9+M14+M18+M22+M26+M29+M32+M36+M39+M47</f>
        <v/>
      </c>
      <c r="N48" s="751">
        <f>N9+N14+N18+N22+N26+N29+N32+N36+N39+N47</f>
        <v/>
      </c>
      <c r="O48" s="751">
        <f>O9+O14+O18+O22+O26+O29+O32+O36+O39+O47</f>
        <v/>
      </c>
      <c r="P48" s="751">
        <f>P9+P14+P18+P22+P26+P29+P32+P36+P39+P47</f>
        <v/>
      </c>
      <c r="Q48" s="751">
        <f>Q9+Q14+Q18+Q22+Q26+Q29+Q32+Q36+Q39+Q47</f>
        <v/>
      </c>
      <c r="R48" s="751">
        <f>R9+R14+R18+R22+R26+R29+R32+R36+R39+R47</f>
        <v/>
      </c>
      <c r="S48" s="751">
        <f>S9+S14+S18+S22+S26+S29+S32+S36+S39+S47</f>
        <v/>
      </c>
      <c r="T48" s="750">
        <f>T9+T14+T18+T22+T26+T29+T32+T36+T39+T47</f>
        <v/>
      </c>
      <c r="U48" s="750">
        <f>U9+U14+U18+U22+U26+U29+U32+U36+U39+U47</f>
        <v/>
      </c>
      <c r="V48" s="750">
        <f>V9+V14+V18+V22+V26+V29+V32+V36+V39+V47</f>
        <v/>
      </c>
      <c r="W48" s="750">
        <f>W9+W14+W18+W22+W26+W29+W32+W36+W39+W47</f>
        <v/>
      </c>
      <c r="X48" s="750">
        <f>X9+X14+X18+X22+X26+X29+X32+X36+X39+X47</f>
        <v/>
      </c>
      <c r="Y48" s="750">
        <f>Y9+Y14+Y18+Y22+Y26+Y29+Y32+Y36+Y39+Y47</f>
        <v/>
      </c>
      <c r="Z48" s="750">
        <f>Z9+Z14+Z18+Z22+Z26+Z29+Z32+Z36+Z39+Z47</f>
        <v/>
      </c>
      <c r="AA48" s="750">
        <f>AA9+AA14+AA18+AA22+AA26+AA29+AA32+AA36+AA39+AA47</f>
        <v/>
      </c>
      <c r="AB48" s="750">
        <f>AB9+AB14+AB18+AB22+AB26+AB29+AB32+AB36+AB39+AB47</f>
        <v/>
      </c>
      <c r="AC48" s="750">
        <f>AC9+AC14+AC18+AC22+AC26+AC29+AC32+AC36+AC39+AC47</f>
        <v/>
      </c>
      <c r="AD48" s="750">
        <f>AD9+AD14+AD18+AD22+AD26+AD29+AD32+AD36+AD39+AD47</f>
        <v/>
      </c>
      <c r="AE48" s="750">
        <f>AE9+AE14+AE18+AE22+AE26+AE29+AE32+AE36+AE39+AE47</f>
        <v/>
      </c>
      <c r="AF48" s="750">
        <f>AF9+AF14+AF18+AF22+AF26+AF29+AF32+AF36+AF39+AF47</f>
        <v/>
      </c>
      <c r="AG48" s="751">
        <f>AG9+AG14+AG18+AG22+AG26+AG29+AG32+AG36+AG39+AG47</f>
        <v/>
      </c>
      <c r="AH48" s="751">
        <f>AH9+AH14+AH18+AH22+AH26+AH29+AH32+AH36+AH39+AH47</f>
        <v/>
      </c>
      <c r="AI48" s="751">
        <f>AI9+AI14+AI18+AI22+AI26+AI29+AI32+AI36+AI39+AI47</f>
        <v/>
      </c>
      <c r="AJ48" s="751">
        <f>AJ9+AJ14+AJ18+AJ22+AJ26+AJ29+AJ32+AJ36+AJ39+AJ47</f>
        <v/>
      </c>
      <c r="AK48" s="751">
        <f>AK9+AK14+AK18+AK22+AK26+AK29+AK32+AK36+AK39+AK47</f>
        <v/>
      </c>
      <c r="AL48" s="751">
        <f>AL9+AL14+AL18+AL22+AL26+AL29+AL32+AL36+AL39+AL47</f>
        <v/>
      </c>
      <c r="AM48" s="751">
        <f>AM9+AM14+AM18+AM22+AM26+AM29+AM32+AM36+AM39+AM47</f>
        <v/>
      </c>
      <c r="AN48" s="751">
        <f>AN9+AN14+AN18+AN22+AN26+AN29+AN32+AN36+AN39+AN47</f>
        <v/>
      </c>
      <c r="AO48" s="394">
        <f>AO9+AO14+AO18+AO22+AO26+AO29+AO32+AO36+AO39+AO47</f>
        <v/>
      </c>
      <c r="AP48" s="395">
        <f>K48/(F48/((YEAR(E4)*12+MONTH(E4))-(YEAR(D4)*12+MONTH(D4))+1))</f>
        <v/>
      </c>
      <c r="AQ48" s="395">
        <f>G48/F48</f>
        <v/>
      </c>
      <c r="AR48" s="752">
        <f>F48-G48</f>
        <v/>
      </c>
      <c r="AS48" s="397">
        <f>AS9+AS14+AS18+AS22+AS26+AS29+AS32+AS36+AS39+AS47</f>
        <v/>
      </c>
      <c r="AT48" s="398">
        <f>AO48/AS48</f>
        <v/>
      </c>
      <c r="AU48" s="751">
        <f>AS48-AO48</f>
        <v/>
      </c>
      <c r="AV48" s="723" t="inlineStr"/>
      <c r="AW48" s="723" t="inlineStr"/>
      <c r="AX48" s="723" t="inlineStr"/>
      <c r="AY48" s="723" t="inlineStr"/>
      <c r="AZ48" s="723" t="inlineStr"/>
      <c r="BA48" s="723" t="inlineStr"/>
      <c r="BB48" s="723" t="inlineStr"/>
      <c r="BC48" s="723" t="inlineStr"/>
      <c r="BD48" s="723" t="inlineStr"/>
      <c r="BE48" s="723" t="inlineStr"/>
      <c r="BF48" s="723" t="inlineStr"/>
      <c r="BG48" s="723" t="inlineStr"/>
      <c r="BH48" s="723" t="inlineStr"/>
      <c r="BI48" s="723" t="inlineStr"/>
      <c r="BJ48" s="723" t="inlineStr"/>
      <c r="BK48" s="723" t="inlineStr"/>
      <c r="BL48" s="723" t="inlineStr"/>
      <c r="BM48" s="723" t="inlineStr"/>
      <c r="BN48" s="723" t="inlineStr"/>
      <c r="BO48" s="723" t="inlineStr"/>
      <c r="BP48" s="723" t="inlineStr"/>
      <c r="BQ48" s="723" t="inlineStr"/>
      <c r="BR48" s="723" t="inlineStr"/>
      <c r="BS48" s="723" t="inlineStr"/>
      <c r="BT48" s="723" t="inlineStr"/>
      <c r="BU48" s="727" t="inlineStr"/>
    </row>
    <row r="49" ht="14.25" customFormat="1" customHeight="1" s="483">
      <c r="AR49" s="633" t="inlineStr">
        <is>
          <t>公司目标</t>
        </is>
      </c>
      <c r="AS49" s="633" t="n">
        <v>947362.344439</v>
      </c>
      <c r="AT49" s="252">
        <f>IF(AS49&lt;&gt;0,AO48/AS49,"")</f>
        <v/>
      </c>
      <c r="AU49" s="663">
        <f>AS49-AO48</f>
        <v/>
      </c>
    </row>
    <row r="50" ht="35.1" customFormat="1" customHeight="1" s="483"/>
    <row r="51" ht="24" customFormat="1" customHeight="1" s="483"/>
  </sheetData>
  <mergeCells count="98">
    <mergeCell ref="A39:E39"/>
    <mergeCell ref="A48:E48"/>
    <mergeCell ref="A4:A8"/>
    <mergeCell ref="A23:A25"/>
    <mergeCell ref="U2:U3"/>
    <mergeCell ref="A27:A28"/>
    <mergeCell ref="AT40:AT46"/>
    <mergeCell ref="AU27:AU28"/>
    <mergeCell ref="A15:A17"/>
    <mergeCell ref="A2:A3"/>
    <mergeCell ref="C2:C3"/>
    <mergeCell ref="AS33:AS35"/>
    <mergeCell ref="E2:E3"/>
    <mergeCell ref="AU33:AU35"/>
    <mergeCell ref="W2:W3"/>
    <mergeCell ref="A26:E26"/>
    <mergeCell ref="AA2:AA3"/>
    <mergeCell ref="A40:A46"/>
    <mergeCell ref="AC2:AC3"/>
    <mergeCell ref="A10:A13"/>
    <mergeCell ref="AM2:AM3"/>
    <mergeCell ref="AU19:AU21"/>
    <mergeCell ref="AO2:AO3"/>
    <mergeCell ref="V2:V3"/>
    <mergeCell ref="X2:X3"/>
    <mergeCell ref="AT37:AT38"/>
    <mergeCell ref="AT4:AT8"/>
    <mergeCell ref="AT15:AT17"/>
    <mergeCell ref="A36:E36"/>
    <mergeCell ref="N2:N3"/>
    <mergeCell ref="F2:F3"/>
    <mergeCell ref="P2:P3"/>
    <mergeCell ref="H2:H3"/>
    <mergeCell ref="AU30:AU31"/>
    <mergeCell ref="A37:A38"/>
    <mergeCell ref="AS15:AS17"/>
    <mergeCell ref="AF2:AF3"/>
    <mergeCell ref="K2:K3"/>
    <mergeCell ref="AH2:AH3"/>
    <mergeCell ref="AT10:AT13"/>
    <mergeCell ref="AU23:AU25"/>
    <mergeCell ref="O2:O3"/>
    <mergeCell ref="A32:E32"/>
    <mergeCell ref="Q2:Q3"/>
    <mergeCell ref="A14:E14"/>
    <mergeCell ref="AI2:AI3"/>
    <mergeCell ref="AK2:AK3"/>
    <mergeCell ref="AU2:AU3"/>
    <mergeCell ref="A29:E29"/>
    <mergeCell ref="AT30:AT31"/>
    <mergeCell ref="S2:S3"/>
    <mergeCell ref="AS40:AS46"/>
    <mergeCell ref="AU40:AU46"/>
    <mergeCell ref="AT27:AT28"/>
    <mergeCell ref="B2:B3"/>
    <mergeCell ref="D2:D3"/>
    <mergeCell ref="AS19:AS21"/>
    <mergeCell ref="Z2:Z3"/>
    <mergeCell ref="AB2:AB3"/>
    <mergeCell ref="AD2:AD3"/>
    <mergeCell ref="T2:T3"/>
    <mergeCell ref="A18:E18"/>
    <mergeCell ref="AN2:AN3"/>
    <mergeCell ref="AP2:AP3"/>
    <mergeCell ref="AU4:AU8"/>
    <mergeCell ref="A47:E47"/>
    <mergeCell ref="AR2:AR3"/>
    <mergeCell ref="AT2:AT3"/>
    <mergeCell ref="A22:E22"/>
    <mergeCell ref="AS37:AS38"/>
    <mergeCell ref="AT33:AT35"/>
    <mergeCell ref="A9:E9"/>
    <mergeCell ref="AU37:AU38"/>
    <mergeCell ref="AS4:AS8"/>
    <mergeCell ref="AS30:AS31"/>
    <mergeCell ref="AU15:AU17"/>
    <mergeCell ref="G2:G3"/>
    <mergeCell ref="AT19:AT21"/>
    <mergeCell ref="I2:I3"/>
    <mergeCell ref="AS23:AS25"/>
    <mergeCell ref="A33:A35"/>
    <mergeCell ref="M2:M3"/>
    <mergeCell ref="AE2:AE3"/>
    <mergeCell ref="AS10:AS13"/>
    <mergeCell ref="AG2:AG3"/>
    <mergeCell ref="AU10:AU13"/>
    <mergeCell ref="Y2:Y3"/>
    <mergeCell ref="AQ2:AQ3"/>
    <mergeCell ref="AS2:AS3"/>
    <mergeCell ref="A19:A21"/>
    <mergeCell ref="AS27:AS28"/>
    <mergeCell ref="R2:R3"/>
    <mergeCell ref="J2:J3"/>
    <mergeCell ref="L2:L3"/>
    <mergeCell ref="AT23:AT25"/>
    <mergeCell ref="AJ2:AJ3"/>
    <mergeCell ref="A30:A31"/>
    <mergeCell ref="AL2:AL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W53"/>
  <sheetViews>
    <sheetView showGridLines="1" workbookViewId="0">
      <selection activeCell="A1" sqref="A1"/>
    </sheetView>
  </sheetViews>
  <sheetFormatPr baseColWidth="8" defaultColWidth="9" defaultRowHeight="16.8"/>
  <cols>
    <col width="9" customWidth="1" style="533" min="1" max="2"/>
    <col width="31.125" customWidth="1" style="533" min="3" max="3"/>
    <col width="13" customWidth="1" style="533" min="4" max="4"/>
    <col width="14.625" customWidth="1" style="533" min="5" max="5"/>
    <col width="13.5" customWidth="1" style="533" min="6" max="6"/>
    <col width="16.75" customWidth="1" style="533" min="7" max="7"/>
    <col width="9.125" customWidth="1" style="533" min="8" max="8"/>
    <col width="13" customWidth="1" style="533" min="9" max="9"/>
    <col width="10.625" customWidth="1" style="533" min="10" max="10"/>
    <col width="10.5714" customWidth="1" style="533" min="11" max="11"/>
    <col hidden="1" width="12.7857" customWidth="1" style="533" min="12" max="12"/>
    <col hidden="1" width="13" customWidth="1" style="533" min="13" max="13"/>
    <col hidden="1" width="13" customWidth="1" style="533" min="14" max="14"/>
    <col width="12.7857" customWidth="1" style="533" min="15" max="15"/>
    <col hidden="1" width="12.7857" customWidth="1" style="533" min="16" max="16"/>
    <col hidden="1" width="11.6429" customWidth="1" style="533" min="17" max="17"/>
    <col hidden="1" width="12.7857" customWidth="1" style="533" min="18" max="18"/>
    <col width="12.7857" customWidth="1" style="533" min="19" max="19"/>
    <col hidden="1" width="12.7857" customWidth="1" style="533" min="20" max="20"/>
    <col hidden="1" width="11.6429" customWidth="1" style="533" min="21" max="21"/>
    <col hidden="1" width="12.7857" customWidth="1" style="533" min="22" max="22"/>
    <col width="12.7857" customWidth="1" style="533" min="23" max="23"/>
    <col hidden="1" width="13.9286" customWidth="1" style="533" min="24" max="24"/>
    <col hidden="1" width="12.7857" customWidth="1" style="483" min="25" max="25"/>
    <col hidden="1" width="13" customWidth="1" style="483" min="26" max="26"/>
    <col width="13.9286" customWidth="1" style="533" min="27" max="27"/>
    <col hidden="1" width="12.7857" customWidth="1" style="483" min="28" max="28"/>
    <col hidden="1" width="13" customWidth="1" style="483" min="29" max="29"/>
    <col hidden="1" width="13" customWidth="1" style="483" min="30" max="30"/>
    <col width="12.7857" customWidth="1" style="533" min="31" max="31"/>
    <col hidden="1" width="12.7857" customWidth="1" style="533" min="32" max="32"/>
    <col hidden="1" width="10.8571" customWidth="1" style="533" min="33" max="33"/>
    <col hidden="1" width="12.7857" customWidth="1" style="533" min="34" max="34"/>
    <col width="12.7857" customWidth="1" style="533" min="35" max="35"/>
    <col hidden="1" width="13" customWidth="1" style="533" min="36" max="36"/>
    <col hidden="1" width="13.2143" customWidth="1" style="533" min="37" max="37"/>
    <col hidden="1" width="6.57143" customWidth="1" style="533" min="38" max="38"/>
    <col width="18.5714" customWidth="1" style="533" min="39" max="39"/>
    <col width="10.6429" customWidth="1" style="533" min="40" max="40"/>
    <col width="17.3571" customWidth="1" style="753" min="41" max="41"/>
    <col width="11.4286" customWidth="1" style="533" min="42" max="42"/>
    <col width="13.9286" customWidth="1" style="753" min="43" max="43"/>
    <col width="9" customWidth="1" style="533" min="44" max="44"/>
    <col width="11.4286" customWidth="1" style="753" min="45" max="45"/>
    <col width="12.3571" customWidth="1" style="753" min="46" max="46"/>
    <col width="9" customWidth="1" style="753" min="47" max="47"/>
    <col width="10.0625" customWidth="1" style="533" min="48" max="48"/>
    <col width="12.7617" customWidth="1" style="533" min="49" max="50"/>
    <col width="12.5" customWidth="1" style="533" min="51" max="51"/>
    <col width="12.5" customWidth="1" style="533" min="52" max="52"/>
    <col width="12.5" customWidth="1" style="533" min="53" max="53"/>
    <col width="12.5" customWidth="1" style="533" min="54" max="54"/>
    <col width="12.5" customWidth="1" style="533" min="55" max="55"/>
    <col width="9" customWidth="1" style="533" min="56" max="75"/>
  </cols>
  <sheetData>
    <row r="1" ht="20.25" customFormat="1" customHeight="1" s="483">
      <c r="A1" s="754" t="inlineStr">
        <is>
          <t>私人财富管理部折标销售进度表-截止20260918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  <c r="J1" s="486" t="n"/>
      <c r="K1" s="486" t="n"/>
      <c r="L1" s="486" t="n"/>
      <c r="M1" s="486" t="n"/>
      <c r="N1" s="486" t="n"/>
      <c r="O1" s="486" t="n"/>
      <c r="P1" s="486" t="n"/>
      <c r="Q1" s="486" t="n"/>
      <c r="R1" s="486" t="n"/>
      <c r="S1" s="486" t="n"/>
      <c r="T1" s="486" t="n"/>
      <c r="U1" s="486" t="n"/>
      <c r="V1" s="486" t="n"/>
      <c r="W1" s="486" t="n"/>
      <c r="X1" s="486" t="n"/>
      <c r="Y1" s="486" t="n"/>
      <c r="Z1" s="486" t="n"/>
      <c r="AA1" s="486" t="n"/>
      <c r="AB1" s="486" t="n"/>
      <c r="AC1" s="486" t="n"/>
      <c r="AD1" s="486" t="n"/>
      <c r="AE1" s="486" t="n"/>
      <c r="AF1" s="486" t="n"/>
      <c r="AG1" s="486" t="n"/>
      <c r="AH1" s="486" t="n"/>
      <c r="AI1" s="486" t="n"/>
      <c r="AJ1" s="486" t="n"/>
      <c r="AK1" s="486" t="n"/>
      <c r="AL1" s="486" t="n"/>
      <c r="AM1" s="486" t="n"/>
      <c r="AN1" s="486" t="n"/>
      <c r="AO1" s="486" t="n"/>
      <c r="AP1" s="486" t="n"/>
      <c r="AQ1" s="486" t="n"/>
      <c r="AR1" s="486" t="n"/>
      <c r="AS1" s="486" t="n"/>
      <c r="AT1" s="486" t="n"/>
      <c r="AU1" s="486" t="n"/>
      <c r="AV1" s="552" t="inlineStr">
        <is>
          <t>下半年时间进度</t>
        </is>
      </c>
      <c r="AX1" s="70">
        <f>BG7</f>
        <v/>
      </c>
    </row>
    <row r="2" ht="25.5" customFormat="1" customHeight="1" s="483">
      <c r="A2" s="666" t="inlineStr">
        <is>
          <t>团队</t>
        </is>
      </c>
      <c r="B2" s="667" t="inlineStr">
        <is>
          <t>理财师</t>
        </is>
      </c>
      <c r="C2" s="541" t="inlineStr">
        <is>
          <t>当前考核期职级</t>
        </is>
      </c>
      <c r="D2" s="541" t="inlineStr">
        <is>
          <t>考核期起始日</t>
        </is>
      </c>
      <c r="E2" s="541" t="inlineStr">
        <is>
          <t>考核期终止日</t>
        </is>
      </c>
      <c r="F2" s="668" t="inlineStr">
        <is>
          <t>考核任务目标（按实际考核月数折算）</t>
        </is>
      </c>
      <c r="G2" s="668" t="inlineStr">
        <is>
          <t xml:space="preserve">
考核期间已完成折标</t>
        </is>
      </c>
      <c r="H2" s="541" t="inlineStr">
        <is>
          <t>传统202609</t>
        </is>
      </c>
      <c r="I2" s="541" t="inlineStr">
        <is>
          <t>保险202609</t>
        </is>
      </c>
      <c r="J2" s="541" t="inlineStr">
        <is>
          <t>管理费202609</t>
        </is>
      </c>
      <c r="K2" s="669" t="inlineStr">
        <is>
          <t>2026年
9月折标</t>
        </is>
      </c>
      <c r="L2" s="541" t="inlineStr">
        <is>
          <t>传统202608</t>
        </is>
      </c>
      <c r="M2" s="541" t="inlineStr">
        <is>
          <t>保险202608</t>
        </is>
      </c>
      <c r="N2" s="541" t="inlineStr">
        <is>
          <t>管理费202608</t>
        </is>
      </c>
      <c r="O2" s="669" t="inlineStr">
        <is>
          <t>2026年
8月折标</t>
        </is>
      </c>
      <c r="P2" s="541" t="inlineStr">
        <is>
          <t>传统202607</t>
        </is>
      </c>
      <c r="Q2" s="541" t="inlineStr">
        <is>
          <t>保险202607</t>
        </is>
      </c>
      <c r="R2" s="541" t="inlineStr">
        <is>
          <t>管理费202607</t>
        </is>
      </c>
      <c r="S2" s="669" t="inlineStr">
        <is>
          <t>2026年
7月折标</t>
        </is>
      </c>
      <c r="T2" s="541" t="inlineStr">
        <is>
          <t>传统202606</t>
        </is>
      </c>
      <c r="U2" s="541" t="inlineStr">
        <is>
          <t>保险202606</t>
        </is>
      </c>
      <c r="V2" s="541" t="inlineStr">
        <is>
          <t>管理费202606</t>
        </is>
      </c>
      <c r="W2" s="669" t="inlineStr">
        <is>
          <t>2026年
6月折标</t>
        </is>
      </c>
      <c r="X2" s="541" t="inlineStr">
        <is>
          <t>传统202605</t>
        </is>
      </c>
      <c r="Y2" s="541" t="inlineStr">
        <is>
          <t>保险202605</t>
        </is>
      </c>
      <c r="Z2" s="541" t="inlineStr">
        <is>
          <t>管理费202605</t>
        </is>
      </c>
      <c r="AA2" s="669" t="inlineStr">
        <is>
          <t>2026年
5月折标</t>
        </is>
      </c>
      <c r="AB2" s="541" t="inlineStr">
        <is>
          <t>传统202604</t>
        </is>
      </c>
      <c r="AC2" s="541" t="inlineStr">
        <is>
          <t>保险202604</t>
        </is>
      </c>
      <c r="AD2" s="541" t="inlineStr">
        <is>
          <t>管理费202604</t>
        </is>
      </c>
      <c r="AE2" s="669" t="inlineStr">
        <is>
          <t>2026年
4月折标</t>
        </is>
      </c>
      <c r="AF2" s="541" t="inlineStr">
        <is>
          <t>传统202603</t>
        </is>
      </c>
      <c r="AG2" s="541" t="inlineStr">
        <is>
          <t>保险202603</t>
        </is>
      </c>
      <c r="AH2" s="541" t="inlineStr">
        <is>
          <t>管理费202603</t>
        </is>
      </c>
      <c r="AI2" s="669" t="inlineStr">
        <is>
          <t>2026年
3月折标</t>
        </is>
      </c>
      <c r="AJ2" s="541" t="inlineStr">
        <is>
          <t>传统202602</t>
        </is>
      </c>
      <c r="AK2" s="541" t="inlineStr">
        <is>
          <t>保险202602</t>
        </is>
      </c>
      <c r="AL2" s="541" t="inlineStr">
        <is>
          <t>管理费202602</t>
        </is>
      </c>
      <c r="AM2" s="669" t="inlineStr">
        <is>
          <t>2026年
2月折标</t>
        </is>
      </c>
      <c r="AN2" s="669" t="inlineStr">
        <is>
          <t>2026年
1月折标</t>
        </is>
      </c>
      <c r="AO2" s="755" t="inlineStr">
        <is>
          <t>月度
完成率</t>
        </is>
      </c>
      <c r="AP2" s="756" t="inlineStr">
        <is>
          <t>当前考核期已完成折标</t>
        </is>
      </c>
      <c r="AQ2" s="666" t="inlineStr">
        <is>
          <t>考核期完成率（累计）</t>
        </is>
      </c>
      <c r="AR2" s="560" t="inlineStr">
        <is>
          <t>考核期差距</t>
        </is>
      </c>
      <c r="AS2" s="757" t="inlineStr">
        <is>
          <t>2026上半年折标</t>
        </is>
      </c>
      <c r="AT2" s="757" t="inlineStr">
        <is>
          <t>2026下半年折标</t>
        </is>
      </c>
      <c r="AU2" s="758" t="inlineStr">
        <is>
          <t>2026年YTD折标</t>
        </is>
      </c>
      <c r="AV2" s="561" t="inlineStr">
        <is>
          <t>财富中心上半年任务</t>
        </is>
      </c>
      <c r="AW2" s="404" t="inlineStr">
        <is>
          <t>财富中心
上半年任务完成率</t>
        </is>
      </c>
      <c r="AX2" s="561" t="inlineStr">
        <is>
          <t>财富中心上半年任务差距</t>
        </is>
      </c>
      <c r="AY2" s="407" t="inlineStr">
        <is>
          <t>财富中心
下半年任务</t>
        </is>
      </c>
      <c r="AZ2" s="407" t="inlineStr">
        <is>
          <t>财富中心下半年
任务完成率</t>
        </is>
      </c>
      <c r="BA2" s="407" t="inlineStr">
        <is>
          <t>财富中心下半年
任务差距</t>
        </is>
      </c>
      <c r="BB2" s="407" t="inlineStr">
        <is>
          <t>2026全年
任务差距</t>
        </is>
      </c>
    </row>
    <row r="3" ht="25.5" customFormat="1" customHeight="1" s="483">
      <c r="A3" s="501" t="n"/>
      <c r="B3" s="501" t="n"/>
      <c r="C3" s="501" t="n"/>
      <c r="D3" s="501" t="n"/>
      <c r="E3" s="501" t="n"/>
      <c r="F3" s="501" t="n"/>
      <c r="G3" s="501" t="n"/>
      <c r="H3" s="501" t="n"/>
      <c r="I3" s="501" t="n"/>
      <c r="J3" s="501" t="n"/>
      <c r="K3" s="501" t="n"/>
      <c r="L3" s="501" t="n"/>
      <c r="M3" s="501" t="n"/>
      <c r="N3" s="501" t="n"/>
      <c r="O3" s="501" t="n"/>
      <c r="P3" s="501" t="n"/>
      <c r="Q3" s="501" t="n"/>
      <c r="R3" s="501" t="n"/>
      <c r="S3" s="501" t="n"/>
      <c r="T3" s="501" t="n"/>
      <c r="U3" s="501" t="n"/>
      <c r="V3" s="501" t="n"/>
      <c r="W3" s="501" t="n"/>
      <c r="X3" s="501" t="n"/>
      <c r="Y3" s="501" t="n"/>
      <c r="Z3" s="501" t="n"/>
      <c r="AA3" s="501" t="n"/>
      <c r="AB3" s="501" t="n"/>
      <c r="AC3" s="501" t="n"/>
      <c r="AD3" s="501" t="n"/>
      <c r="AE3" s="501" t="n"/>
      <c r="AF3" s="501" t="n"/>
      <c r="AG3" s="501" t="n"/>
      <c r="AH3" s="501" t="n"/>
      <c r="AI3" s="501" t="n"/>
      <c r="AJ3" s="501" t="n"/>
      <c r="AK3" s="501" t="n"/>
      <c r="AL3" s="501" t="n"/>
      <c r="AM3" s="501" t="n"/>
      <c r="AN3" s="501" t="n"/>
      <c r="AO3" s="501" t="n"/>
      <c r="AP3" s="501" t="n"/>
      <c r="AQ3" s="501" t="n"/>
      <c r="AR3" s="501" t="n"/>
      <c r="AS3" s="501" t="n"/>
      <c r="AT3" s="501" t="n"/>
      <c r="AU3" s="501" t="n"/>
      <c r="AV3" s="501" t="n"/>
      <c r="AW3" s="501" t="n"/>
      <c r="AX3" s="501" t="n"/>
      <c r="AY3" s="501" t="n"/>
      <c r="AZ3" s="501" t="n"/>
      <c r="BA3" s="501" t="n"/>
      <c r="BB3" s="501" t="n"/>
    </row>
    <row r="4" outlineLevel="1" ht="14.25" customFormat="1" customHeight="1" s="483">
      <c r="A4" s="729" t="inlineStr">
        <is>
          <t>理财师018</t>
        </is>
      </c>
      <c r="B4" s="729" t="inlineStr">
        <is>
          <t>理财师021</t>
        </is>
      </c>
      <c r="C4" s="729" t="inlineStr">
        <is>
          <t>私人财富管理总监PWA3-4</t>
        </is>
      </c>
      <c r="D4" s="730" t="n">
        <v>46204</v>
      </c>
      <c r="E4" s="730" t="n">
        <v>46387</v>
      </c>
      <c r="F4" s="363" t="n">
        <v>14498.13</v>
      </c>
      <c r="G4" s="363" t="n">
        <v>4276.672048</v>
      </c>
      <c r="H4" s="363" t="n">
        <v>786.253065</v>
      </c>
      <c r="I4" s="363" t="n">
        <v>0</v>
      </c>
      <c r="J4" s="363" t="n">
        <v>0</v>
      </c>
      <c r="K4" s="363">
        <f>SUM(H4:J4)</f>
        <v/>
      </c>
      <c r="L4" s="363" t="n">
        <v>84.3921</v>
      </c>
      <c r="M4" s="363" t="n">
        <v>0</v>
      </c>
      <c r="N4" s="363" t="n">
        <v>790.006615</v>
      </c>
      <c r="O4" s="363">
        <f>SUM(L4:N4)</f>
        <v/>
      </c>
      <c r="P4" s="363" t="n">
        <v>1874.489194</v>
      </c>
      <c r="Q4" s="363" t="n">
        <v>0</v>
      </c>
      <c r="R4" s="363" t="n">
        <v>741.531073</v>
      </c>
      <c r="S4" s="363">
        <f>SUM(P4:R4)</f>
        <v/>
      </c>
      <c r="T4" s="363" t="n">
        <v>927.52544</v>
      </c>
      <c r="U4" s="363" t="n">
        <v>0</v>
      </c>
      <c r="V4" s="363" t="n">
        <v>1433.561147</v>
      </c>
      <c r="W4" s="363">
        <f>SUM(T4:V4)</f>
        <v/>
      </c>
      <c r="X4" s="363" t="n">
        <v>1183.338361</v>
      </c>
      <c r="Y4" s="363" t="n">
        <v>0</v>
      </c>
      <c r="Z4" s="363" t="n">
        <v>634.456086</v>
      </c>
      <c r="AA4" s="363">
        <f>SUM(X4:Z4)</f>
        <v/>
      </c>
      <c r="AB4" s="363" t="n">
        <v>3203.368286</v>
      </c>
      <c r="AC4" s="363" t="n">
        <v>0</v>
      </c>
      <c r="AD4" s="363" t="n">
        <v>538.668767</v>
      </c>
      <c r="AE4" s="363">
        <f>SUM(AB4:AD4)</f>
        <v/>
      </c>
      <c r="AF4" s="363" t="n">
        <v>8704.796721000001</v>
      </c>
      <c r="AG4" s="363" t="n">
        <v>0</v>
      </c>
      <c r="AH4" s="363" t="n">
        <v>1253.999839</v>
      </c>
      <c r="AI4" s="363">
        <f>SUM(AF4:AH4)</f>
        <v/>
      </c>
      <c r="AJ4" s="363" t="n">
        <v>1402.304143</v>
      </c>
      <c r="AK4" s="363" t="n">
        <v>742.65048</v>
      </c>
      <c r="AL4" s="363" t="n">
        <v>433.535601</v>
      </c>
      <c r="AM4" s="363">
        <f>SUM(AJ4:AL4)</f>
        <v/>
      </c>
      <c r="AN4" s="363" t="n">
        <v>3464.9959</v>
      </c>
      <c r="AO4" s="364">
        <f>IF(F4=0,"",K4/(F4/((YEAR(E4)*12+MONTH(E4))-(YEAR(D4)*12+MONTH(D4))+1)))</f>
        <v/>
      </c>
      <c r="AP4" s="409">
        <f>G4</f>
        <v/>
      </c>
      <c r="AQ4" s="364">
        <f>G4/F4</f>
        <v/>
      </c>
      <c r="AR4" s="759">
        <f>F4-G4</f>
        <v/>
      </c>
      <c r="AS4" s="409">
        <f>W4+AA4+AE4+AI4+AM4+AN4</f>
        <v/>
      </c>
      <c r="AT4" s="409">
        <f>K4+O4+S4</f>
        <v/>
      </c>
      <c r="AU4" s="363">
        <f>SUM(K4+O4+S4+W4+AA4+AE4+AI4+AM4+AN4)</f>
        <v/>
      </c>
      <c r="AV4" s="366">
        <f>SUM(F4:F8)</f>
        <v/>
      </c>
      <c r="AW4" s="367">
        <f>AW9</f>
        <v/>
      </c>
      <c r="AX4" s="760">
        <f>AX9</f>
        <v/>
      </c>
      <c r="AY4" s="366" t="n">
        <v>73933.25</v>
      </c>
      <c r="AZ4" s="367">
        <f>IF(AY4=0,"",AT9/AY4)</f>
        <v/>
      </c>
      <c r="BA4" s="760">
        <f>AY4-AT9</f>
        <v/>
      </c>
      <c r="BB4" s="761" t="n"/>
      <c r="BC4" s="706" t="n"/>
      <c r="BD4" s="706" t="n"/>
      <c r="BE4" s="706" t="inlineStr">
        <is>
          <t>开始日期</t>
        </is>
      </c>
      <c r="BF4" s="706" t="inlineStr">
        <is>
          <t>结束日期</t>
        </is>
      </c>
      <c r="BG4" s="706" t="n"/>
      <c r="BH4" s="706" t="n"/>
      <c r="BI4" s="706" t="n"/>
      <c r="BJ4" s="706" t="n"/>
      <c r="BK4" s="706" t="n"/>
      <c r="BL4" s="706" t="n"/>
      <c r="BM4" s="706" t="n"/>
      <c r="BN4" s="706" t="n"/>
      <c r="BO4" s="706" t="n"/>
      <c r="BP4" s="706" t="n"/>
      <c r="BQ4" s="706" t="n"/>
      <c r="BR4" s="706" t="n"/>
      <c r="BS4" s="706" t="n"/>
      <c r="BT4" s="706" t="n"/>
      <c r="BU4" s="706" t="n"/>
      <c r="BV4" s="706" t="n"/>
      <c r="BW4" s="706" t="n"/>
    </row>
    <row r="5" outlineLevel="1" ht="14.25" customFormat="1" customHeight="1" s="483">
      <c r="A5" s="733" t="n"/>
      <c r="B5" s="762" t="inlineStr">
        <is>
          <t>理财师017</t>
        </is>
      </c>
      <c r="C5" s="762" t="inlineStr">
        <is>
          <t>私人财富管理资深顾问PWA2-5</t>
        </is>
      </c>
      <c r="D5" s="763" t="n">
        <v>46204</v>
      </c>
      <c r="E5" s="763" t="n">
        <v>46387</v>
      </c>
      <c r="F5" s="764" t="n">
        <v>16727.04</v>
      </c>
      <c r="G5" s="764" t="n">
        <v>1502.71392</v>
      </c>
      <c r="H5" s="764" t="n">
        <v>39.53664</v>
      </c>
      <c r="I5" s="764" t="n">
        <v>0</v>
      </c>
      <c r="J5" s="764" t="n">
        <v>0</v>
      </c>
      <c r="K5" s="764">
        <f>SUM(H5:J5)</f>
        <v/>
      </c>
      <c r="L5" s="764" t="n">
        <v>158.78016</v>
      </c>
      <c r="M5" s="764" t="n">
        <v>0</v>
      </c>
      <c r="N5" s="764" t="n">
        <v>297.655827</v>
      </c>
      <c r="O5" s="764">
        <f>SUM(L5:N5)</f>
        <v/>
      </c>
      <c r="P5" s="764" t="n">
        <v>549.4470219999999</v>
      </c>
      <c r="Q5" s="764" t="n">
        <v>0</v>
      </c>
      <c r="R5" s="764" t="n">
        <v>457.294271</v>
      </c>
      <c r="S5" s="764">
        <f>SUM(P5:R5)</f>
        <v/>
      </c>
      <c r="T5" s="764" t="n">
        <v>832.638851</v>
      </c>
      <c r="U5" s="764" t="n">
        <v>3261.7728</v>
      </c>
      <c r="V5" s="764" t="n">
        <v>555.368737</v>
      </c>
      <c r="W5" s="764">
        <f>SUM(T5:V5)</f>
        <v/>
      </c>
      <c r="X5" s="764" t="n">
        <v>593.9975920000001</v>
      </c>
      <c r="Y5" s="764" t="n">
        <v>0</v>
      </c>
      <c r="Z5" s="764" t="n">
        <v>382.045052</v>
      </c>
      <c r="AA5" s="764">
        <f>SUM(X5:Z5)</f>
        <v/>
      </c>
      <c r="AB5" s="764" t="n">
        <v>249.800095</v>
      </c>
      <c r="AC5" s="764" t="n">
        <v>5040.9216</v>
      </c>
      <c r="AD5" s="764" t="n">
        <v>342.801462</v>
      </c>
      <c r="AE5" s="764">
        <f>SUM(AB5:AD5)</f>
        <v/>
      </c>
      <c r="AF5" s="764" t="n">
        <v>1613.445926</v>
      </c>
      <c r="AG5" s="764" t="n">
        <v>0</v>
      </c>
      <c r="AH5" s="764" t="n">
        <v>488.407071</v>
      </c>
      <c r="AI5" s="764">
        <f>SUM(AF5:AH5)</f>
        <v/>
      </c>
      <c r="AJ5" s="764" t="n">
        <v>454.800547</v>
      </c>
      <c r="AK5" s="764" t="n">
        <v>0</v>
      </c>
      <c r="AL5" s="764" t="n">
        <v>289.117436</v>
      </c>
      <c r="AM5" s="764">
        <f>SUM(AJ5:AL5)</f>
        <v/>
      </c>
      <c r="AN5" s="764" t="n">
        <v>3311.566531</v>
      </c>
      <c r="AO5" s="765">
        <f>IF(F5=0,"",K5/(F5/((YEAR(E5)*12+MONTH(E5))-(YEAR(D5)*12+MONTH(D5))+1)))</f>
        <v/>
      </c>
      <c r="AP5" s="412">
        <f>G5</f>
        <v/>
      </c>
      <c r="AQ5" s="765">
        <f>G5/F5</f>
        <v/>
      </c>
      <c r="AR5" s="766">
        <f>F5-G5</f>
        <v/>
      </c>
      <c r="AS5" s="767">
        <f>W5+AA5+AE5+AI5+AM5+AN5</f>
        <v/>
      </c>
      <c r="AT5" s="767">
        <f>K5+O5+S5</f>
        <v/>
      </c>
      <c r="AU5" s="764">
        <f>SUM(K5+O5+S5+W5+AA5+AE5+AI5+AM5+AN5)</f>
        <v/>
      </c>
      <c r="AV5" s="733" t="n"/>
      <c r="AW5" s="733" t="n"/>
      <c r="AX5" s="733" t="n"/>
      <c r="AY5" s="733" t="n"/>
      <c r="AZ5" s="733" t="n"/>
      <c r="BA5" s="733" t="n"/>
      <c r="BB5" s="768" t="n"/>
      <c r="BC5" s="769" t="n"/>
      <c r="BD5" s="769" t="n"/>
      <c r="BE5" s="770" t="n">
        <v>46204</v>
      </c>
      <c r="BF5" s="770" t="n">
        <v>46387</v>
      </c>
      <c r="BG5" s="769" t="n"/>
      <c r="BH5" s="769" t="n"/>
      <c r="BI5" s="769" t="n"/>
      <c r="BJ5" s="769" t="n"/>
      <c r="BK5" s="769" t="n"/>
      <c r="BL5" s="769" t="n"/>
      <c r="BM5" s="769" t="n"/>
      <c r="BN5" s="769" t="n"/>
      <c r="BO5" s="769" t="n"/>
      <c r="BP5" s="769" t="n"/>
      <c r="BQ5" s="769" t="n"/>
      <c r="BR5" s="769" t="n"/>
      <c r="BS5" s="769" t="n"/>
      <c r="BT5" s="769" t="n"/>
      <c r="BU5" s="769" t="n"/>
      <c r="BV5" s="769" t="n"/>
      <c r="BW5" s="769" t="n"/>
    </row>
    <row r="6" outlineLevel="1" ht="14.25" customFormat="1" customHeight="1" s="483">
      <c r="A6" s="733" t="n"/>
      <c r="B6" s="762" t="inlineStr">
        <is>
          <t>理财师018</t>
        </is>
      </c>
      <c r="C6" s="762" t="inlineStr">
        <is>
          <t>首席私人财富管理专家PWA5-1</t>
        </is>
      </c>
      <c r="D6" s="763" t="n">
        <v>46174</v>
      </c>
      <c r="E6" s="763" t="n">
        <v>46387</v>
      </c>
      <c r="F6" s="764" t="n">
        <v>54670.7161</v>
      </c>
      <c r="G6" s="764" t="n">
        <v>53349.426783</v>
      </c>
      <c r="H6" s="764" t="n">
        <v>232.365263</v>
      </c>
      <c r="I6" s="764" t="n">
        <v>0</v>
      </c>
      <c r="J6" s="764" t="n">
        <v>0</v>
      </c>
      <c r="K6" s="764">
        <f>SUM(H6:J6)</f>
        <v/>
      </c>
      <c r="L6" s="764" t="n">
        <v>1691.433104</v>
      </c>
      <c r="M6" s="764" t="n">
        <v>0</v>
      </c>
      <c r="N6" s="764" t="n">
        <v>2639.630627</v>
      </c>
      <c r="O6" s="764">
        <f>SUM(L6:N6)</f>
        <v/>
      </c>
      <c r="P6" s="764" t="n">
        <v>11375.621589</v>
      </c>
      <c r="Q6" s="764" t="n">
        <v>28777.196448</v>
      </c>
      <c r="R6" s="764" t="n">
        <v>3470.157982</v>
      </c>
      <c r="S6" s="764">
        <f>SUM(P6:R6)</f>
        <v/>
      </c>
      <c r="T6" s="764" t="n">
        <v>1893.590051</v>
      </c>
      <c r="U6" s="764" t="n">
        <v>0</v>
      </c>
      <c r="V6" s="764" t="n">
        <v>3269.431718</v>
      </c>
      <c r="W6" s="764">
        <f>SUM(T6:V6)</f>
        <v/>
      </c>
      <c r="X6" s="764" t="n">
        <v>15009.556327</v>
      </c>
      <c r="Y6" s="764" t="n">
        <v>0</v>
      </c>
      <c r="Z6" s="764" t="n">
        <v>1609.578423</v>
      </c>
      <c r="AA6" s="764">
        <f>SUM(X6:Z6)</f>
        <v/>
      </c>
      <c r="AB6" s="764" t="n">
        <v>3788.477067</v>
      </c>
      <c r="AC6" s="764" t="n">
        <v>0</v>
      </c>
      <c r="AD6" s="764" t="n">
        <v>1122.243766</v>
      </c>
      <c r="AE6" s="764">
        <f>SUM(AB6:AD6)</f>
        <v/>
      </c>
      <c r="AF6" s="764" t="n">
        <v>1444.66245</v>
      </c>
      <c r="AG6" s="764" t="n">
        <v>0</v>
      </c>
      <c r="AH6" s="764" t="n">
        <v>1063.763858</v>
      </c>
      <c r="AI6" s="764">
        <f>SUM(AF6:AH6)</f>
        <v/>
      </c>
      <c r="AJ6" s="764" t="n">
        <v>9688.821542</v>
      </c>
      <c r="AK6" s="764" t="n">
        <v>0</v>
      </c>
      <c r="AL6" s="764" t="n">
        <v>606.6776630000001</v>
      </c>
      <c r="AM6" s="764">
        <f>SUM(AJ6:AL6)</f>
        <v/>
      </c>
      <c r="AN6" s="764" t="n">
        <v>13116.995922</v>
      </c>
      <c r="AO6" s="765">
        <f>IF(F6=0,"",K6/(F6/((YEAR(E6)*12+MONTH(E6))-(YEAR(D6)*12+MONTH(D6))+1)))</f>
        <v/>
      </c>
      <c r="AP6" s="412">
        <f>G6</f>
        <v/>
      </c>
      <c r="AQ6" s="765">
        <f>G6/F6</f>
        <v/>
      </c>
      <c r="AR6" s="766">
        <f>F6-G6</f>
        <v/>
      </c>
      <c r="AS6" s="767">
        <f>W6+AA6+AE6+AI6+AM6+AN6</f>
        <v/>
      </c>
      <c r="AT6" s="767">
        <f>K6+O6+S6</f>
        <v/>
      </c>
      <c r="AU6" s="764">
        <f>SUM(K6+O6+S6+W6+AA6+AE6+AI6+AM6+AN6)</f>
        <v/>
      </c>
      <c r="AV6" s="733" t="n"/>
      <c r="AW6" s="733" t="n"/>
      <c r="AX6" s="733" t="n"/>
      <c r="AY6" s="733" t="n"/>
      <c r="AZ6" s="733" t="n"/>
      <c r="BA6" s="733" t="n"/>
      <c r="BB6" s="768" t="n"/>
      <c r="BC6" s="769" t="n"/>
      <c r="BD6" s="769" t="n"/>
      <c r="BE6" s="769" t="inlineStr">
        <is>
          <t>计算日期</t>
        </is>
      </c>
      <c r="BF6" s="769" t="n"/>
      <c r="BG6" s="769" t="inlineStr">
        <is>
          <t>时间进度</t>
        </is>
      </c>
      <c r="BH6" s="769" t="n"/>
      <c r="BI6" s="769" t="n"/>
      <c r="BJ6" s="769" t="n"/>
      <c r="BK6" s="769" t="n"/>
      <c r="BL6" s="769" t="n"/>
      <c r="BM6" s="769" t="n"/>
      <c r="BN6" s="769" t="n"/>
      <c r="BO6" s="769" t="n"/>
      <c r="BP6" s="769" t="n"/>
      <c r="BQ6" s="769" t="n"/>
      <c r="BR6" s="769" t="n"/>
      <c r="BS6" s="769" t="n"/>
      <c r="BT6" s="769" t="n"/>
      <c r="BU6" s="769" t="n"/>
      <c r="BV6" s="769" t="n"/>
      <c r="BW6" s="769" t="n"/>
    </row>
    <row r="7" outlineLevel="1" ht="14.25" customFormat="1" customHeight="1" s="483">
      <c r="A7" s="733" t="n"/>
      <c r="B7" s="762" t="inlineStr">
        <is>
          <t>理财师019</t>
        </is>
      </c>
      <c r="C7" s="762" t="inlineStr">
        <is>
          <t>观察期PWA0-1</t>
        </is>
      </c>
      <c r="D7" s="763" t="n">
        <v>46204</v>
      </c>
      <c r="E7" s="763" t="n">
        <v>46387</v>
      </c>
      <c r="F7" s="764" t="n">
        <v>3595.62</v>
      </c>
      <c r="G7" s="764" t="n">
        <v>813.437111</v>
      </c>
      <c r="H7" s="764" t="n">
        <v>0</v>
      </c>
      <c r="I7" s="764" t="n">
        <v>0</v>
      </c>
      <c r="J7" s="764" t="n">
        <v>0</v>
      </c>
      <c r="K7" s="764">
        <f>SUM(H7:J7)</f>
        <v/>
      </c>
      <c r="L7" s="764" t="n">
        <v>0</v>
      </c>
      <c r="M7" s="764" t="n">
        <v>567.5943</v>
      </c>
      <c r="N7" s="764" t="n">
        <v>27.722367</v>
      </c>
      <c r="O7" s="764">
        <f>SUM(L7:N7)</f>
        <v/>
      </c>
      <c r="P7" s="764" t="n">
        <v>191.980425</v>
      </c>
      <c r="Q7" s="764" t="n">
        <v>0</v>
      </c>
      <c r="R7" s="764" t="n">
        <v>26.140019</v>
      </c>
      <c r="S7" s="764">
        <f>SUM(P7:R7)</f>
        <v/>
      </c>
      <c r="T7" s="764" t="n">
        <v>125.538504</v>
      </c>
      <c r="U7" s="764" t="n">
        <v>0</v>
      </c>
      <c r="V7" s="764" t="n">
        <v>202.092562</v>
      </c>
      <c r="W7" s="764">
        <f>SUM(T7:V7)</f>
        <v/>
      </c>
      <c r="X7" s="764" t="n">
        <v>66.7758</v>
      </c>
      <c r="Y7" s="764" t="n">
        <v>0</v>
      </c>
      <c r="Z7" s="764" t="n">
        <v>22.323011</v>
      </c>
      <c r="AA7" s="764">
        <f>SUM(X7:Z7)</f>
        <v/>
      </c>
      <c r="AB7" s="764" t="n">
        <v>133.5516</v>
      </c>
      <c r="AC7" s="764" t="n">
        <v>0</v>
      </c>
      <c r="AD7" s="764" t="n">
        <v>22.107856</v>
      </c>
      <c r="AE7" s="764">
        <f>SUM(AB7:AD7)</f>
        <v/>
      </c>
      <c r="AF7" s="764" t="n">
        <v>500.150742</v>
      </c>
      <c r="AG7" s="764" t="n">
        <v>0</v>
      </c>
      <c r="AH7" s="764" t="n">
        <v>157.397938</v>
      </c>
      <c r="AI7" s="764">
        <f>SUM(AF7:AH7)</f>
        <v/>
      </c>
      <c r="AJ7" s="764" t="n">
        <v>267.1032</v>
      </c>
      <c r="AK7" s="764" t="n">
        <v>0</v>
      </c>
      <c r="AL7" s="764" t="n">
        <v>25.494675</v>
      </c>
      <c r="AM7" s="764">
        <f>SUM(AJ7:AL7)</f>
        <v/>
      </c>
      <c r="AN7" s="764" t="n">
        <v>2351.885696</v>
      </c>
      <c r="AO7" s="765">
        <f>IF(F7=0,"",K7/(F7/((YEAR(E7)*12+MONTH(E7))-(YEAR(D7)*12+MONTH(D7))+1)))</f>
        <v/>
      </c>
      <c r="AP7" s="412">
        <f>G7</f>
        <v/>
      </c>
      <c r="AQ7" s="765">
        <f>G7/F7</f>
        <v/>
      </c>
      <c r="AR7" s="766">
        <f>F7-G7</f>
        <v/>
      </c>
      <c r="AS7" s="767">
        <f>W7+AA7+AE7+AI7+AM7+AN7</f>
        <v/>
      </c>
      <c r="AT7" s="767">
        <f>K7+O7+S7</f>
        <v/>
      </c>
      <c r="AU7" s="764">
        <f>SUM(K7+O7+S7+W7+AA7+AE7+AI7+AM7+AN7)</f>
        <v/>
      </c>
      <c r="AV7" s="733" t="n"/>
      <c r="AW7" s="733" t="n"/>
      <c r="AX7" s="733" t="n"/>
      <c r="AY7" s="733" t="n"/>
      <c r="AZ7" s="733" t="n"/>
      <c r="BA7" s="733" t="n"/>
      <c r="BB7" s="768" t="n"/>
      <c r="BC7" s="769" t="n"/>
      <c r="BD7" s="769" t="n"/>
      <c r="BE7" s="770" t="n">
        <v>46283</v>
      </c>
      <c r="BF7" s="771">
        <f>BF5-BE5+1</f>
        <v/>
      </c>
      <c r="BG7" s="772">
        <f>(BE7-BE5+1)/BF7</f>
        <v/>
      </c>
      <c r="BH7" s="769" t="n"/>
      <c r="BI7" s="769" t="n"/>
      <c r="BJ7" s="769" t="n"/>
      <c r="BK7" s="769" t="n"/>
      <c r="BL7" s="769" t="n"/>
      <c r="BM7" s="769" t="n"/>
      <c r="BN7" s="769" t="n"/>
      <c r="BO7" s="769" t="n"/>
      <c r="BP7" s="769" t="n"/>
      <c r="BQ7" s="769" t="n"/>
      <c r="BR7" s="769" t="n"/>
      <c r="BS7" s="769" t="n"/>
      <c r="BT7" s="769" t="n"/>
      <c r="BU7" s="769" t="n"/>
      <c r="BV7" s="769" t="n"/>
      <c r="BW7" s="769" t="n"/>
    </row>
    <row r="8" outlineLevel="1" ht="14.25" customFormat="1" customHeight="1" s="483">
      <c r="A8" s="737" t="n"/>
      <c r="B8" s="762" t="inlineStr">
        <is>
          <t>理财师025</t>
        </is>
      </c>
      <c r="C8" s="762" t="inlineStr">
        <is>
          <t>私人财富管理专家PWA4-5</t>
        </is>
      </c>
      <c r="D8" s="763" t="n">
        <v>46097</v>
      </c>
      <c r="E8" s="763" t="n">
        <v>46295</v>
      </c>
      <c r="F8" s="764" t="n">
        <v>34622.728767</v>
      </c>
      <c r="G8" s="764" t="n">
        <v>8165.967598</v>
      </c>
      <c r="H8" s="764" t="n">
        <v>0</v>
      </c>
      <c r="I8" s="764" t="n">
        <v>0</v>
      </c>
      <c r="J8" s="764" t="n">
        <v>0</v>
      </c>
      <c r="K8" s="764">
        <f>SUM(H8:J8)</f>
        <v/>
      </c>
      <c r="L8" s="764" t="n">
        <v>59.192078</v>
      </c>
      <c r="M8" s="764" t="n">
        <v>0</v>
      </c>
      <c r="N8" s="764" t="n">
        <v>94.16291699999999</v>
      </c>
      <c r="O8" s="764">
        <f>SUM(L8:N8)</f>
        <v/>
      </c>
      <c r="P8" s="764" t="n">
        <v>258.819796</v>
      </c>
      <c r="Q8" s="764" t="n">
        <v>7079.164538</v>
      </c>
      <c r="R8" s="764" t="n">
        <v>74.758757</v>
      </c>
      <c r="S8" s="764">
        <f>SUM(P8:R8)</f>
        <v/>
      </c>
      <c r="T8" s="764" t="n">
        <v>95.21789800000001</v>
      </c>
      <c r="U8" s="764" t="n">
        <v>264.17664</v>
      </c>
      <c r="V8" s="764" t="n">
        <v>67.830038</v>
      </c>
      <c r="W8" s="764">
        <f>SUM(T8:V8)</f>
        <v/>
      </c>
      <c r="X8" s="764" t="n">
        <v>130.02444</v>
      </c>
      <c r="Y8" s="764" t="n">
        <v>0</v>
      </c>
      <c r="Z8" s="764" t="n">
        <v>16.066547</v>
      </c>
      <c r="AA8" s="764">
        <f>SUM(X8:Z8)</f>
        <v/>
      </c>
      <c r="AB8" s="764" t="n">
        <v>0</v>
      </c>
      <c r="AC8" s="764" t="n">
        <v>0</v>
      </c>
      <c r="AD8" s="764" t="n">
        <v>12.779778</v>
      </c>
      <c r="AE8" s="764">
        <f>SUM(AB8:AD8)</f>
        <v/>
      </c>
      <c r="AF8" s="764" t="n">
        <v>0</v>
      </c>
      <c r="AG8" s="764" t="n">
        <v>25509.5568</v>
      </c>
      <c r="AH8" s="764" t="n">
        <v>13.774172</v>
      </c>
      <c r="AI8" s="764">
        <f>SUM(AF8:AH8)</f>
        <v/>
      </c>
      <c r="AJ8" s="764" t="n">
        <v>41.2776</v>
      </c>
      <c r="AK8" s="764" t="n">
        <v>0</v>
      </c>
      <c r="AL8" s="764" t="n">
        <v>18.646322</v>
      </c>
      <c r="AM8" s="764">
        <f>SUM(AJ8:AL8)</f>
        <v/>
      </c>
      <c r="AN8" s="764" t="n">
        <v>683.02396</v>
      </c>
      <c r="AO8" s="765">
        <f>IF(F8=0,"",K8/(F8/((YEAR(E8)*12+MONTH(E8))-(YEAR(D8)*12+MONTH(D8))+1)))</f>
        <v/>
      </c>
      <c r="AP8" s="412">
        <f>G8</f>
        <v/>
      </c>
      <c r="AQ8" s="765">
        <f>G8/F8</f>
        <v/>
      </c>
      <c r="AR8" s="766">
        <f>F8-G8</f>
        <v/>
      </c>
      <c r="AS8" s="767">
        <f>W8+AA8+AE8+AI8+AM8+AN8</f>
        <v/>
      </c>
      <c r="AT8" s="767">
        <f>K8+O8+S8</f>
        <v/>
      </c>
      <c r="AU8" s="764">
        <f>SUM(K8+O8+S8+W8+AA8+AE8+AI8+AM8+AN8)</f>
        <v/>
      </c>
      <c r="AV8" s="737" t="n"/>
      <c r="AW8" s="737" t="n"/>
      <c r="AX8" s="737" t="n"/>
      <c r="AY8" s="737" t="n"/>
      <c r="AZ8" s="737" t="n"/>
      <c r="BA8" s="737" t="n"/>
      <c r="BB8" s="768" t="n"/>
      <c r="BC8" s="769" t="n"/>
      <c r="BD8" s="769" t="n"/>
      <c r="BE8" s="769" t="n"/>
      <c r="BF8" s="769" t="n"/>
      <c r="BG8" s="769" t="n"/>
      <c r="BH8" s="769" t="n"/>
      <c r="BI8" s="769" t="n"/>
      <c r="BJ8" s="769" t="n"/>
      <c r="BK8" s="769" t="n"/>
      <c r="BL8" s="769" t="n"/>
      <c r="BM8" s="769" t="n"/>
      <c r="BN8" s="769" t="n"/>
      <c r="BO8" s="769" t="n"/>
      <c r="BP8" s="769" t="n"/>
      <c r="BQ8" s="769" t="n"/>
      <c r="BR8" s="769" t="n"/>
      <c r="BS8" s="769" t="n"/>
      <c r="BT8" s="769" t="n"/>
      <c r="BU8" s="769" t="n"/>
      <c r="BV8" s="769" t="n"/>
      <c r="BW8" s="769" t="n"/>
    </row>
    <row r="9" outlineLevel="1" ht="14.25" customFormat="1" customHeight="1" s="483">
      <c r="A9" s="738" t="inlineStr">
        <is>
          <t>合计</t>
        </is>
      </c>
      <c r="B9" s="739" t="n"/>
      <c r="C9" s="739" t="n"/>
      <c r="D9" s="739" t="n"/>
      <c r="E9" s="740" t="n"/>
      <c r="F9" s="379">
        <f>SUM(F4:F8)</f>
        <v/>
      </c>
      <c r="G9" s="379">
        <f>SUM(G4:G8)</f>
        <v/>
      </c>
      <c r="H9" s="379">
        <f>SUM(H4:H8)</f>
        <v/>
      </c>
      <c r="I9" s="379">
        <f>SUM(I4:I8)</f>
        <v/>
      </c>
      <c r="J9" s="379">
        <f>SUM(J4:J8)</f>
        <v/>
      </c>
      <c r="K9" s="379">
        <f>SUM(K4:K8)</f>
        <v/>
      </c>
      <c r="L9" s="379">
        <f>SUM(L4:L8)</f>
        <v/>
      </c>
      <c r="M9" s="379">
        <f>SUM(M4:M8)</f>
        <v/>
      </c>
      <c r="N9" s="379">
        <f>SUM(N4:N8)</f>
        <v/>
      </c>
      <c r="O9" s="379">
        <f>SUM(O4:O8)</f>
        <v/>
      </c>
      <c r="P9" s="379">
        <f>SUM(P4:P8)</f>
        <v/>
      </c>
      <c r="Q9" s="379">
        <f>SUM(Q4:Q8)</f>
        <v/>
      </c>
      <c r="R9" s="379">
        <f>SUM(R4:R8)</f>
        <v/>
      </c>
      <c r="S9" s="379">
        <f>SUM(S4:S8)</f>
        <v/>
      </c>
      <c r="T9" s="379">
        <f>SUM(T4:T8)</f>
        <v/>
      </c>
      <c r="U9" s="379">
        <f>SUM(U4:U8)</f>
        <v/>
      </c>
      <c r="V9" s="379">
        <f>SUM(V4:V8)</f>
        <v/>
      </c>
      <c r="W9" s="379">
        <f>SUM(W4:W8)</f>
        <v/>
      </c>
      <c r="X9" s="379">
        <f>SUM(X4:X8)</f>
        <v/>
      </c>
      <c r="Y9" s="379">
        <f>SUM(Y4:Y8)</f>
        <v/>
      </c>
      <c r="Z9" s="379">
        <f>SUM(Z4:Z8)</f>
        <v/>
      </c>
      <c r="AA9" s="379">
        <f>SUM(AA4:AA8)</f>
        <v/>
      </c>
      <c r="AB9" s="379">
        <f>SUM(AB4:AB8)</f>
        <v/>
      </c>
      <c r="AC9" s="379">
        <f>SUM(AC4:AC8)</f>
        <v/>
      </c>
      <c r="AD9" s="379">
        <f>SUM(AD4:AD8)</f>
        <v/>
      </c>
      <c r="AE9" s="379">
        <f>SUM(AE4:AE8)</f>
        <v/>
      </c>
      <c r="AF9" s="379">
        <f>SUM(AF4:AF8)</f>
        <v/>
      </c>
      <c r="AG9" s="379">
        <f>SUM(AG4:AG8)</f>
        <v/>
      </c>
      <c r="AH9" s="379">
        <f>SUM(AH4:AH8)</f>
        <v/>
      </c>
      <c r="AI9" s="379">
        <f>SUM(AI4:AI8)</f>
        <v/>
      </c>
      <c r="AJ9" s="379">
        <f>SUM(AJ4:AJ8)</f>
        <v/>
      </c>
      <c r="AK9" s="379">
        <f>SUM(AK4:AK8)</f>
        <v/>
      </c>
      <c r="AL9" s="379">
        <f>SUM(AL4:AL8)</f>
        <v/>
      </c>
      <c r="AM9" s="379">
        <f>SUM(AM4:AM8)</f>
        <v/>
      </c>
      <c r="AN9" s="379">
        <f>SUM(AN4:AN8)</f>
        <v/>
      </c>
      <c r="AO9" s="381">
        <f>IF(F9=0,"",K9/(F9/((YEAR(E4)*12+MONTH(E4))-(YEAR(D4)*12+MONTH(D4))+1)))</f>
        <v/>
      </c>
      <c r="AP9" s="379">
        <f>G9</f>
        <v/>
      </c>
      <c r="AQ9" s="382">
        <f>G9/F9</f>
        <v/>
      </c>
      <c r="AR9" s="418">
        <f>F9-G9</f>
        <v/>
      </c>
      <c r="AS9" s="379">
        <f>SUM(AS4:AS8)</f>
        <v/>
      </c>
      <c r="AT9" s="379">
        <f>SUM(AT4:AT8)</f>
        <v/>
      </c>
      <c r="AU9" s="379">
        <f>SUM(K9+O9+S9+W9+AA9+AE9+AI9+AM9+AN9)</f>
        <v/>
      </c>
      <c r="AV9" s="383">
        <f>AV4</f>
        <v/>
      </c>
      <c r="AW9" s="381">
        <f>AS9/AV4</f>
        <v/>
      </c>
      <c r="AX9" s="773">
        <f>AV4-AS9</f>
        <v/>
      </c>
      <c r="AY9" s="383">
        <f>AY4</f>
        <v/>
      </c>
      <c r="AZ9" s="381">
        <f>AZ4</f>
        <v/>
      </c>
      <c r="BA9" s="773">
        <f>BA4</f>
        <v/>
      </c>
      <c r="BB9" s="418">
        <f>AX9+BA9</f>
        <v/>
      </c>
      <c r="BC9" s="713" t="n"/>
      <c r="BD9" s="713" t="n"/>
      <c r="BE9" s="713" t="n"/>
      <c r="BF9" s="713" t="n"/>
      <c r="BG9" s="713" t="n"/>
      <c r="BH9" s="713" t="n"/>
      <c r="BI9" s="713" t="n"/>
      <c r="BJ9" s="713" t="n"/>
      <c r="BK9" s="713" t="n"/>
      <c r="BL9" s="713" t="n"/>
      <c r="BM9" s="713" t="n"/>
      <c r="BN9" s="713" t="n"/>
      <c r="BO9" s="713" t="n"/>
      <c r="BP9" s="713" t="n"/>
      <c r="BQ9" s="713" t="n"/>
      <c r="BR9" s="713" t="n"/>
      <c r="BS9" s="713" t="n"/>
      <c r="BT9" s="713" t="n"/>
      <c r="BU9" s="713" t="n"/>
      <c r="BV9" s="713" t="n"/>
      <c r="BW9" s="713" t="n"/>
    </row>
    <row r="10" outlineLevel="1" ht="14.25" customFormat="1" customHeight="1" s="483">
      <c r="A10" s="729" t="inlineStr">
        <is>
          <t>理财师014</t>
        </is>
      </c>
      <c r="B10" s="729" t="inlineStr">
        <is>
          <t>理财师014</t>
        </is>
      </c>
      <c r="C10" s="729" t="inlineStr">
        <is>
          <t>私人财富管理专家PWA4-5</t>
        </is>
      </c>
      <c r="D10" s="730" t="n">
        <v>46204</v>
      </c>
      <c r="E10" s="730" t="n">
        <v>46387</v>
      </c>
      <c r="F10" s="363" t="n">
        <v>18162</v>
      </c>
      <c r="G10" s="363" t="n">
        <v>4059.420015</v>
      </c>
      <c r="H10" s="363" t="n">
        <v>448.390085</v>
      </c>
      <c r="I10" s="363" t="n">
        <v>0</v>
      </c>
      <c r="J10" s="363" t="n">
        <v>0</v>
      </c>
      <c r="K10" s="363">
        <f>SUM(H10:J10)</f>
        <v/>
      </c>
      <c r="L10" s="363" t="n">
        <v>342.831579</v>
      </c>
      <c r="M10" s="363" t="n">
        <v>0</v>
      </c>
      <c r="N10" s="363" t="n">
        <v>232.784545</v>
      </c>
      <c r="O10" s="363">
        <f>SUM(L10:N10)</f>
        <v/>
      </c>
      <c r="P10" s="363" t="n">
        <v>2834.766843</v>
      </c>
      <c r="Q10" s="363" t="n">
        <v>0</v>
      </c>
      <c r="R10" s="363" t="n">
        <v>200.646963</v>
      </c>
      <c r="S10" s="363">
        <f>SUM(P10:R10)</f>
        <v/>
      </c>
      <c r="T10" s="363" t="n">
        <v>3599.205131</v>
      </c>
      <c r="U10" s="363" t="n">
        <v>0</v>
      </c>
      <c r="V10" s="363" t="n">
        <v>208.383109</v>
      </c>
      <c r="W10" s="363">
        <f>SUM(T10:V10)</f>
        <v/>
      </c>
      <c r="X10" s="363" t="n">
        <v>4233.38058</v>
      </c>
      <c r="Y10" s="363" t="n">
        <v>0</v>
      </c>
      <c r="Z10" s="363" t="n">
        <v>103.388547</v>
      </c>
      <c r="AA10" s="363">
        <f>SUM(X10:Z10)</f>
        <v/>
      </c>
      <c r="AB10" s="363" t="n">
        <v>2418.943367</v>
      </c>
      <c r="AC10" s="363" t="n">
        <v>2443.706261</v>
      </c>
      <c r="AD10" s="363" t="n">
        <v>88.105912</v>
      </c>
      <c r="AE10" s="363">
        <f>SUM(AB10:AD10)</f>
        <v/>
      </c>
      <c r="AF10" s="363" t="n">
        <v>2574.496213</v>
      </c>
      <c r="AG10" s="363" t="n">
        <v>2927.70165</v>
      </c>
      <c r="AH10" s="363" t="n">
        <v>154.748145</v>
      </c>
      <c r="AI10" s="363">
        <f>SUM(AF10:AH10)</f>
        <v/>
      </c>
      <c r="AJ10" s="363" t="n">
        <v>745.691219</v>
      </c>
      <c r="AK10" s="363" t="n">
        <v>2330.36622</v>
      </c>
      <c r="AL10" s="363" t="n">
        <v>72.478376</v>
      </c>
      <c r="AM10" s="363">
        <f>SUM(AJ10:AL10)</f>
        <v/>
      </c>
      <c r="AN10" s="363" t="n">
        <v>3042.835811</v>
      </c>
      <c r="AO10" s="364">
        <f>IF(F10=0,"",K10/(F10/((YEAR(E10)*12+MONTH(E10))-(YEAR(D10)*12+MONTH(D10))+1)))</f>
        <v/>
      </c>
      <c r="AP10" s="409">
        <f>G10</f>
        <v/>
      </c>
      <c r="AQ10" s="364">
        <f>G10/F10</f>
        <v/>
      </c>
      <c r="AR10" s="759">
        <f>F10-G10</f>
        <v/>
      </c>
      <c r="AS10" s="409">
        <f>W10+AA10+AE10+AI10+AM10+AN10</f>
        <v/>
      </c>
      <c r="AT10" s="409">
        <f>K10+O10+S10</f>
        <v/>
      </c>
      <c r="AU10" s="363">
        <f>SUM(K10+O10+S10+W10+AA10+AE10+AI10+AM10+AN10)</f>
        <v/>
      </c>
      <c r="AV10" s="366">
        <f>SUM(F10:F13)</f>
        <v/>
      </c>
      <c r="AW10" s="367">
        <f>AW14</f>
        <v/>
      </c>
      <c r="AX10" s="760">
        <f>AX14</f>
        <v/>
      </c>
      <c r="AY10" s="366" t="n">
        <v>40561.8</v>
      </c>
      <c r="AZ10" s="367">
        <f>IF(AY10=0,"",AT14/AY10)</f>
        <v/>
      </c>
      <c r="BA10" s="760">
        <f>AY10-AT14</f>
        <v/>
      </c>
      <c r="BB10" s="761" t="n"/>
      <c r="BC10" s="706" t="n"/>
      <c r="BD10" s="706" t="n"/>
      <c r="BE10" s="706" t="n"/>
      <c r="BF10" s="706" t="n"/>
      <c r="BG10" s="706" t="n"/>
      <c r="BH10" s="706" t="n"/>
      <c r="BI10" s="706" t="n"/>
      <c r="BJ10" s="706" t="n"/>
      <c r="BK10" s="706" t="n"/>
      <c r="BL10" s="706" t="n"/>
      <c r="BM10" s="706" t="n"/>
      <c r="BN10" s="706" t="n"/>
      <c r="BO10" s="706" t="n"/>
      <c r="BP10" s="706" t="n"/>
      <c r="BQ10" s="706" t="n"/>
      <c r="BR10" s="706" t="n"/>
      <c r="BS10" s="706" t="n"/>
      <c r="BT10" s="706" t="n"/>
      <c r="BU10" s="706" t="n"/>
      <c r="BV10" s="706" t="n"/>
      <c r="BW10" s="706" t="n"/>
    </row>
    <row r="11" outlineLevel="1" ht="14.25" customFormat="1" customHeight="1" s="483">
      <c r="A11" s="733" t="n"/>
      <c r="B11" s="762" t="inlineStr">
        <is>
          <t>理财师022</t>
        </is>
      </c>
      <c r="C11" s="762" t="inlineStr">
        <is>
          <t>观察期PWA0-1</t>
        </is>
      </c>
      <c r="D11" s="763" t="n">
        <v>46174</v>
      </c>
      <c r="E11" s="763" t="n">
        <v>46356</v>
      </c>
      <c r="F11" s="764" t="n">
        <v>5907.91</v>
      </c>
      <c r="G11" s="764" t="n">
        <v>5619.078519</v>
      </c>
      <c r="H11" s="764" t="n">
        <v>0</v>
      </c>
      <c r="I11" s="764" t="n">
        <v>336.020786</v>
      </c>
      <c r="J11" s="764" t="n">
        <v>0</v>
      </c>
      <c r="K11" s="764">
        <f>SUM(H11:J11)</f>
        <v/>
      </c>
      <c r="L11" s="764" t="n">
        <v>0</v>
      </c>
      <c r="M11" s="764" t="n">
        <v>0</v>
      </c>
      <c r="N11" s="764" t="n">
        <v>40.219215</v>
      </c>
      <c r="O11" s="764">
        <f>SUM(L11:N11)</f>
        <v/>
      </c>
      <c r="P11" s="764" t="n">
        <v>0</v>
      </c>
      <c r="Q11" s="764" t="n">
        <v>4869.403051</v>
      </c>
      <c r="R11" s="764" t="n">
        <v>33.172446</v>
      </c>
      <c r="S11" s="764">
        <f>SUM(P11:R11)</f>
        <v/>
      </c>
      <c r="T11" s="764" t="n">
        <v>304.3131</v>
      </c>
      <c r="U11" s="764" t="n">
        <v>0</v>
      </c>
      <c r="V11" s="764" t="n">
        <v>35.949921</v>
      </c>
      <c r="W11" s="764">
        <f>SUM(T11:V11)</f>
        <v/>
      </c>
      <c r="X11" s="764" t="n">
        <v>139.11456</v>
      </c>
      <c r="Y11" s="764" t="n">
        <v>2956.1844</v>
      </c>
      <c r="Z11" s="764" t="n">
        <v>14.716853</v>
      </c>
      <c r="AA11" s="764">
        <f>SUM(X11:Z11)</f>
        <v/>
      </c>
      <c r="AB11" s="764" t="n">
        <v>280.185418</v>
      </c>
      <c r="AC11" s="764" t="n">
        <v>773.505646</v>
      </c>
      <c r="AD11" s="764" t="n">
        <v>3.573146</v>
      </c>
      <c r="AE11" s="764">
        <f>SUM(AB11:AD11)</f>
        <v/>
      </c>
      <c r="AF11" s="764" t="n">
        <v>43.4733</v>
      </c>
      <c r="AG11" s="764" t="n">
        <v>0</v>
      </c>
      <c r="AH11" s="764" t="n">
        <v>10.334614</v>
      </c>
      <c r="AI11" s="764">
        <f>SUM(AF11:AH11)</f>
        <v/>
      </c>
      <c r="AJ11" s="764" t="n">
        <v>0</v>
      </c>
      <c r="AK11" s="764" t="n">
        <v>0</v>
      </c>
      <c r="AL11" s="764" t="n">
        <v>0</v>
      </c>
      <c r="AM11" s="764">
        <f>SUM(AJ11:AL11)</f>
        <v/>
      </c>
      <c r="AN11" s="764" t="n">
        <v>0</v>
      </c>
      <c r="AO11" s="765">
        <f>IF(F11=0,"",K11/(F11/((YEAR(E11)*12+MONTH(E11))-(YEAR(D11)*12+MONTH(D11))+1)))</f>
        <v/>
      </c>
      <c r="AP11" s="412">
        <f>G11</f>
        <v/>
      </c>
      <c r="AQ11" s="765">
        <f>G11/F11</f>
        <v/>
      </c>
      <c r="AR11" s="766">
        <f>F11-G11</f>
        <v/>
      </c>
      <c r="AS11" s="767">
        <f>W11+AA11+AE11+AI11+AM11+AN11</f>
        <v/>
      </c>
      <c r="AT11" s="767">
        <f>K11+O11+S11</f>
        <v/>
      </c>
      <c r="AU11" s="764">
        <f>SUM(K11+O11+S11+W11+AA11+AE11+AI11+AM11+AN11)</f>
        <v/>
      </c>
      <c r="AV11" s="733" t="n"/>
      <c r="AW11" s="733" t="n"/>
      <c r="AX11" s="733" t="n"/>
      <c r="AY11" s="733" t="n"/>
      <c r="AZ11" s="733" t="n"/>
      <c r="BA11" s="733" t="n"/>
      <c r="BB11" s="768" t="n"/>
      <c r="BC11" s="769" t="n"/>
      <c r="BD11" s="769" t="n"/>
      <c r="BE11" s="769" t="n"/>
      <c r="BF11" s="769" t="n"/>
      <c r="BG11" s="769" t="n"/>
      <c r="BH11" s="769" t="n"/>
      <c r="BI11" s="769" t="n"/>
      <c r="BJ11" s="769" t="n"/>
      <c r="BK11" s="769" t="n"/>
      <c r="BL11" s="769" t="n"/>
      <c r="BM11" s="769" t="n"/>
      <c r="BN11" s="769" t="n"/>
      <c r="BO11" s="769" t="n"/>
      <c r="BP11" s="769" t="n"/>
      <c r="BQ11" s="769" t="n"/>
      <c r="BR11" s="769" t="n"/>
      <c r="BS11" s="769" t="n"/>
      <c r="BT11" s="769" t="n"/>
      <c r="BU11" s="769" t="n"/>
      <c r="BV11" s="769" t="n"/>
      <c r="BW11" s="769" t="n"/>
    </row>
    <row r="12" outlineLevel="1" ht="14.25" customFormat="1" customHeight="1" s="483">
      <c r="A12" s="733" t="n"/>
      <c r="B12" s="762" t="inlineStr">
        <is>
          <t>理财师013</t>
        </is>
      </c>
      <c r="C12" s="762" t="inlineStr">
        <is>
          <t>私人财富管理总监PWA3-3</t>
        </is>
      </c>
      <c r="D12" s="763" t="n">
        <v>46204</v>
      </c>
      <c r="E12" s="763" t="n">
        <v>46387</v>
      </c>
      <c r="F12" s="764" t="n">
        <v>21002.4</v>
      </c>
      <c r="G12" s="764" t="n">
        <v>8643.361502</v>
      </c>
      <c r="H12" s="764" t="n">
        <v>0</v>
      </c>
      <c r="I12" s="764" t="n">
        <v>0</v>
      </c>
      <c r="J12" s="764" t="n">
        <v>0</v>
      </c>
      <c r="K12" s="764">
        <f>SUM(H12:J12)</f>
        <v/>
      </c>
      <c r="L12" s="764" t="n">
        <v>2814.76055</v>
      </c>
      <c r="M12" s="764" t="n">
        <v>0</v>
      </c>
      <c r="N12" s="764" t="n">
        <v>155.047628</v>
      </c>
      <c r="O12" s="764">
        <f>SUM(L12:N12)</f>
        <v/>
      </c>
      <c r="P12" s="764" t="n">
        <v>5487.872514</v>
      </c>
      <c r="Q12" s="764" t="n">
        <v>0</v>
      </c>
      <c r="R12" s="764" t="n">
        <v>185.68081</v>
      </c>
      <c r="S12" s="764">
        <f>SUM(P12:R12)</f>
        <v/>
      </c>
      <c r="T12" s="764" t="n">
        <v>5138.663789</v>
      </c>
      <c r="U12" s="764" t="n">
        <v>0</v>
      </c>
      <c r="V12" s="764" t="n">
        <v>787.892575</v>
      </c>
      <c r="W12" s="764">
        <f>SUM(T12:V12)</f>
        <v/>
      </c>
      <c r="X12" s="764" t="n">
        <v>527.86032</v>
      </c>
      <c r="Y12" s="764" t="n">
        <v>0</v>
      </c>
      <c r="Z12" s="764" t="n">
        <v>176.99322</v>
      </c>
      <c r="AA12" s="764">
        <f>SUM(X12:Z12)</f>
        <v/>
      </c>
      <c r="AB12" s="764" t="n">
        <v>5719.894428</v>
      </c>
      <c r="AC12" s="764" t="n">
        <v>0</v>
      </c>
      <c r="AD12" s="764" t="n">
        <v>170.991639</v>
      </c>
      <c r="AE12" s="764">
        <f>SUM(AB12:AD12)</f>
        <v/>
      </c>
      <c r="AF12" s="764" t="n">
        <v>2659.960961</v>
      </c>
      <c r="AG12" s="764" t="n">
        <v>0</v>
      </c>
      <c r="AH12" s="764" t="n">
        <v>743.622962</v>
      </c>
      <c r="AI12" s="764">
        <f>SUM(AF12:AH12)</f>
        <v/>
      </c>
      <c r="AJ12" s="764" t="n">
        <v>0</v>
      </c>
      <c r="AK12" s="764" t="n">
        <v>0</v>
      </c>
      <c r="AL12" s="764" t="n">
        <v>144.157177</v>
      </c>
      <c r="AM12" s="764">
        <f>SUM(AJ12:AL12)</f>
        <v/>
      </c>
      <c r="AN12" s="764" t="n">
        <v>6482.195956</v>
      </c>
      <c r="AO12" s="765">
        <f>IF(F12=0,"",K12/(F12/((YEAR(E12)*12+MONTH(E12))-(YEAR(D12)*12+MONTH(D12))+1)))</f>
        <v/>
      </c>
      <c r="AP12" s="412">
        <f>G12</f>
        <v/>
      </c>
      <c r="AQ12" s="765">
        <f>G12/F12</f>
        <v/>
      </c>
      <c r="AR12" s="766">
        <f>F12-G12</f>
        <v/>
      </c>
      <c r="AS12" s="767">
        <f>W12+AA12+AE12+AI12+AM12+AN12</f>
        <v/>
      </c>
      <c r="AT12" s="767">
        <f>K12+O12+S12</f>
        <v/>
      </c>
      <c r="AU12" s="764">
        <f>SUM(K12+O12+S12+W12+AA12+AE12+AI12+AM12+AN12)</f>
        <v/>
      </c>
      <c r="AV12" s="733" t="n"/>
      <c r="AW12" s="733" t="n"/>
      <c r="AX12" s="733" t="n"/>
      <c r="AY12" s="733" t="n"/>
      <c r="AZ12" s="733" t="n"/>
      <c r="BA12" s="733" t="n"/>
      <c r="BB12" s="768" t="n"/>
      <c r="BC12" s="769" t="n"/>
      <c r="BD12" s="769" t="n"/>
      <c r="BE12" s="769" t="n"/>
      <c r="BF12" s="769" t="n"/>
      <c r="BG12" s="769" t="n"/>
      <c r="BH12" s="769" t="n"/>
      <c r="BI12" s="769" t="n"/>
      <c r="BJ12" s="769" t="n"/>
      <c r="BK12" s="769" t="n"/>
      <c r="BL12" s="769" t="n"/>
      <c r="BM12" s="769" t="n"/>
      <c r="BN12" s="769" t="n"/>
      <c r="BO12" s="769" t="n"/>
      <c r="BP12" s="769" t="n"/>
      <c r="BQ12" s="769" t="n"/>
      <c r="BR12" s="769" t="n"/>
      <c r="BS12" s="769" t="n"/>
      <c r="BT12" s="769" t="n"/>
      <c r="BU12" s="769" t="n"/>
      <c r="BV12" s="769" t="n"/>
      <c r="BW12" s="769" t="n"/>
    </row>
    <row r="13" outlineLevel="1" ht="14.25" customFormat="1" customHeight="1" s="483">
      <c r="A13" s="737" t="n"/>
      <c r="B13" s="762" t="inlineStr">
        <is>
          <t>理财师024</t>
        </is>
      </c>
      <c r="C13" s="762" t="inlineStr">
        <is>
          <t>私人财富管理总监PWA3-1</t>
        </is>
      </c>
      <c r="D13" s="763" t="n">
        <v>46204</v>
      </c>
      <c r="E13" s="763" t="n">
        <v>46387</v>
      </c>
      <c r="F13" s="764" t="n">
        <v>15122.64</v>
      </c>
      <c r="G13" s="764" t="n">
        <v>4802.136535</v>
      </c>
      <c r="H13" s="764" t="n">
        <v>298.8765</v>
      </c>
      <c r="I13" s="764" t="n">
        <v>0</v>
      </c>
      <c r="J13" s="764" t="n">
        <v>0</v>
      </c>
      <c r="K13" s="764">
        <f>SUM(H13:J13)</f>
        <v/>
      </c>
      <c r="L13" s="764" t="n">
        <v>0</v>
      </c>
      <c r="M13" s="764" t="n">
        <v>0</v>
      </c>
      <c r="N13" s="764" t="n">
        <v>319.12807</v>
      </c>
      <c r="O13" s="764">
        <f>SUM(L13:N13)</f>
        <v/>
      </c>
      <c r="P13" s="764" t="n">
        <v>3763.612289</v>
      </c>
      <c r="Q13" s="764" t="n">
        <v>0</v>
      </c>
      <c r="R13" s="764" t="n">
        <v>420.519676</v>
      </c>
      <c r="S13" s="764">
        <f>SUM(P13:R13)</f>
        <v/>
      </c>
      <c r="T13" s="764" t="n">
        <v>2826.176184</v>
      </c>
      <c r="U13" s="764" t="n">
        <v>0</v>
      </c>
      <c r="V13" s="764" t="n">
        <v>536.034869</v>
      </c>
      <c r="W13" s="764">
        <f>SUM(T13:V13)</f>
        <v/>
      </c>
      <c r="X13" s="764" t="n">
        <v>1000.951193</v>
      </c>
      <c r="Y13" s="764" t="n">
        <v>0</v>
      </c>
      <c r="Z13" s="764" t="n">
        <v>278.383375</v>
      </c>
      <c r="AA13" s="764">
        <f>SUM(X13:Z13)</f>
        <v/>
      </c>
      <c r="AB13" s="764" t="n">
        <v>3291.566745</v>
      </c>
      <c r="AC13" s="764" t="n">
        <v>0</v>
      </c>
      <c r="AD13" s="764" t="n">
        <v>242.965979</v>
      </c>
      <c r="AE13" s="764">
        <f>SUM(AB13:AD13)</f>
        <v/>
      </c>
      <c r="AF13" s="764" t="n">
        <v>3556.620439</v>
      </c>
      <c r="AG13" s="764" t="n">
        <v>0</v>
      </c>
      <c r="AH13" s="764" t="n">
        <v>446.103228</v>
      </c>
      <c r="AI13" s="764">
        <f>SUM(AF13:AH13)</f>
        <v/>
      </c>
      <c r="AJ13" s="764" t="n">
        <v>1054.327266</v>
      </c>
      <c r="AK13" s="764" t="n">
        <v>0</v>
      </c>
      <c r="AL13" s="764" t="n">
        <v>170.580309</v>
      </c>
      <c r="AM13" s="764">
        <f>SUM(AJ13:AL13)</f>
        <v/>
      </c>
      <c r="AN13" s="764" t="n">
        <v>692.512431</v>
      </c>
      <c r="AO13" s="765">
        <f>IF(F13=0,"",K13/(F13/((YEAR(E13)*12+MONTH(E13))-(YEAR(D13)*12+MONTH(D13))+1)))</f>
        <v/>
      </c>
      <c r="AP13" s="412">
        <f>G13</f>
        <v/>
      </c>
      <c r="AQ13" s="765">
        <f>G13/F13</f>
        <v/>
      </c>
      <c r="AR13" s="766">
        <f>F13-G13</f>
        <v/>
      </c>
      <c r="AS13" s="767">
        <f>W13+AA13+AE13+AI13+AM13+AN13</f>
        <v/>
      </c>
      <c r="AT13" s="767">
        <f>K13+O13+S13</f>
        <v/>
      </c>
      <c r="AU13" s="764">
        <f>SUM(K13+O13+S13+W13+AA13+AE13+AI13+AM13+AN13)</f>
        <v/>
      </c>
      <c r="AV13" s="737" t="n"/>
      <c r="AW13" s="737" t="n"/>
      <c r="AX13" s="737" t="n"/>
      <c r="AY13" s="737" t="n"/>
      <c r="AZ13" s="737" t="n"/>
      <c r="BA13" s="737" t="n"/>
      <c r="BB13" s="768" t="n"/>
      <c r="BC13" s="769" t="n"/>
      <c r="BD13" s="769" t="n"/>
      <c r="BE13" s="769" t="n"/>
      <c r="BF13" s="769" t="n"/>
      <c r="BG13" s="769" t="n"/>
      <c r="BH13" s="769" t="n"/>
      <c r="BI13" s="769" t="n"/>
      <c r="BJ13" s="769" t="n"/>
      <c r="BK13" s="769" t="n"/>
      <c r="BL13" s="769" t="n"/>
      <c r="BM13" s="769" t="n"/>
      <c r="BN13" s="769" t="n"/>
      <c r="BO13" s="769" t="n"/>
      <c r="BP13" s="769" t="n"/>
      <c r="BQ13" s="769" t="n"/>
      <c r="BR13" s="769" t="n"/>
      <c r="BS13" s="769" t="n"/>
      <c r="BT13" s="769" t="n"/>
      <c r="BU13" s="769" t="n"/>
      <c r="BV13" s="769" t="n"/>
      <c r="BW13" s="769" t="n"/>
    </row>
    <row r="14" outlineLevel="1" ht="14.25" customFormat="1" customHeight="1" s="483">
      <c r="A14" s="738" t="inlineStr">
        <is>
          <t>合计</t>
        </is>
      </c>
      <c r="B14" s="739" t="n"/>
      <c r="C14" s="739" t="n"/>
      <c r="D14" s="739" t="n"/>
      <c r="E14" s="740" t="n"/>
      <c r="F14" s="379">
        <f>SUM(F10:F13)</f>
        <v/>
      </c>
      <c r="G14" s="379">
        <f>SUM(G10:G13)</f>
        <v/>
      </c>
      <c r="H14" s="379">
        <f>SUM(H10:H13)</f>
        <v/>
      </c>
      <c r="I14" s="379">
        <f>SUM(I10:I13)</f>
        <v/>
      </c>
      <c r="J14" s="379">
        <f>SUM(J10:J13)</f>
        <v/>
      </c>
      <c r="K14" s="379">
        <f>SUM(K10:K13)</f>
        <v/>
      </c>
      <c r="L14" s="379">
        <f>SUM(L10:L13)</f>
        <v/>
      </c>
      <c r="M14" s="379">
        <f>SUM(M10:M13)</f>
        <v/>
      </c>
      <c r="N14" s="379">
        <f>SUM(N10:N13)</f>
        <v/>
      </c>
      <c r="O14" s="379">
        <f>SUM(O10:O13)</f>
        <v/>
      </c>
      <c r="P14" s="379">
        <f>SUM(P10:P13)</f>
        <v/>
      </c>
      <c r="Q14" s="379">
        <f>SUM(Q10:Q13)</f>
        <v/>
      </c>
      <c r="R14" s="379">
        <f>SUM(R10:R13)</f>
        <v/>
      </c>
      <c r="S14" s="379">
        <f>SUM(S10:S13)</f>
        <v/>
      </c>
      <c r="T14" s="379">
        <f>SUM(T10:T13)</f>
        <v/>
      </c>
      <c r="U14" s="379">
        <f>SUM(U10:U13)</f>
        <v/>
      </c>
      <c r="V14" s="379">
        <f>SUM(V10:V13)</f>
        <v/>
      </c>
      <c r="W14" s="379">
        <f>SUM(W10:W13)</f>
        <v/>
      </c>
      <c r="X14" s="379">
        <f>SUM(X10:X13)</f>
        <v/>
      </c>
      <c r="Y14" s="379">
        <f>SUM(Y10:Y13)</f>
        <v/>
      </c>
      <c r="Z14" s="379">
        <f>SUM(Z10:Z13)</f>
        <v/>
      </c>
      <c r="AA14" s="379">
        <f>SUM(AA10:AA13)</f>
        <v/>
      </c>
      <c r="AB14" s="379">
        <f>SUM(AB10:AB13)</f>
        <v/>
      </c>
      <c r="AC14" s="379">
        <f>SUM(AC10:AC13)</f>
        <v/>
      </c>
      <c r="AD14" s="379">
        <f>SUM(AD10:AD13)</f>
        <v/>
      </c>
      <c r="AE14" s="379">
        <f>SUM(AE10:AE13)</f>
        <v/>
      </c>
      <c r="AF14" s="379">
        <f>SUM(AF10:AF13)</f>
        <v/>
      </c>
      <c r="AG14" s="379">
        <f>SUM(AG10:AG13)</f>
        <v/>
      </c>
      <c r="AH14" s="379">
        <f>SUM(AH10:AH13)</f>
        <v/>
      </c>
      <c r="AI14" s="379">
        <f>SUM(AI10:AI13)</f>
        <v/>
      </c>
      <c r="AJ14" s="379">
        <f>SUM(AJ10:AJ13)</f>
        <v/>
      </c>
      <c r="AK14" s="379">
        <f>SUM(AK10:AK13)</f>
        <v/>
      </c>
      <c r="AL14" s="379">
        <f>SUM(AL10:AL13)</f>
        <v/>
      </c>
      <c r="AM14" s="379">
        <f>SUM(AM10:AM13)</f>
        <v/>
      </c>
      <c r="AN14" s="379">
        <f>SUM(AN10:AN13)</f>
        <v/>
      </c>
      <c r="AO14" s="381">
        <f>IF(F14=0,"",K14/(F14/((YEAR(E10)*12+MONTH(E10))-(YEAR(D10)*12+MONTH(D10))+1)))</f>
        <v/>
      </c>
      <c r="AP14" s="379">
        <f>G14</f>
        <v/>
      </c>
      <c r="AQ14" s="382">
        <f>G14/F14</f>
        <v/>
      </c>
      <c r="AR14" s="418">
        <f>F14-G14</f>
        <v/>
      </c>
      <c r="AS14" s="379">
        <f>SUM(AS10:AS13)</f>
        <v/>
      </c>
      <c r="AT14" s="379">
        <f>SUM(AT10:AT13)</f>
        <v/>
      </c>
      <c r="AU14" s="379">
        <f>SUM(K14+O14+S14+W14+AA14+AE14+AI14+AM14+AN14)</f>
        <v/>
      </c>
      <c r="AV14" s="383">
        <f>AV10</f>
        <v/>
      </c>
      <c r="AW14" s="381">
        <f>AS14/AV10</f>
        <v/>
      </c>
      <c r="AX14" s="773">
        <f>AV10-AS14</f>
        <v/>
      </c>
      <c r="AY14" s="383">
        <f>AY10</f>
        <v/>
      </c>
      <c r="AZ14" s="381">
        <f>AZ10</f>
        <v/>
      </c>
      <c r="BA14" s="773">
        <f>BA10</f>
        <v/>
      </c>
      <c r="BB14" s="418">
        <f>AX14+BA14</f>
        <v/>
      </c>
      <c r="BC14" s="713" t="n"/>
      <c r="BD14" s="713" t="n"/>
      <c r="BE14" s="713" t="n"/>
      <c r="BF14" s="713" t="n"/>
      <c r="BG14" s="713" t="n"/>
      <c r="BH14" s="713" t="n"/>
      <c r="BI14" s="713" t="n"/>
      <c r="BJ14" s="713" t="n"/>
      <c r="BK14" s="713" t="n"/>
      <c r="BL14" s="713" t="n"/>
      <c r="BM14" s="713" t="n"/>
      <c r="BN14" s="713" t="n"/>
      <c r="BO14" s="713" t="n"/>
      <c r="BP14" s="713" t="n"/>
      <c r="BQ14" s="713" t="n"/>
      <c r="BR14" s="713" t="n"/>
      <c r="BS14" s="713" t="n"/>
      <c r="BT14" s="713" t="n"/>
      <c r="BU14" s="713" t="n"/>
      <c r="BV14" s="713" t="n"/>
      <c r="BW14" s="713" t="n"/>
    </row>
    <row r="15" outlineLevel="1" ht="14.25" customFormat="1" customHeight="1" s="483">
      <c r="A15" s="729" t="inlineStr">
        <is>
          <t>理财师007</t>
        </is>
      </c>
      <c r="B15" s="729" t="inlineStr">
        <is>
          <t>理财师023</t>
        </is>
      </c>
      <c r="C15" s="729" t="inlineStr">
        <is>
          <t>私人财富管理资深顾问PWA2-5</t>
        </is>
      </c>
      <c r="D15" s="730" t="n">
        <v>46204</v>
      </c>
      <c r="E15" s="730" t="n">
        <v>46387</v>
      </c>
      <c r="F15" s="363" t="n">
        <v>17806.8</v>
      </c>
      <c r="G15" s="363" t="n">
        <v>1910.556313</v>
      </c>
      <c r="H15" s="363" t="n">
        <v>0</v>
      </c>
      <c r="I15" s="363" t="n">
        <v>0</v>
      </c>
      <c r="J15" s="363" t="n">
        <v>0</v>
      </c>
      <c r="K15" s="363">
        <f>SUM(H15:J15)</f>
        <v/>
      </c>
      <c r="L15" s="363" t="n">
        <v>267.141588</v>
      </c>
      <c r="M15" s="363" t="n">
        <v>0</v>
      </c>
      <c r="N15" s="363" t="n">
        <v>255.073237</v>
      </c>
      <c r="O15" s="363">
        <f>SUM(L15:N15)</f>
        <v/>
      </c>
      <c r="P15" s="363" t="n">
        <v>1193.515881</v>
      </c>
      <c r="Q15" s="363" t="n">
        <v>0</v>
      </c>
      <c r="R15" s="363" t="n">
        <v>194.825606</v>
      </c>
      <c r="S15" s="363">
        <f>SUM(P15:R15)</f>
        <v/>
      </c>
      <c r="T15" s="363" t="n">
        <v>1521.715752</v>
      </c>
      <c r="U15" s="363" t="n">
        <v>14101.410508</v>
      </c>
      <c r="V15" s="363" t="n">
        <v>201.494206</v>
      </c>
      <c r="W15" s="363">
        <f>SUM(T15:V15)</f>
        <v/>
      </c>
      <c r="X15" s="363" t="n">
        <v>1776.618655</v>
      </c>
      <c r="Y15" s="363" t="n">
        <v>0</v>
      </c>
      <c r="Z15" s="363" t="n">
        <v>64.972886</v>
      </c>
      <c r="AA15" s="363">
        <f>SUM(X15:Z15)</f>
        <v/>
      </c>
      <c r="AB15" s="363" t="n">
        <v>2171.402323</v>
      </c>
      <c r="AC15" s="363" t="n">
        <v>0</v>
      </c>
      <c r="AD15" s="363" t="n">
        <v>15.631431</v>
      </c>
      <c r="AE15" s="363">
        <f>SUM(AB15:AD15)</f>
        <v/>
      </c>
      <c r="AF15" s="363" t="n">
        <v>1305.1575</v>
      </c>
      <c r="AG15" s="363" t="n">
        <v>1178.4864</v>
      </c>
      <c r="AH15" s="363" t="n">
        <v>22.441342</v>
      </c>
      <c r="AI15" s="363">
        <f>SUM(AF15:AH15)</f>
        <v/>
      </c>
      <c r="AJ15" s="363" t="n">
        <v>0</v>
      </c>
      <c r="AK15" s="363" t="n">
        <v>0</v>
      </c>
      <c r="AL15" s="363" t="n">
        <v>15.177921</v>
      </c>
      <c r="AM15" s="363">
        <f>SUM(AJ15:AL15)</f>
        <v/>
      </c>
      <c r="AN15" s="363" t="n">
        <v>2630.55</v>
      </c>
      <c r="AO15" s="364">
        <f>IF(F15=0,"",K15/(F15/((YEAR(E15)*12+MONTH(E15))-(YEAR(D15)*12+MONTH(D15))+1)))</f>
        <v/>
      </c>
      <c r="AP15" s="409">
        <f>G15</f>
        <v/>
      </c>
      <c r="AQ15" s="364">
        <f>G15/F15</f>
        <v/>
      </c>
      <c r="AR15" s="759">
        <f>F15-G15</f>
        <v/>
      </c>
      <c r="AS15" s="409">
        <f>W15+AA15+AE15+AI15+AM15+AN15</f>
        <v/>
      </c>
      <c r="AT15" s="409">
        <f>K15+O15+S15</f>
        <v/>
      </c>
      <c r="AU15" s="363">
        <f>SUM(K15+O15+S15+W15+AA15+AE15+AI15+AM15+AN15)</f>
        <v/>
      </c>
      <c r="AV15" s="366">
        <f>SUM(F15:F17)</f>
        <v/>
      </c>
      <c r="AW15" s="367">
        <f>AW18</f>
        <v/>
      </c>
      <c r="AX15" s="760">
        <f>AX18</f>
        <v/>
      </c>
      <c r="AY15" s="366" t="n">
        <v>68933.89999999999</v>
      </c>
      <c r="AZ15" s="367">
        <f>IF(AY15=0,"",AT18/AY15)</f>
        <v/>
      </c>
      <c r="BA15" s="760">
        <f>AY15-AT18</f>
        <v/>
      </c>
      <c r="BB15" s="761" t="n"/>
      <c r="BC15" s="706" t="n"/>
      <c r="BD15" s="706" t="n"/>
      <c r="BE15" s="706" t="n"/>
      <c r="BF15" s="706" t="n"/>
      <c r="BG15" s="706" t="n"/>
      <c r="BH15" s="706" t="n"/>
      <c r="BI15" s="706" t="n"/>
      <c r="BJ15" s="706" t="n"/>
      <c r="BK15" s="706" t="n"/>
      <c r="BL15" s="706" t="n"/>
      <c r="BM15" s="706" t="n"/>
      <c r="BN15" s="706" t="n"/>
      <c r="BO15" s="706" t="n"/>
      <c r="BP15" s="706" t="n"/>
      <c r="BQ15" s="706" t="n"/>
      <c r="BR15" s="706" t="n"/>
      <c r="BS15" s="706" t="n"/>
      <c r="BT15" s="706" t="n"/>
      <c r="BU15" s="706" t="n"/>
      <c r="BV15" s="706" t="n"/>
      <c r="BW15" s="706" t="n"/>
    </row>
    <row r="16" outlineLevel="1" ht="14.25" customFormat="1" customHeight="1" s="483">
      <c r="A16" s="733" t="n"/>
      <c r="B16" s="762" t="inlineStr">
        <is>
          <t>理财师035</t>
        </is>
      </c>
      <c r="C16" s="762" t="n"/>
      <c r="D16" s="763" t="n">
        <v>46052</v>
      </c>
      <c r="E16" s="763" t="n">
        <v>46232</v>
      </c>
      <c r="F16" s="764" t="n">
        <v>0</v>
      </c>
      <c r="G16" s="764" t="n">
        <v>5598.599415</v>
      </c>
      <c r="H16" s="764" t="n">
        <v>0</v>
      </c>
      <c r="I16" s="764" t="n">
        <v>0</v>
      </c>
      <c r="J16" s="764" t="n">
        <v>0</v>
      </c>
      <c r="K16" s="764">
        <f>SUM(H16:J16)</f>
        <v/>
      </c>
      <c r="L16" s="764" t="n">
        <v>1774.64196</v>
      </c>
      <c r="M16" s="764" t="n">
        <v>0</v>
      </c>
      <c r="N16" s="764" t="n">
        <v>25.552726</v>
      </c>
      <c r="O16" s="764">
        <f>SUM(L16:N16)</f>
        <v/>
      </c>
      <c r="P16" s="764" t="n">
        <v>683.565792</v>
      </c>
      <c r="Q16" s="764" t="n">
        <v>0</v>
      </c>
      <c r="R16" s="764" t="n">
        <v>48.621966</v>
      </c>
      <c r="S16" s="764">
        <f>SUM(P16:R16)</f>
        <v/>
      </c>
      <c r="T16" s="764" t="n">
        <v>412.205196</v>
      </c>
      <c r="U16" s="764" t="n">
        <v>0</v>
      </c>
      <c r="V16" s="764" t="n">
        <v>61.849591</v>
      </c>
      <c r="W16" s="764">
        <f>SUM(T16:V16)</f>
        <v/>
      </c>
      <c r="X16" s="764" t="n">
        <v>539.9043</v>
      </c>
      <c r="Y16" s="764" t="n">
        <v>1859.14872</v>
      </c>
      <c r="Z16" s="764" t="n">
        <v>44.064709</v>
      </c>
      <c r="AA16" s="764">
        <f>SUM(X16:Z16)</f>
        <v/>
      </c>
      <c r="AB16" s="764" t="n">
        <v>0</v>
      </c>
      <c r="AC16" s="764" t="n">
        <v>0</v>
      </c>
      <c r="AD16" s="764" t="n">
        <v>43.453355</v>
      </c>
      <c r="AE16" s="764">
        <f>SUM(AB16:AD16)</f>
        <v/>
      </c>
      <c r="AF16" s="764" t="n">
        <v>0</v>
      </c>
      <c r="AG16" s="764" t="n">
        <v>1943.65548</v>
      </c>
      <c r="AH16" s="764" t="n">
        <v>10.752272</v>
      </c>
      <c r="AI16" s="764">
        <f>SUM(AF16:AH16)</f>
        <v/>
      </c>
      <c r="AJ16" s="764" t="n">
        <v>0</v>
      </c>
      <c r="AK16" s="764" t="n">
        <v>0</v>
      </c>
      <c r="AL16" s="764" t="n">
        <v>0</v>
      </c>
      <c r="AM16" s="764">
        <f>SUM(AJ16:AL16)</f>
        <v/>
      </c>
      <c r="AN16" s="764" t="n">
        <v>0</v>
      </c>
      <c r="AO16" s="765">
        <f>IF(F16=0,"",K16/(F16/MAX(1,(YEAR(E16)*12+MONTH(E16))-(YEAR(D16)*12+MONTH(D16))+1)))</f>
        <v/>
      </c>
      <c r="AP16" s="412">
        <f>G16</f>
        <v/>
      </c>
      <c r="AQ16" s="765">
        <f>G16/F16</f>
        <v/>
      </c>
      <c r="AR16" s="766">
        <f>F16-G16</f>
        <v/>
      </c>
      <c r="AS16" s="767">
        <f>W16+AA16+AE16+AI16+AM16+AN16</f>
        <v/>
      </c>
      <c r="AT16" s="767">
        <f>K16+O16+S16</f>
        <v/>
      </c>
      <c r="AU16" s="764">
        <f>SUM(K16+O16+S16+W16+AA16+AE16+AI16+AM16+AN16)</f>
        <v/>
      </c>
      <c r="AV16" s="733" t="n"/>
      <c r="AW16" s="733" t="n"/>
      <c r="AX16" s="733" t="n"/>
      <c r="AY16" s="733" t="n"/>
      <c r="AZ16" s="733" t="n"/>
      <c r="BA16" s="733" t="n"/>
      <c r="BB16" s="768" t="n"/>
      <c r="BC16" s="769" t="n"/>
      <c r="BD16" s="769" t="n"/>
      <c r="BE16" s="769" t="n"/>
      <c r="BF16" s="769" t="n"/>
      <c r="BG16" s="769" t="n"/>
      <c r="BH16" s="769" t="n"/>
      <c r="BI16" s="769" t="n"/>
      <c r="BJ16" s="769" t="n"/>
      <c r="BK16" s="769" t="n"/>
      <c r="BL16" s="769" t="n"/>
      <c r="BM16" s="769" t="n"/>
      <c r="BN16" s="769" t="n"/>
      <c r="BO16" s="769" t="n"/>
      <c r="BP16" s="769" t="n"/>
      <c r="BQ16" s="769" t="n"/>
      <c r="BR16" s="769" t="n"/>
      <c r="BS16" s="769" t="n"/>
      <c r="BT16" s="769" t="n"/>
      <c r="BU16" s="769" t="n"/>
      <c r="BV16" s="769" t="n"/>
      <c r="BW16" s="769" t="n"/>
    </row>
    <row r="17" outlineLevel="1" ht="14.25" customFormat="1" customHeight="1" s="483">
      <c r="A17" s="737" t="n"/>
      <c r="B17" s="762" t="inlineStr">
        <is>
          <t>理财师007</t>
        </is>
      </c>
      <c r="C17" s="762" t="inlineStr">
        <is>
          <t>私人财富管理专家PWA4-4</t>
        </is>
      </c>
      <c r="D17" s="763" t="n">
        <v>46204</v>
      </c>
      <c r="E17" s="763" t="n">
        <v>46387</v>
      </c>
      <c r="F17" s="764" t="n">
        <v>31044.75</v>
      </c>
      <c r="G17" s="764" t="n">
        <v>8571.31878</v>
      </c>
      <c r="H17" s="764" t="n">
        <v>1492.82688</v>
      </c>
      <c r="I17" s="764" t="n">
        <v>0</v>
      </c>
      <c r="J17" s="764" t="n">
        <v>0</v>
      </c>
      <c r="K17" s="764">
        <f>SUM(H17:J17)</f>
        <v/>
      </c>
      <c r="L17" s="764" t="n">
        <v>1895.378847</v>
      </c>
      <c r="M17" s="764" t="n">
        <v>475.493631</v>
      </c>
      <c r="N17" s="764" t="n">
        <v>375.914521</v>
      </c>
      <c r="O17" s="764">
        <f>SUM(L17:N17)</f>
        <v/>
      </c>
      <c r="P17" s="764" t="n">
        <v>3698.57808</v>
      </c>
      <c r="Q17" s="764" t="n">
        <v>0</v>
      </c>
      <c r="R17" s="764" t="n">
        <v>633.1268209999999</v>
      </c>
      <c r="S17" s="764">
        <f>SUM(P17:R17)</f>
        <v/>
      </c>
      <c r="T17" s="764" t="n">
        <v>4030.216259</v>
      </c>
      <c r="U17" s="764" t="n">
        <v>0</v>
      </c>
      <c r="V17" s="764" t="n">
        <v>599.323452</v>
      </c>
      <c r="W17" s="764">
        <f>SUM(T17:V17)</f>
        <v/>
      </c>
      <c r="X17" s="764" t="n">
        <v>1274.903482</v>
      </c>
      <c r="Y17" s="764" t="n">
        <v>3566.1951</v>
      </c>
      <c r="Z17" s="764" t="n">
        <v>351.27893</v>
      </c>
      <c r="AA17" s="764">
        <f>SUM(X17:Z17)</f>
        <v/>
      </c>
      <c r="AB17" s="764" t="n">
        <v>2660.12632</v>
      </c>
      <c r="AC17" s="764" t="n">
        <v>0</v>
      </c>
      <c r="AD17" s="764" t="n">
        <v>338.797256</v>
      </c>
      <c r="AE17" s="764">
        <f>SUM(AB17:AD17)</f>
        <v/>
      </c>
      <c r="AF17" s="764" t="n">
        <v>3406.959578</v>
      </c>
      <c r="AG17" s="764" t="n">
        <v>14793.1056</v>
      </c>
      <c r="AH17" s="764" t="n">
        <v>606.358521</v>
      </c>
      <c r="AI17" s="764">
        <f>SUM(AF17:AH17)</f>
        <v/>
      </c>
      <c r="AJ17" s="764" t="n">
        <v>3557.362586</v>
      </c>
      <c r="AK17" s="764" t="n">
        <v>0</v>
      </c>
      <c r="AL17" s="764" t="n">
        <v>301.023526</v>
      </c>
      <c r="AM17" s="764">
        <f>SUM(AJ17:AL17)</f>
        <v/>
      </c>
      <c r="AN17" s="764" t="n">
        <v>8988.571889000001</v>
      </c>
      <c r="AO17" s="765">
        <f>IF(F17=0,"",K17/(F17/((YEAR(E17)*12+MONTH(E17))-(YEAR(D17)*12+MONTH(D17))+1)))</f>
        <v/>
      </c>
      <c r="AP17" s="412">
        <f>G17</f>
        <v/>
      </c>
      <c r="AQ17" s="765">
        <f>G17/F17</f>
        <v/>
      </c>
      <c r="AR17" s="766">
        <f>F17-G17</f>
        <v/>
      </c>
      <c r="AS17" s="767">
        <f>W17+AA17+AE17+AI17+AM17+AN17</f>
        <v/>
      </c>
      <c r="AT17" s="767">
        <f>K17+O17+S17</f>
        <v/>
      </c>
      <c r="AU17" s="764">
        <f>SUM(K17+O17+S17+W17+AA17+AE17+AI17+AM17+AN17)</f>
        <v/>
      </c>
      <c r="AV17" s="737" t="n"/>
      <c r="AW17" s="737" t="n"/>
      <c r="AX17" s="737" t="n"/>
      <c r="AY17" s="737" t="n"/>
      <c r="AZ17" s="737" t="n"/>
      <c r="BA17" s="737" t="n"/>
      <c r="BB17" s="768" t="n"/>
      <c r="BC17" s="769" t="n"/>
      <c r="BD17" s="769" t="n"/>
      <c r="BE17" s="769" t="n"/>
      <c r="BF17" s="769" t="n"/>
      <c r="BG17" s="769" t="n"/>
      <c r="BH17" s="769" t="n"/>
      <c r="BI17" s="769" t="n"/>
      <c r="BJ17" s="769" t="n"/>
      <c r="BK17" s="769" t="n"/>
      <c r="BL17" s="769" t="n"/>
      <c r="BM17" s="769" t="n"/>
      <c r="BN17" s="769" t="n"/>
      <c r="BO17" s="769" t="n"/>
      <c r="BP17" s="769" t="n"/>
      <c r="BQ17" s="769" t="n"/>
      <c r="BR17" s="769" t="n"/>
      <c r="BS17" s="769" t="n"/>
      <c r="BT17" s="769" t="n"/>
      <c r="BU17" s="769" t="n"/>
      <c r="BV17" s="769" t="n"/>
      <c r="BW17" s="769" t="n"/>
    </row>
    <row r="18" outlineLevel="1" ht="14.25" customFormat="1" customHeight="1" s="483">
      <c r="A18" s="738" t="inlineStr">
        <is>
          <t>合计</t>
        </is>
      </c>
      <c r="B18" s="739" t="n"/>
      <c r="C18" s="739" t="n"/>
      <c r="D18" s="739" t="n"/>
      <c r="E18" s="740" t="n"/>
      <c r="F18" s="379">
        <f>SUM(F15:F17)</f>
        <v/>
      </c>
      <c r="G18" s="379">
        <f>SUM(G15:G17)</f>
        <v/>
      </c>
      <c r="H18" s="379">
        <f>SUM(H15:H17)</f>
        <v/>
      </c>
      <c r="I18" s="379">
        <f>SUM(I15:I17)</f>
        <v/>
      </c>
      <c r="J18" s="379">
        <f>SUM(J15:J17)</f>
        <v/>
      </c>
      <c r="K18" s="379">
        <f>SUM(K15:K17)</f>
        <v/>
      </c>
      <c r="L18" s="379">
        <f>SUM(L15:L17)</f>
        <v/>
      </c>
      <c r="M18" s="379">
        <f>SUM(M15:M17)</f>
        <v/>
      </c>
      <c r="N18" s="379">
        <f>SUM(N15:N17)</f>
        <v/>
      </c>
      <c r="O18" s="379">
        <f>SUM(O15:O17)</f>
        <v/>
      </c>
      <c r="P18" s="379">
        <f>SUM(P15:P17)</f>
        <v/>
      </c>
      <c r="Q18" s="379">
        <f>SUM(Q15:Q17)</f>
        <v/>
      </c>
      <c r="R18" s="379">
        <f>SUM(R15:R17)</f>
        <v/>
      </c>
      <c r="S18" s="379">
        <f>SUM(S15:S17)</f>
        <v/>
      </c>
      <c r="T18" s="379">
        <f>SUM(T15:T17)</f>
        <v/>
      </c>
      <c r="U18" s="379">
        <f>SUM(U15:U17)</f>
        <v/>
      </c>
      <c r="V18" s="379">
        <f>SUM(V15:V17)</f>
        <v/>
      </c>
      <c r="W18" s="379">
        <f>SUM(W15:W17)</f>
        <v/>
      </c>
      <c r="X18" s="379">
        <f>SUM(X15:X17)</f>
        <v/>
      </c>
      <c r="Y18" s="379">
        <f>SUM(Y15:Y17)</f>
        <v/>
      </c>
      <c r="Z18" s="379">
        <f>SUM(Z15:Z17)</f>
        <v/>
      </c>
      <c r="AA18" s="379">
        <f>SUM(AA15:AA17)</f>
        <v/>
      </c>
      <c r="AB18" s="379">
        <f>SUM(AB15:AB17)</f>
        <v/>
      </c>
      <c r="AC18" s="379">
        <f>SUM(AC15:AC17)</f>
        <v/>
      </c>
      <c r="AD18" s="379">
        <f>SUM(AD15:AD17)</f>
        <v/>
      </c>
      <c r="AE18" s="379">
        <f>SUM(AE15:AE17)</f>
        <v/>
      </c>
      <c r="AF18" s="379">
        <f>SUM(AF15:AF17)</f>
        <v/>
      </c>
      <c r="AG18" s="379">
        <f>SUM(AG15:AG17)</f>
        <v/>
      </c>
      <c r="AH18" s="379">
        <f>SUM(AH15:AH17)</f>
        <v/>
      </c>
      <c r="AI18" s="379">
        <f>SUM(AI15:AI17)</f>
        <v/>
      </c>
      <c r="AJ18" s="379">
        <f>SUM(AJ15:AJ17)</f>
        <v/>
      </c>
      <c r="AK18" s="379">
        <f>SUM(AK15:AK17)</f>
        <v/>
      </c>
      <c r="AL18" s="379">
        <f>SUM(AL15:AL17)</f>
        <v/>
      </c>
      <c r="AM18" s="379">
        <f>SUM(AM15:AM17)</f>
        <v/>
      </c>
      <c r="AN18" s="379">
        <f>SUM(AN15:AN17)</f>
        <v/>
      </c>
      <c r="AO18" s="381">
        <f>IF(F18=0,"",K18/(F18/((YEAR(E15)*12+MONTH(E15))-(YEAR(D15)*12+MONTH(D15))+1)))</f>
        <v/>
      </c>
      <c r="AP18" s="379">
        <f>G18</f>
        <v/>
      </c>
      <c r="AQ18" s="382">
        <f>G18/F18</f>
        <v/>
      </c>
      <c r="AR18" s="418">
        <f>F18-G18</f>
        <v/>
      </c>
      <c r="AS18" s="379">
        <f>SUM(AS15:AS17)</f>
        <v/>
      </c>
      <c r="AT18" s="379">
        <f>SUM(AT15:AT17)</f>
        <v/>
      </c>
      <c r="AU18" s="379">
        <f>SUM(K18+O18+S18+W18+AA18+AE18+AI18+AM18+AN18)</f>
        <v/>
      </c>
      <c r="AV18" s="383">
        <f>AV15</f>
        <v/>
      </c>
      <c r="AW18" s="381">
        <f>AS18/AV15</f>
        <v/>
      </c>
      <c r="AX18" s="773">
        <f>AV15-AS18</f>
        <v/>
      </c>
      <c r="AY18" s="383">
        <f>AY15</f>
        <v/>
      </c>
      <c r="AZ18" s="381">
        <f>AZ15</f>
        <v/>
      </c>
      <c r="BA18" s="773">
        <f>BA15</f>
        <v/>
      </c>
      <c r="BB18" s="418">
        <f>AX18+BA18</f>
        <v/>
      </c>
      <c r="BC18" s="713" t="n"/>
      <c r="BD18" s="713" t="n"/>
      <c r="BE18" s="713" t="n"/>
      <c r="BF18" s="713" t="n"/>
      <c r="BG18" s="713" t="n"/>
      <c r="BH18" s="713" t="n"/>
      <c r="BI18" s="713" t="n"/>
      <c r="BJ18" s="713" t="n"/>
      <c r="BK18" s="713" t="n"/>
      <c r="BL18" s="713" t="n"/>
      <c r="BM18" s="713" t="n"/>
      <c r="BN18" s="713" t="n"/>
      <c r="BO18" s="713" t="n"/>
      <c r="BP18" s="713" t="n"/>
      <c r="BQ18" s="713" t="n"/>
      <c r="BR18" s="713" t="n"/>
      <c r="BS18" s="713" t="n"/>
      <c r="BT18" s="713" t="n"/>
      <c r="BU18" s="713" t="n"/>
      <c r="BV18" s="713" t="n"/>
      <c r="BW18" s="713" t="n"/>
    </row>
    <row r="19" outlineLevel="1" ht="14.25" customFormat="1" customHeight="1" s="483">
      <c r="A19" s="729" t="inlineStr">
        <is>
          <t>理财师016</t>
        </is>
      </c>
      <c r="B19" s="729" t="inlineStr">
        <is>
          <t>理财师028</t>
        </is>
      </c>
      <c r="C19" s="729" t="inlineStr">
        <is>
          <t>私人财富管理专家PWA4-5</t>
        </is>
      </c>
      <c r="D19" s="730" t="n">
        <v>46001</v>
      </c>
      <c r="E19" s="730" t="n">
        <v>46182</v>
      </c>
      <c r="F19" s="363" t="n">
        <v>23502</v>
      </c>
      <c r="G19" s="363" t="n">
        <v>337.57095</v>
      </c>
      <c r="H19" s="363" t="n">
        <v>0</v>
      </c>
      <c r="I19" s="363" t="n">
        <v>0</v>
      </c>
      <c r="J19" s="363" t="n">
        <v>0</v>
      </c>
      <c r="K19" s="363">
        <f>SUM(H19:J19)</f>
        <v/>
      </c>
      <c r="L19" s="363" t="n">
        <v>0</v>
      </c>
      <c r="M19" s="363" t="n">
        <v>0</v>
      </c>
      <c r="N19" s="363" t="n">
        <v>30.229748</v>
      </c>
      <c r="O19" s="363">
        <f>SUM(L19:N19)</f>
        <v/>
      </c>
      <c r="P19" s="363" t="n">
        <v>76.3815</v>
      </c>
      <c r="Q19" s="363" t="n">
        <v>0</v>
      </c>
      <c r="R19" s="363" t="n">
        <v>19.558102</v>
      </c>
      <c r="S19" s="363">
        <f>SUM(P19:R19)</f>
        <v/>
      </c>
      <c r="T19" s="363" t="n">
        <v>488.8416</v>
      </c>
      <c r="U19" s="363" t="n">
        <v>0</v>
      </c>
      <c r="V19" s="363" t="n">
        <v>90.34230599999999</v>
      </c>
      <c r="W19" s="363">
        <f>SUM(T19:V19)</f>
        <v/>
      </c>
      <c r="X19" s="363" t="n">
        <v>305.526</v>
      </c>
      <c r="Y19" s="363" t="n">
        <v>0</v>
      </c>
      <c r="Z19" s="363" t="n">
        <v>0</v>
      </c>
      <c r="AA19" s="363">
        <f>SUM(X19:Z19)</f>
        <v/>
      </c>
      <c r="AB19" s="363" t="n">
        <v>0</v>
      </c>
      <c r="AC19" s="363" t="n">
        <v>0</v>
      </c>
      <c r="AD19" s="363" t="n">
        <v>0</v>
      </c>
      <c r="AE19" s="363">
        <f>SUM(AB19:AD19)</f>
        <v/>
      </c>
      <c r="AF19" s="363" t="n">
        <v>0</v>
      </c>
      <c r="AG19" s="363" t="n">
        <v>0</v>
      </c>
      <c r="AH19" s="363" t="n">
        <v>32.04495</v>
      </c>
      <c r="AI19" s="363">
        <f>SUM(AF19:AH19)</f>
        <v/>
      </c>
      <c r="AJ19" s="363" t="n">
        <v>0</v>
      </c>
      <c r="AK19" s="363" t="n">
        <v>0</v>
      </c>
      <c r="AL19" s="363" t="n">
        <v>0</v>
      </c>
      <c r="AM19" s="363">
        <f>SUM(AJ19:AL19)</f>
        <v/>
      </c>
      <c r="AN19" s="363" t="n">
        <v>0</v>
      </c>
      <c r="AO19" s="364">
        <f>IF(F19=0,"",K19/(F19/((YEAR(E19)*12+MONTH(E19))-(YEAR(D19)*12+MONTH(D19))+1)))</f>
        <v/>
      </c>
      <c r="AP19" s="409">
        <f>G19</f>
        <v/>
      </c>
      <c r="AQ19" s="364">
        <f>G19/F19</f>
        <v/>
      </c>
      <c r="AR19" s="759">
        <f>F19-G19</f>
        <v/>
      </c>
      <c r="AS19" s="409">
        <f>W19+AA19+AE19+AI19+AM19+AN19</f>
        <v/>
      </c>
      <c r="AT19" s="409">
        <f>K19+O19+S19</f>
        <v/>
      </c>
      <c r="AU19" s="363">
        <f>SUM(K19+O19+S19+W19+AA19+AE19+AI19+AM19+AN19)</f>
        <v/>
      </c>
      <c r="AV19" s="366">
        <f>SUM(F19:F21)</f>
        <v/>
      </c>
      <c r="AW19" s="367">
        <f>AW22</f>
        <v/>
      </c>
      <c r="AX19" s="760">
        <f>AX22</f>
        <v/>
      </c>
      <c r="AY19" s="366" t="n">
        <v>38778.3</v>
      </c>
      <c r="AZ19" s="367">
        <f>IF(AY19=0,"",AT22/AY19)</f>
        <v/>
      </c>
      <c r="BA19" s="760">
        <f>AY19-AT22</f>
        <v/>
      </c>
      <c r="BB19" s="761" t="n"/>
      <c r="BC19" s="706" t="n"/>
      <c r="BD19" s="706" t="n"/>
      <c r="BE19" s="706" t="n"/>
      <c r="BF19" s="706" t="n"/>
      <c r="BG19" s="706" t="n"/>
      <c r="BH19" s="706" t="n"/>
      <c r="BI19" s="706" t="n"/>
      <c r="BJ19" s="706" t="n"/>
      <c r="BK19" s="706" t="n"/>
      <c r="BL19" s="706" t="n"/>
      <c r="BM19" s="706" t="n"/>
      <c r="BN19" s="706" t="n"/>
      <c r="BO19" s="706" t="n"/>
      <c r="BP19" s="706" t="n"/>
      <c r="BQ19" s="706" t="n"/>
      <c r="BR19" s="706" t="n"/>
      <c r="BS19" s="706" t="n"/>
      <c r="BT19" s="706" t="n"/>
      <c r="BU19" s="706" t="n"/>
      <c r="BV19" s="706" t="n"/>
      <c r="BW19" s="706" t="n"/>
    </row>
    <row r="20" outlineLevel="1" ht="14.25" customFormat="1" customHeight="1" s="483">
      <c r="A20" s="733" t="n"/>
      <c r="B20" s="762" t="inlineStr">
        <is>
          <t>理财师015</t>
        </is>
      </c>
      <c r="C20" s="762" t="inlineStr">
        <is>
          <t>私人财富管理顾问PWA1-3</t>
        </is>
      </c>
      <c r="D20" s="763" t="n">
        <v>46204</v>
      </c>
      <c r="E20" s="763" t="n">
        <v>46387</v>
      </c>
      <c r="F20" s="764" t="n">
        <v>5335.47</v>
      </c>
      <c r="G20" s="764" t="n">
        <v>2724.676984</v>
      </c>
      <c r="H20" s="764" t="n">
        <v>148.63095</v>
      </c>
      <c r="I20" s="764" t="n">
        <v>0</v>
      </c>
      <c r="J20" s="764" t="n">
        <v>0</v>
      </c>
      <c r="K20" s="764">
        <f>SUM(H20:J20)</f>
        <v/>
      </c>
      <c r="L20" s="764" t="n">
        <v>198.1746</v>
      </c>
      <c r="M20" s="764" t="n">
        <v>0</v>
      </c>
      <c r="N20" s="764" t="n">
        <v>90.24668200000001</v>
      </c>
      <c r="O20" s="764">
        <f>SUM(L20:N20)</f>
        <v/>
      </c>
      <c r="P20" s="764" t="n">
        <v>0</v>
      </c>
      <c r="Q20" s="764" t="n">
        <v>2212.9497</v>
      </c>
      <c r="R20" s="764" t="n">
        <v>74.67505300000001</v>
      </c>
      <c r="S20" s="764">
        <f>SUM(P20:R20)</f>
        <v/>
      </c>
      <c r="T20" s="764" t="n">
        <v>42.846788</v>
      </c>
      <c r="U20" s="764" t="n">
        <v>0</v>
      </c>
      <c r="V20" s="764" t="n">
        <v>77.064165</v>
      </c>
      <c r="W20" s="764">
        <f>SUM(T20:V20)</f>
        <v/>
      </c>
      <c r="X20" s="764" t="n">
        <v>494.115336</v>
      </c>
      <c r="Y20" s="764" t="n">
        <v>0</v>
      </c>
      <c r="Z20" s="764" t="n">
        <v>53.646884</v>
      </c>
      <c r="AA20" s="764">
        <f>SUM(X20:Z20)</f>
        <v/>
      </c>
      <c r="AB20" s="764" t="n">
        <v>0</v>
      </c>
      <c r="AC20" s="764" t="n">
        <v>0</v>
      </c>
      <c r="AD20" s="764" t="n">
        <v>37.443523</v>
      </c>
      <c r="AE20" s="764">
        <f>SUM(AB20:AD20)</f>
        <v/>
      </c>
      <c r="AF20" s="764" t="n">
        <v>198.1746</v>
      </c>
      <c r="AG20" s="764" t="n">
        <v>0</v>
      </c>
      <c r="AH20" s="764" t="n">
        <v>29.640215</v>
      </c>
      <c r="AI20" s="764">
        <f>SUM(AF20:AH20)</f>
        <v/>
      </c>
      <c r="AJ20" s="764" t="n">
        <v>0.8469</v>
      </c>
      <c r="AK20" s="764" t="n">
        <v>4558.0158</v>
      </c>
      <c r="AL20" s="764" t="n">
        <v>19.389048</v>
      </c>
      <c r="AM20" s="764">
        <f>SUM(AJ20:AL20)</f>
        <v/>
      </c>
      <c r="AN20" s="764" t="n">
        <v>21.644177</v>
      </c>
      <c r="AO20" s="765">
        <f>IF(F20=0,"",K20/(F20/((YEAR(E20)*12+MONTH(E20))-(YEAR(D20)*12+MONTH(D20))+1)))</f>
        <v/>
      </c>
      <c r="AP20" s="412">
        <f>G20</f>
        <v/>
      </c>
      <c r="AQ20" s="765">
        <f>G20/F20</f>
        <v/>
      </c>
      <c r="AR20" s="766">
        <f>F20-G20</f>
        <v/>
      </c>
      <c r="AS20" s="767">
        <f>W20+AA20+AE20+AI20+AM20+AN20</f>
        <v/>
      </c>
      <c r="AT20" s="767">
        <f>K20+O20+S20</f>
        <v/>
      </c>
      <c r="AU20" s="764">
        <f>SUM(K20+O20+S20+W20+AA20+AE20+AI20+AM20+AN20)</f>
        <v/>
      </c>
      <c r="AV20" s="733" t="n"/>
      <c r="AW20" s="733" t="n"/>
      <c r="AX20" s="733" t="n"/>
      <c r="AY20" s="733" t="n"/>
      <c r="AZ20" s="733" t="n"/>
      <c r="BA20" s="733" t="n"/>
      <c r="BB20" s="768" t="n"/>
      <c r="BC20" s="769" t="n"/>
      <c r="BD20" s="769" t="n"/>
      <c r="BE20" s="769" t="n"/>
      <c r="BF20" s="769" t="n"/>
      <c r="BG20" s="769" t="n"/>
      <c r="BH20" s="769" t="n"/>
      <c r="BI20" s="769" t="n"/>
      <c r="BJ20" s="769" t="n"/>
      <c r="BK20" s="769" t="n"/>
      <c r="BL20" s="769" t="n"/>
      <c r="BM20" s="769" t="n"/>
      <c r="BN20" s="769" t="n"/>
      <c r="BO20" s="769" t="n"/>
      <c r="BP20" s="769" t="n"/>
      <c r="BQ20" s="769" t="n"/>
      <c r="BR20" s="769" t="n"/>
      <c r="BS20" s="769" t="n"/>
      <c r="BT20" s="769" t="n"/>
      <c r="BU20" s="769" t="n"/>
      <c r="BV20" s="769" t="n"/>
      <c r="BW20" s="769" t="n"/>
    </row>
    <row r="21" outlineLevel="1" ht="14.25" customFormat="1" customHeight="1" s="483">
      <c r="A21" s="737" t="n"/>
      <c r="B21" s="762" t="inlineStr">
        <is>
          <t>理财师016</t>
        </is>
      </c>
      <c r="C21" s="762" t="inlineStr">
        <is>
          <t>私人财富管理资深顾问PWA2-5</t>
        </is>
      </c>
      <c r="D21" s="763" t="n">
        <v>46204</v>
      </c>
      <c r="E21" s="763" t="n">
        <v>46387</v>
      </c>
      <c r="F21" s="764" t="n">
        <v>9935.639999999999</v>
      </c>
      <c r="G21" s="764" t="n">
        <v>3286.884359</v>
      </c>
      <c r="H21" s="764" t="n">
        <v>0</v>
      </c>
      <c r="I21" s="764" t="n">
        <v>0</v>
      </c>
      <c r="J21" s="764" t="n">
        <v>0</v>
      </c>
      <c r="K21" s="764">
        <f>SUM(H21:J21)</f>
        <v/>
      </c>
      <c r="L21" s="764" t="n">
        <v>0</v>
      </c>
      <c r="M21" s="764" t="n">
        <v>0</v>
      </c>
      <c r="N21" s="764" t="n">
        <v>360.351081</v>
      </c>
      <c r="O21" s="764">
        <f>SUM(L21:N21)</f>
        <v/>
      </c>
      <c r="P21" s="764" t="n">
        <v>1470.209107</v>
      </c>
      <c r="Q21" s="764" t="n">
        <v>1188.904234</v>
      </c>
      <c r="R21" s="764" t="n">
        <v>267.419938</v>
      </c>
      <c r="S21" s="764">
        <f>SUM(P21:R21)</f>
        <v/>
      </c>
      <c r="T21" s="764" t="n">
        <v>1355.511883</v>
      </c>
      <c r="U21" s="764" t="n">
        <v>0</v>
      </c>
      <c r="V21" s="764" t="n">
        <v>318.635116</v>
      </c>
      <c r="W21" s="764">
        <f>SUM(T21:V21)</f>
        <v/>
      </c>
      <c r="X21" s="764" t="n">
        <v>2200.72469</v>
      </c>
      <c r="Y21" s="764" t="n">
        <v>0</v>
      </c>
      <c r="Z21" s="764" t="n">
        <v>130.270558</v>
      </c>
      <c r="AA21" s="764">
        <f>SUM(X21:Z21)</f>
        <v/>
      </c>
      <c r="AB21" s="764" t="n">
        <v>1832.902273</v>
      </c>
      <c r="AC21" s="764" t="n">
        <v>0</v>
      </c>
      <c r="AD21" s="764" t="n">
        <v>114.994826</v>
      </c>
      <c r="AE21" s="764">
        <f>SUM(AB21:AD21)</f>
        <v/>
      </c>
      <c r="AF21" s="764" t="n">
        <v>220.16475</v>
      </c>
      <c r="AG21" s="764" t="n">
        <v>0</v>
      </c>
      <c r="AH21" s="764" t="n">
        <v>158.674065</v>
      </c>
      <c r="AI21" s="764">
        <f>SUM(AF21:AH21)</f>
        <v/>
      </c>
      <c r="AJ21" s="764" t="n">
        <v>3847.561596</v>
      </c>
      <c r="AK21" s="764" t="n">
        <v>0</v>
      </c>
      <c r="AL21" s="764" t="n">
        <v>39.036743</v>
      </c>
      <c r="AM21" s="764">
        <f>SUM(AJ21:AL21)</f>
        <v/>
      </c>
      <c r="AN21" s="764" t="n">
        <v>2540.064804</v>
      </c>
      <c r="AO21" s="765">
        <f>IF(F21=0,"",K21/(F21/((YEAR(E21)*12+MONTH(E21))-(YEAR(D21)*12+MONTH(D21))+1)))</f>
        <v/>
      </c>
      <c r="AP21" s="412">
        <f>G21</f>
        <v/>
      </c>
      <c r="AQ21" s="765">
        <f>G21/F21</f>
        <v/>
      </c>
      <c r="AR21" s="766">
        <f>F21-G21</f>
        <v/>
      </c>
      <c r="AS21" s="767">
        <f>W21+AA21+AE21+AI21+AM21+AN21</f>
        <v/>
      </c>
      <c r="AT21" s="767">
        <f>K21+O21+S21</f>
        <v/>
      </c>
      <c r="AU21" s="764">
        <f>SUM(K21+O21+S21+W21+AA21+AE21+AI21+AM21+AN21)</f>
        <v/>
      </c>
      <c r="AV21" s="737" t="n"/>
      <c r="AW21" s="737" t="n"/>
      <c r="AX21" s="737" t="n"/>
      <c r="AY21" s="737" t="n"/>
      <c r="AZ21" s="737" t="n"/>
      <c r="BA21" s="737" t="n"/>
      <c r="BB21" s="768" t="n"/>
      <c r="BC21" s="769" t="n"/>
      <c r="BD21" s="769" t="n"/>
      <c r="BE21" s="769" t="n"/>
      <c r="BF21" s="769" t="n"/>
      <c r="BG21" s="769" t="n"/>
      <c r="BH21" s="769" t="n"/>
      <c r="BI21" s="769" t="n"/>
      <c r="BJ21" s="769" t="n"/>
      <c r="BK21" s="769" t="n"/>
      <c r="BL21" s="769" t="n"/>
      <c r="BM21" s="769" t="n"/>
      <c r="BN21" s="769" t="n"/>
      <c r="BO21" s="769" t="n"/>
      <c r="BP21" s="769" t="n"/>
      <c r="BQ21" s="769" t="n"/>
      <c r="BR21" s="769" t="n"/>
      <c r="BS21" s="769" t="n"/>
      <c r="BT21" s="769" t="n"/>
      <c r="BU21" s="769" t="n"/>
      <c r="BV21" s="769" t="n"/>
      <c r="BW21" s="769" t="n"/>
    </row>
    <row r="22" outlineLevel="1" ht="14.25" customFormat="1" customHeight="1" s="483">
      <c r="A22" s="738" t="inlineStr">
        <is>
          <t>合计</t>
        </is>
      </c>
      <c r="B22" s="739" t="n"/>
      <c r="C22" s="739" t="n"/>
      <c r="D22" s="739" t="n"/>
      <c r="E22" s="740" t="n"/>
      <c r="F22" s="379">
        <f>SUM(F19:F21)</f>
        <v/>
      </c>
      <c r="G22" s="379">
        <f>SUM(G19:G21)</f>
        <v/>
      </c>
      <c r="H22" s="379">
        <f>SUM(H19:H21)</f>
        <v/>
      </c>
      <c r="I22" s="379">
        <f>SUM(I19:I21)</f>
        <v/>
      </c>
      <c r="J22" s="379">
        <f>SUM(J19:J21)</f>
        <v/>
      </c>
      <c r="K22" s="379">
        <f>SUM(K19:K21)</f>
        <v/>
      </c>
      <c r="L22" s="379">
        <f>SUM(L19:L21)</f>
        <v/>
      </c>
      <c r="M22" s="379">
        <f>SUM(M19:M21)</f>
        <v/>
      </c>
      <c r="N22" s="379">
        <f>SUM(N19:N21)</f>
        <v/>
      </c>
      <c r="O22" s="379">
        <f>SUM(O19:O21)</f>
        <v/>
      </c>
      <c r="P22" s="379">
        <f>SUM(P19:P21)</f>
        <v/>
      </c>
      <c r="Q22" s="379">
        <f>SUM(Q19:Q21)</f>
        <v/>
      </c>
      <c r="R22" s="379">
        <f>SUM(R19:R21)</f>
        <v/>
      </c>
      <c r="S22" s="379">
        <f>SUM(S19:S21)</f>
        <v/>
      </c>
      <c r="T22" s="379">
        <f>SUM(T19:T21)</f>
        <v/>
      </c>
      <c r="U22" s="379">
        <f>SUM(U19:U21)</f>
        <v/>
      </c>
      <c r="V22" s="379">
        <f>SUM(V19:V21)</f>
        <v/>
      </c>
      <c r="W22" s="379">
        <f>SUM(W19:W21)</f>
        <v/>
      </c>
      <c r="X22" s="379">
        <f>SUM(X19:X21)</f>
        <v/>
      </c>
      <c r="Y22" s="379">
        <f>SUM(Y19:Y21)</f>
        <v/>
      </c>
      <c r="Z22" s="379">
        <f>SUM(Z19:Z21)</f>
        <v/>
      </c>
      <c r="AA22" s="379">
        <f>SUM(AA19:AA21)</f>
        <v/>
      </c>
      <c r="AB22" s="379">
        <f>SUM(AB19:AB21)</f>
        <v/>
      </c>
      <c r="AC22" s="379">
        <f>SUM(AC19:AC21)</f>
        <v/>
      </c>
      <c r="AD22" s="379">
        <f>SUM(AD19:AD21)</f>
        <v/>
      </c>
      <c r="AE22" s="379">
        <f>SUM(AE19:AE21)</f>
        <v/>
      </c>
      <c r="AF22" s="379">
        <f>SUM(AF19:AF21)</f>
        <v/>
      </c>
      <c r="AG22" s="379">
        <f>SUM(AG19:AG21)</f>
        <v/>
      </c>
      <c r="AH22" s="379">
        <f>SUM(AH19:AH21)</f>
        <v/>
      </c>
      <c r="AI22" s="379">
        <f>SUM(AI19:AI21)</f>
        <v/>
      </c>
      <c r="AJ22" s="379">
        <f>SUM(AJ19:AJ21)</f>
        <v/>
      </c>
      <c r="AK22" s="379">
        <f>SUM(AK19:AK21)</f>
        <v/>
      </c>
      <c r="AL22" s="379">
        <f>SUM(AL19:AL21)</f>
        <v/>
      </c>
      <c r="AM22" s="379">
        <f>SUM(AM19:AM21)</f>
        <v/>
      </c>
      <c r="AN22" s="379">
        <f>SUM(AN19:AN21)</f>
        <v/>
      </c>
      <c r="AO22" s="381">
        <f>IF(F22=0,"",K22/(F22/((YEAR(E19)*12+MONTH(E19))-(YEAR(D19)*12+MONTH(D19))+1)))</f>
        <v/>
      </c>
      <c r="AP22" s="379">
        <f>G22</f>
        <v/>
      </c>
      <c r="AQ22" s="382">
        <f>G22/F22</f>
        <v/>
      </c>
      <c r="AR22" s="418">
        <f>F22-G22</f>
        <v/>
      </c>
      <c r="AS22" s="379">
        <f>SUM(AS19:AS21)</f>
        <v/>
      </c>
      <c r="AT22" s="379">
        <f>SUM(AT19:AT21)</f>
        <v/>
      </c>
      <c r="AU22" s="379">
        <f>SUM(K22+O22+S22+W22+AA22+AE22+AI22+AM22+AN22)</f>
        <v/>
      </c>
      <c r="AV22" s="383">
        <f>AV19</f>
        <v/>
      </c>
      <c r="AW22" s="381">
        <f>AS22/AV19</f>
        <v/>
      </c>
      <c r="AX22" s="773">
        <f>AV19-AS22</f>
        <v/>
      </c>
      <c r="AY22" s="383">
        <f>AY19</f>
        <v/>
      </c>
      <c r="AZ22" s="381">
        <f>AZ19</f>
        <v/>
      </c>
      <c r="BA22" s="773">
        <f>BA19</f>
        <v/>
      </c>
      <c r="BB22" s="418">
        <f>AX22+BA22</f>
        <v/>
      </c>
      <c r="BC22" s="713" t="n"/>
      <c r="BD22" s="713" t="n"/>
      <c r="BE22" s="713" t="n"/>
      <c r="BF22" s="713" t="n"/>
      <c r="BG22" s="713" t="n"/>
      <c r="BH22" s="713" t="n"/>
      <c r="BI22" s="713" t="n"/>
      <c r="BJ22" s="713" t="n"/>
      <c r="BK22" s="713" t="n"/>
      <c r="BL22" s="713" t="n"/>
      <c r="BM22" s="713" t="n"/>
      <c r="BN22" s="713" t="n"/>
      <c r="BO22" s="713" t="n"/>
      <c r="BP22" s="713" t="n"/>
      <c r="BQ22" s="713" t="n"/>
      <c r="BR22" s="713" t="n"/>
      <c r="BS22" s="713" t="n"/>
      <c r="BT22" s="713" t="n"/>
      <c r="BU22" s="713" t="n"/>
      <c r="BV22" s="713" t="n"/>
      <c r="BW22" s="713" t="n"/>
    </row>
    <row r="23" outlineLevel="1" ht="14.25" customFormat="1" customHeight="1" s="483">
      <c r="A23" s="729" t="inlineStr">
        <is>
          <t>理财师002</t>
        </is>
      </c>
      <c r="B23" s="729" t="inlineStr">
        <is>
          <t>理财师001</t>
        </is>
      </c>
      <c r="C23" s="729" t="inlineStr">
        <is>
          <t>私人财富管理顾问PWA1-3</t>
        </is>
      </c>
      <c r="D23" s="730" t="n">
        <v>46204</v>
      </c>
      <c r="E23" s="730" t="n">
        <v>46387</v>
      </c>
      <c r="F23" s="363" t="n">
        <v>5423.67</v>
      </c>
      <c r="G23" s="363" t="n">
        <v>2128.648466</v>
      </c>
      <c r="H23" s="363" t="n">
        <v>0</v>
      </c>
      <c r="I23" s="363" t="n">
        <v>0</v>
      </c>
      <c r="J23" s="363" t="n">
        <v>0</v>
      </c>
      <c r="K23" s="363">
        <f>SUM(H23:J23)</f>
        <v/>
      </c>
      <c r="L23" s="363" t="n">
        <v>417.690085</v>
      </c>
      <c r="M23" s="363" t="n">
        <v>0</v>
      </c>
      <c r="N23" s="363" t="n">
        <v>813.8329210000001</v>
      </c>
      <c r="O23" s="363">
        <f>SUM(L23:N23)</f>
        <v/>
      </c>
      <c r="P23" s="363" t="n">
        <v>212.328071</v>
      </c>
      <c r="Q23" s="363" t="n">
        <v>0</v>
      </c>
      <c r="R23" s="363" t="n">
        <v>684.797389</v>
      </c>
      <c r="S23" s="363">
        <f>SUM(P23:R23)</f>
        <v/>
      </c>
      <c r="T23" s="363" t="n">
        <v>1035.385146</v>
      </c>
      <c r="U23" s="363" t="n">
        <v>0</v>
      </c>
      <c r="V23" s="363" t="n">
        <v>717.905769</v>
      </c>
      <c r="W23" s="363">
        <f>SUM(T23:V23)</f>
        <v/>
      </c>
      <c r="X23" s="363" t="n">
        <v>121.826127</v>
      </c>
      <c r="Y23" s="363" t="n">
        <v>0</v>
      </c>
      <c r="Z23" s="363" t="n">
        <v>638.531805</v>
      </c>
      <c r="AA23" s="363">
        <f>SUM(X23:Z23)</f>
        <v/>
      </c>
      <c r="AB23" s="363" t="n">
        <v>88.54274700000001</v>
      </c>
      <c r="AC23" s="363" t="n">
        <v>0</v>
      </c>
      <c r="AD23" s="363" t="n">
        <v>616.124389</v>
      </c>
      <c r="AE23" s="363">
        <f>SUM(AB23:AD23)</f>
        <v/>
      </c>
      <c r="AF23" s="363" t="n">
        <v>50.830377</v>
      </c>
      <c r="AG23" s="363" t="n">
        <v>0</v>
      </c>
      <c r="AH23" s="363" t="n">
        <v>791.318135</v>
      </c>
      <c r="AI23" s="363">
        <f>SUM(AF23:AH23)</f>
        <v/>
      </c>
      <c r="AJ23" s="363" t="n">
        <v>153.11976</v>
      </c>
      <c r="AK23" s="363" t="n">
        <v>0</v>
      </c>
      <c r="AL23" s="363" t="n">
        <v>560.548117</v>
      </c>
      <c r="AM23" s="363">
        <f>SUM(AJ23:AL23)</f>
        <v/>
      </c>
      <c r="AN23" s="363" t="n">
        <v>2029.518541</v>
      </c>
      <c r="AO23" s="364">
        <f>IF(F23=0,"",K23/(F23/((YEAR(E23)*12+MONTH(E23))-(YEAR(D23)*12+MONTH(D23))+1)))</f>
        <v/>
      </c>
      <c r="AP23" s="409">
        <f>G23</f>
        <v/>
      </c>
      <c r="AQ23" s="364">
        <f>G23/F23</f>
        <v/>
      </c>
      <c r="AR23" s="759">
        <f>F23-G23</f>
        <v/>
      </c>
      <c r="AS23" s="409">
        <f>W23+AA23+AE23+AI23+AM23+AN23</f>
        <v/>
      </c>
      <c r="AT23" s="409">
        <f>K23+O23+S23</f>
        <v/>
      </c>
      <c r="AU23" s="363">
        <f>SUM(K23+O23+S23+W23+AA23+AE23+AI23+AM23+AN23)</f>
        <v/>
      </c>
      <c r="AV23" s="366">
        <f>SUM(F23:F25)</f>
        <v/>
      </c>
      <c r="AW23" s="367">
        <f>AW26</f>
        <v/>
      </c>
      <c r="AX23" s="760">
        <f>AX26</f>
        <v/>
      </c>
      <c r="AY23" s="366" t="n">
        <v>40978.84</v>
      </c>
      <c r="AZ23" s="367">
        <f>IF(AY23=0,"",AT26/AY23)</f>
        <v/>
      </c>
      <c r="BA23" s="760">
        <f>AY23-AT26</f>
        <v/>
      </c>
      <c r="BB23" s="761" t="n"/>
      <c r="BC23" s="706" t="n"/>
      <c r="BD23" s="706" t="n"/>
      <c r="BE23" s="706" t="n"/>
      <c r="BF23" s="706" t="n"/>
      <c r="BG23" s="706" t="n"/>
      <c r="BH23" s="706" t="n"/>
      <c r="BI23" s="706" t="n"/>
      <c r="BJ23" s="706" t="n"/>
      <c r="BK23" s="706" t="n"/>
      <c r="BL23" s="706" t="n"/>
      <c r="BM23" s="706" t="n"/>
      <c r="BN23" s="706" t="n"/>
      <c r="BO23" s="706" t="n"/>
      <c r="BP23" s="706" t="n"/>
      <c r="BQ23" s="706" t="n"/>
      <c r="BR23" s="706" t="n"/>
      <c r="BS23" s="706" t="n"/>
      <c r="BT23" s="706" t="n"/>
      <c r="BU23" s="706" t="n"/>
      <c r="BV23" s="706" t="n"/>
      <c r="BW23" s="706" t="n"/>
    </row>
    <row r="24" outlineLevel="1" ht="14.25" customFormat="1" customHeight="1" s="483">
      <c r="A24" s="733" t="n"/>
      <c r="B24" s="762" t="inlineStr">
        <is>
          <t>理财师027</t>
        </is>
      </c>
      <c r="C24" s="762" t="inlineStr">
        <is>
          <t>私人财富管理顾问PWA1-3</t>
        </is>
      </c>
      <c r="D24" s="763" t="n">
        <v>46125</v>
      </c>
      <c r="E24" s="763" t="n">
        <v>46326</v>
      </c>
      <c r="F24" s="764" t="n">
        <v>4774.516274</v>
      </c>
      <c r="G24" s="764" t="n">
        <v>4860.930656</v>
      </c>
      <c r="H24" s="764" t="n">
        <v>0</v>
      </c>
      <c r="I24" s="764" t="n">
        <v>0</v>
      </c>
      <c r="J24" s="764" t="n">
        <v>0</v>
      </c>
      <c r="K24" s="764">
        <f>SUM(H24:J24)</f>
        <v/>
      </c>
      <c r="L24" s="764" t="n">
        <v>684.1535280000001</v>
      </c>
      <c r="M24" s="764" t="n">
        <v>3685.0554</v>
      </c>
      <c r="N24" s="764" t="n">
        <v>29.820643</v>
      </c>
      <c r="O24" s="764">
        <f>SUM(L24:N24)</f>
        <v/>
      </c>
      <c r="P24" s="764" t="n">
        <v>114.832885</v>
      </c>
      <c r="Q24" s="764" t="n">
        <v>0</v>
      </c>
      <c r="R24" s="764" t="n">
        <v>29.433754</v>
      </c>
      <c r="S24" s="764">
        <f>SUM(P24:R24)</f>
        <v/>
      </c>
      <c r="T24" s="764" t="n">
        <v>63.103793</v>
      </c>
      <c r="U24" s="764" t="n">
        <v>0</v>
      </c>
      <c r="V24" s="764" t="n">
        <v>22.083459</v>
      </c>
      <c r="W24" s="764">
        <f>SUM(T24:V24)</f>
        <v/>
      </c>
      <c r="X24" s="764" t="n">
        <v>63.1797</v>
      </c>
      <c r="Y24" s="764" t="n">
        <v>0</v>
      </c>
      <c r="Z24" s="764" t="n">
        <v>19.121258</v>
      </c>
      <c r="AA24" s="764">
        <f>SUM(X24:Z24)</f>
        <v/>
      </c>
      <c r="AB24" s="764" t="n">
        <v>135.387173</v>
      </c>
      <c r="AC24" s="764" t="n">
        <v>3685.0554</v>
      </c>
      <c r="AD24" s="764" t="n">
        <v>14.759064</v>
      </c>
      <c r="AE24" s="764">
        <f>SUM(AB24:AD24)</f>
        <v/>
      </c>
      <c r="AF24" s="764" t="n">
        <v>0</v>
      </c>
      <c r="AG24" s="764" t="n">
        <v>0</v>
      </c>
      <c r="AH24" s="764" t="n">
        <v>2.181886</v>
      </c>
      <c r="AI24" s="764">
        <f>SUM(AF24:AH24)</f>
        <v/>
      </c>
      <c r="AJ24" s="764" t="n">
        <v>0</v>
      </c>
      <c r="AK24" s="764" t="n">
        <v>0</v>
      </c>
      <c r="AL24" s="764" t="n">
        <v>1.481485</v>
      </c>
      <c r="AM24" s="764">
        <f>SUM(AJ24:AL24)</f>
        <v/>
      </c>
      <c r="AN24" s="764" t="n">
        <v>66.75825</v>
      </c>
      <c r="AO24" s="765">
        <f>IF(F24=0,"",K24/(F24/((YEAR(E24)*12+MONTH(E24))-(YEAR(D24)*12+MONTH(D24))+1)))</f>
        <v/>
      </c>
      <c r="AP24" s="412">
        <f>G24</f>
        <v/>
      </c>
      <c r="AQ24" s="765">
        <f>G24/F24</f>
        <v/>
      </c>
      <c r="AR24" s="766">
        <f>F24-G24</f>
        <v/>
      </c>
      <c r="AS24" s="767">
        <f>W24+AA24+AE24+AI24+AM24+AN24</f>
        <v/>
      </c>
      <c r="AT24" s="767">
        <f>K24+O24+S24</f>
        <v/>
      </c>
      <c r="AU24" s="764">
        <f>SUM(K24+O24+S24+W24+AA24+AE24+AI24+AM24+AN24)</f>
        <v/>
      </c>
      <c r="AV24" s="733" t="n"/>
      <c r="AW24" s="733" t="n"/>
      <c r="AX24" s="733" t="n"/>
      <c r="AY24" s="733" t="n"/>
      <c r="AZ24" s="733" t="n"/>
      <c r="BA24" s="733" t="n"/>
      <c r="BB24" s="768" t="n"/>
      <c r="BC24" s="769" t="n"/>
      <c r="BD24" s="769" t="n"/>
      <c r="BE24" s="769" t="n"/>
      <c r="BF24" s="769" t="n"/>
      <c r="BG24" s="769" t="n"/>
      <c r="BH24" s="769" t="n"/>
      <c r="BI24" s="769" t="n"/>
      <c r="BJ24" s="769" t="n"/>
      <c r="BK24" s="769" t="n"/>
      <c r="BL24" s="769" t="n"/>
      <c r="BM24" s="769" t="n"/>
      <c r="BN24" s="769" t="n"/>
      <c r="BO24" s="769" t="n"/>
      <c r="BP24" s="769" t="n"/>
      <c r="BQ24" s="769" t="n"/>
      <c r="BR24" s="769" t="n"/>
      <c r="BS24" s="769" t="n"/>
      <c r="BT24" s="769" t="n"/>
      <c r="BU24" s="769" t="n"/>
      <c r="BV24" s="769" t="n"/>
      <c r="BW24" s="769" t="n"/>
    </row>
    <row r="25" outlineLevel="1" ht="14.25" customFormat="1" customHeight="1" s="483">
      <c r="A25" s="737" t="n"/>
      <c r="B25" s="762" t="inlineStr">
        <is>
          <t>理财师002</t>
        </is>
      </c>
      <c r="C25" s="762" t="inlineStr">
        <is>
          <t>首席私人财富管理专家PWA5-1</t>
        </is>
      </c>
      <c r="D25" s="763" t="n">
        <v>46204</v>
      </c>
      <c r="E25" s="763" t="n">
        <v>46387</v>
      </c>
      <c r="F25" s="764" t="n">
        <v>28479.5</v>
      </c>
      <c r="G25" s="764" t="n">
        <v>23408.41205</v>
      </c>
      <c r="H25" s="764" t="n">
        <v>0</v>
      </c>
      <c r="I25" s="764" t="n">
        <v>0</v>
      </c>
      <c r="J25" s="764" t="n">
        <v>0</v>
      </c>
      <c r="K25" s="764">
        <f>SUM(H25:J25)</f>
        <v/>
      </c>
      <c r="L25" s="764" t="n">
        <v>19340.746886</v>
      </c>
      <c r="M25" s="764" t="n">
        <v>0</v>
      </c>
      <c r="N25" s="764" t="n">
        <v>411.324407</v>
      </c>
      <c r="O25" s="764">
        <f>SUM(L25:N25)</f>
        <v/>
      </c>
      <c r="P25" s="764" t="n">
        <v>3324.94596</v>
      </c>
      <c r="Q25" s="764" t="n">
        <v>0</v>
      </c>
      <c r="R25" s="764" t="n">
        <v>331.394796</v>
      </c>
      <c r="S25" s="764">
        <f>SUM(P25:R25)</f>
        <v/>
      </c>
      <c r="T25" s="764" t="n">
        <v>662.537684</v>
      </c>
      <c r="U25" s="764" t="n">
        <v>0</v>
      </c>
      <c r="V25" s="764" t="n">
        <v>452.690995</v>
      </c>
      <c r="W25" s="764">
        <f>SUM(T25:V25)</f>
        <v/>
      </c>
      <c r="X25" s="764" t="n">
        <v>2227.154433</v>
      </c>
      <c r="Y25" s="764" t="n">
        <v>0</v>
      </c>
      <c r="Z25" s="764" t="n">
        <v>270.669542</v>
      </c>
      <c r="AA25" s="764">
        <f>SUM(X25:Z25)</f>
        <v/>
      </c>
      <c r="AB25" s="764" t="n">
        <v>-6272.609198</v>
      </c>
      <c r="AC25" s="764" t="n">
        <v>0</v>
      </c>
      <c r="AD25" s="764" t="n">
        <v>210.102519</v>
      </c>
      <c r="AE25" s="764">
        <f>SUM(AB25:AD25)</f>
        <v/>
      </c>
      <c r="AF25" s="764" t="n">
        <v>2164.476574</v>
      </c>
      <c r="AG25" s="764" t="n">
        <v>0</v>
      </c>
      <c r="AH25" s="764" t="n">
        <v>365.27682</v>
      </c>
      <c r="AI25" s="764">
        <f>SUM(AF25:AH25)</f>
        <v/>
      </c>
      <c r="AJ25" s="764" t="n">
        <v>2346.171162</v>
      </c>
      <c r="AK25" s="764" t="n">
        <v>0</v>
      </c>
      <c r="AL25" s="764" t="n">
        <v>187.41719</v>
      </c>
      <c r="AM25" s="764">
        <f>SUM(AJ25:AL25)</f>
        <v/>
      </c>
      <c r="AN25" s="764" t="n">
        <v>24919.495747</v>
      </c>
      <c r="AO25" s="765">
        <f>IF(F25=0,"",K25/(F25/((YEAR(E25)*12+MONTH(E25))-(YEAR(D25)*12+MONTH(D25))+1)))</f>
        <v/>
      </c>
      <c r="AP25" s="412">
        <f>G25</f>
        <v/>
      </c>
      <c r="AQ25" s="765">
        <f>G25/F25</f>
        <v/>
      </c>
      <c r="AR25" s="766">
        <f>F25-G25</f>
        <v/>
      </c>
      <c r="AS25" s="767">
        <f>W25+AA25+AE25+AI25+AM25+AN25</f>
        <v/>
      </c>
      <c r="AT25" s="767">
        <f>K25+O25+S25</f>
        <v/>
      </c>
      <c r="AU25" s="764">
        <f>SUM(K25+O25+S25+W25+AA25+AE25+AI25+AM25+AN25)</f>
        <v/>
      </c>
      <c r="AV25" s="737" t="n"/>
      <c r="AW25" s="737" t="n"/>
      <c r="AX25" s="737" t="n"/>
      <c r="AY25" s="737" t="n"/>
      <c r="AZ25" s="737" t="n"/>
      <c r="BA25" s="737" t="n"/>
      <c r="BB25" s="768" t="n"/>
      <c r="BC25" s="769" t="n"/>
      <c r="BD25" s="769" t="n"/>
      <c r="BE25" s="769" t="n"/>
      <c r="BF25" s="769" t="n"/>
      <c r="BG25" s="769" t="n"/>
      <c r="BH25" s="769" t="n"/>
      <c r="BI25" s="769" t="n"/>
      <c r="BJ25" s="769" t="n"/>
      <c r="BK25" s="769" t="n"/>
      <c r="BL25" s="769" t="n"/>
      <c r="BM25" s="769" t="n"/>
      <c r="BN25" s="769" t="n"/>
      <c r="BO25" s="769" t="n"/>
      <c r="BP25" s="769" t="n"/>
      <c r="BQ25" s="769" t="n"/>
      <c r="BR25" s="769" t="n"/>
      <c r="BS25" s="769" t="n"/>
      <c r="BT25" s="769" t="n"/>
      <c r="BU25" s="769" t="n"/>
      <c r="BV25" s="769" t="n"/>
      <c r="BW25" s="769" t="n"/>
    </row>
    <row r="26" outlineLevel="1" ht="14.25" customFormat="1" customHeight="1" s="483">
      <c r="A26" s="738" t="inlineStr">
        <is>
          <t>合计</t>
        </is>
      </c>
      <c r="B26" s="739" t="n"/>
      <c r="C26" s="739" t="n"/>
      <c r="D26" s="739" t="n"/>
      <c r="E26" s="740" t="n"/>
      <c r="F26" s="379">
        <f>SUM(F23:F25)</f>
        <v/>
      </c>
      <c r="G26" s="379">
        <f>SUM(G23:G25)</f>
        <v/>
      </c>
      <c r="H26" s="379">
        <f>SUM(H23:H25)</f>
        <v/>
      </c>
      <c r="I26" s="379">
        <f>SUM(I23:I25)</f>
        <v/>
      </c>
      <c r="J26" s="379">
        <f>SUM(J23:J25)</f>
        <v/>
      </c>
      <c r="K26" s="379">
        <f>SUM(K23:K25)</f>
        <v/>
      </c>
      <c r="L26" s="379">
        <f>SUM(L23:L25)</f>
        <v/>
      </c>
      <c r="M26" s="379">
        <f>SUM(M23:M25)</f>
        <v/>
      </c>
      <c r="N26" s="379">
        <f>SUM(N23:N25)</f>
        <v/>
      </c>
      <c r="O26" s="379">
        <f>SUM(O23:O25)</f>
        <v/>
      </c>
      <c r="P26" s="379">
        <f>SUM(P23:P25)</f>
        <v/>
      </c>
      <c r="Q26" s="379">
        <f>SUM(Q23:Q25)</f>
        <v/>
      </c>
      <c r="R26" s="379">
        <f>SUM(R23:R25)</f>
        <v/>
      </c>
      <c r="S26" s="379">
        <f>SUM(S23:S25)</f>
        <v/>
      </c>
      <c r="T26" s="379">
        <f>SUM(T23:T25)</f>
        <v/>
      </c>
      <c r="U26" s="379">
        <f>SUM(U23:U25)</f>
        <v/>
      </c>
      <c r="V26" s="379">
        <f>SUM(V23:V25)</f>
        <v/>
      </c>
      <c r="W26" s="379">
        <f>SUM(W23:W25)</f>
        <v/>
      </c>
      <c r="X26" s="379">
        <f>SUM(X23:X25)</f>
        <v/>
      </c>
      <c r="Y26" s="379">
        <f>SUM(Y23:Y25)</f>
        <v/>
      </c>
      <c r="Z26" s="379">
        <f>SUM(Z23:Z25)</f>
        <v/>
      </c>
      <c r="AA26" s="379">
        <f>SUM(AA23:AA25)</f>
        <v/>
      </c>
      <c r="AB26" s="379">
        <f>SUM(AB23:AB25)</f>
        <v/>
      </c>
      <c r="AC26" s="379">
        <f>SUM(AC23:AC25)</f>
        <v/>
      </c>
      <c r="AD26" s="379">
        <f>SUM(AD23:AD25)</f>
        <v/>
      </c>
      <c r="AE26" s="379">
        <f>SUM(AE23:AE25)</f>
        <v/>
      </c>
      <c r="AF26" s="379">
        <f>SUM(AF23:AF25)</f>
        <v/>
      </c>
      <c r="AG26" s="379">
        <f>SUM(AG23:AG25)</f>
        <v/>
      </c>
      <c r="AH26" s="379">
        <f>SUM(AH23:AH25)</f>
        <v/>
      </c>
      <c r="AI26" s="379">
        <f>SUM(AI23:AI25)</f>
        <v/>
      </c>
      <c r="AJ26" s="379">
        <f>SUM(AJ23:AJ25)</f>
        <v/>
      </c>
      <c r="AK26" s="379">
        <f>SUM(AK23:AK25)</f>
        <v/>
      </c>
      <c r="AL26" s="379">
        <f>SUM(AL23:AL25)</f>
        <v/>
      </c>
      <c r="AM26" s="379">
        <f>SUM(AM23:AM25)</f>
        <v/>
      </c>
      <c r="AN26" s="379">
        <f>SUM(AN23:AN25)</f>
        <v/>
      </c>
      <c r="AO26" s="381">
        <f>IF(F26=0,"",K26/(F26/((YEAR(E23)*12+MONTH(E23))-(YEAR(D23)*12+MONTH(D23))+1)))</f>
        <v/>
      </c>
      <c r="AP26" s="379">
        <f>G26</f>
        <v/>
      </c>
      <c r="AQ26" s="382">
        <f>G26/F26</f>
        <v/>
      </c>
      <c r="AR26" s="418">
        <f>F26-G26</f>
        <v/>
      </c>
      <c r="AS26" s="379">
        <f>SUM(AS23:AS25)</f>
        <v/>
      </c>
      <c r="AT26" s="379">
        <f>SUM(AT23:AT25)</f>
        <v/>
      </c>
      <c r="AU26" s="379">
        <f>SUM(K26+O26+S26+W26+AA26+AE26+AI26+AM26+AN26)</f>
        <v/>
      </c>
      <c r="AV26" s="383">
        <f>AV23</f>
        <v/>
      </c>
      <c r="AW26" s="381">
        <f>AS26/AV23</f>
        <v/>
      </c>
      <c r="AX26" s="773">
        <f>AV23-AS26</f>
        <v/>
      </c>
      <c r="AY26" s="383">
        <f>AY23</f>
        <v/>
      </c>
      <c r="AZ26" s="381">
        <f>AZ23</f>
        <v/>
      </c>
      <c r="BA26" s="773">
        <f>BA23</f>
        <v/>
      </c>
      <c r="BB26" s="418">
        <f>AX26+BA26</f>
        <v/>
      </c>
      <c r="BC26" s="713" t="n"/>
      <c r="BD26" s="713" t="n"/>
      <c r="BE26" s="713" t="n"/>
      <c r="BF26" s="713" t="n"/>
      <c r="BG26" s="713" t="n"/>
      <c r="BH26" s="713" t="n"/>
      <c r="BI26" s="713" t="n"/>
      <c r="BJ26" s="713" t="n"/>
      <c r="BK26" s="713" t="n"/>
      <c r="BL26" s="713" t="n"/>
      <c r="BM26" s="713" t="n"/>
      <c r="BN26" s="713" t="n"/>
      <c r="BO26" s="713" t="n"/>
      <c r="BP26" s="713" t="n"/>
      <c r="BQ26" s="713" t="n"/>
      <c r="BR26" s="713" t="n"/>
      <c r="BS26" s="713" t="n"/>
      <c r="BT26" s="713" t="n"/>
      <c r="BU26" s="713" t="n"/>
      <c r="BV26" s="713" t="n"/>
      <c r="BW26" s="713" t="n"/>
    </row>
    <row r="27" outlineLevel="1" ht="14.25" customFormat="1" customHeight="1" s="483">
      <c r="A27" s="729" t="inlineStr">
        <is>
          <t>理财师009</t>
        </is>
      </c>
      <c r="B27" s="729" t="inlineStr">
        <is>
          <t>理财师009</t>
        </is>
      </c>
      <c r="C27" s="729" t="inlineStr">
        <is>
          <t>私人财富管理专家PWA4-3</t>
        </is>
      </c>
      <c r="D27" s="730" t="n">
        <v>46204</v>
      </c>
      <c r="E27" s="730" t="n">
        <v>46387</v>
      </c>
      <c r="F27" s="363" t="n">
        <v>32232.2</v>
      </c>
      <c r="G27" s="363" t="n">
        <v>6562.00147</v>
      </c>
      <c r="H27" s="363" t="n">
        <v>133.555968</v>
      </c>
      <c r="I27" s="363" t="n">
        <v>0</v>
      </c>
      <c r="J27" s="363" t="n">
        <v>0</v>
      </c>
      <c r="K27" s="363">
        <f>SUM(H27:J27)</f>
        <v/>
      </c>
      <c r="L27" s="363" t="n">
        <v>49.686</v>
      </c>
      <c r="M27" s="363" t="n">
        <v>0</v>
      </c>
      <c r="N27" s="363" t="n">
        <v>563.680939</v>
      </c>
      <c r="O27" s="363">
        <f>SUM(L27:N27)</f>
        <v/>
      </c>
      <c r="P27" s="363" t="n">
        <v>4914.146369</v>
      </c>
      <c r="Q27" s="363" t="n">
        <v>0</v>
      </c>
      <c r="R27" s="363" t="n">
        <v>900.932194</v>
      </c>
      <c r="S27" s="363">
        <f>SUM(P27:R27)</f>
        <v/>
      </c>
      <c r="T27" s="363" t="n">
        <v>2106.18954</v>
      </c>
      <c r="U27" s="363" t="n">
        <v>2057.0004</v>
      </c>
      <c r="V27" s="363" t="n">
        <v>965.0387030000001</v>
      </c>
      <c r="W27" s="363">
        <f>SUM(T27:V27)</f>
        <v/>
      </c>
      <c r="X27" s="363" t="n">
        <v>536.6088</v>
      </c>
      <c r="Y27" s="363" t="n">
        <v>0</v>
      </c>
      <c r="Z27" s="363" t="n">
        <v>722.01536</v>
      </c>
      <c r="AA27" s="363">
        <f>SUM(X27:Z27)</f>
        <v/>
      </c>
      <c r="AB27" s="363" t="n">
        <v>1351.820914</v>
      </c>
      <c r="AC27" s="363" t="n">
        <v>20570.004</v>
      </c>
      <c r="AD27" s="363" t="n">
        <v>668.034433</v>
      </c>
      <c r="AE27" s="363">
        <f>SUM(AB27:AD27)</f>
        <v/>
      </c>
      <c r="AF27" s="363" t="n">
        <v>3314.503374</v>
      </c>
      <c r="AG27" s="363" t="n">
        <v>0</v>
      </c>
      <c r="AH27" s="363" t="n">
        <v>713.569709</v>
      </c>
      <c r="AI27" s="363">
        <f>SUM(AF27:AH27)</f>
        <v/>
      </c>
      <c r="AJ27" s="363" t="n">
        <v>4769.379014</v>
      </c>
      <c r="AK27" s="363" t="n">
        <v>0</v>
      </c>
      <c r="AL27" s="363" t="n">
        <v>228.136442</v>
      </c>
      <c r="AM27" s="363">
        <f>SUM(AJ27:AL27)</f>
        <v/>
      </c>
      <c r="AN27" s="363" t="n">
        <v>1069.968142</v>
      </c>
      <c r="AO27" s="364">
        <f>IF(F27=0,"",K27/(F27/((YEAR(E27)*12+MONTH(E27))-(YEAR(D27)*12+MONTH(D27))+1)))</f>
        <v/>
      </c>
      <c r="AP27" s="409">
        <f>G27</f>
        <v/>
      </c>
      <c r="AQ27" s="364">
        <f>G27/F27</f>
        <v/>
      </c>
      <c r="AR27" s="759">
        <f>F27-G27</f>
        <v/>
      </c>
      <c r="AS27" s="409">
        <f>W27+AA27+AE27+AI27+AM27+AN27</f>
        <v/>
      </c>
      <c r="AT27" s="409">
        <f>K27+O27+S27</f>
        <v/>
      </c>
      <c r="AU27" s="363">
        <f>SUM(K27+O27+S27+W27+AA27+AE27+AI27+AM27+AN27)</f>
        <v/>
      </c>
      <c r="AV27" s="366">
        <f>SUM(F27:F28)</f>
        <v/>
      </c>
      <c r="AW27" s="367">
        <f>AW29</f>
        <v/>
      </c>
      <c r="AX27" s="760">
        <f>AX29</f>
        <v/>
      </c>
      <c r="AY27" s="366" t="n">
        <v>52361.4</v>
      </c>
      <c r="AZ27" s="367">
        <f>IF(AY27=0,"",AT29/AY27)</f>
        <v/>
      </c>
      <c r="BA27" s="760">
        <f>AY27-AT29</f>
        <v/>
      </c>
      <c r="BB27" s="761" t="n"/>
      <c r="BC27" s="706" t="n"/>
      <c r="BD27" s="706" t="n"/>
      <c r="BE27" s="706" t="n"/>
      <c r="BF27" s="706" t="n"/>
      <c r="BG27" s="706" t="n"/>
      <c r="BH27" s="706" t="n"/>
      <c r="BI27" s="706" t="n"/>
      <c r="BJ27" s="706" t="n"/>
      <c r="BK27" s="706" t="n"/>
      <c r="BL27" s="706" t="n"/>
      <c r="BM27" s="706" t="n"/>
      <c r="BN27" s="706" t="n"/>
      <c r="BO27" s="706" t="n"/>
      <c r="BP27" s="706" t="n"/>
      <c r="BQ27" s="706" t="n"/>
      <c r="BR27" s="706" t="n"/>
      <c r="BS27" s="706" t="n"/>
      <c r="BT27" s="706" t="n"/>
      <c r="BU27" s="706" t="n"/>
      <c r="BV27" s="706" t="n"/>
      <c r="BW27" s="706" t="n"/>
    </row>
    <row r="28" outlineLevel="1" ht="14.25" customFormat="1" customHeight="1" s="483">
      <c r="A28" s="737" t="n"/>
      <c r="B28" s="762" t="inlineStr">
        <is>
          <t>理财师010</t>
        </is>
      </c>
      <c r="C28" s="762" t="inlineStr">
        <is>
          <t>私人财富管理资深顾问PWA2-4</t>
        </is>
      </c>
      <c r="D28" s="763" t="n">
        <v>46204</v>
      </c>
      <c r="E28" s="763" t="n">
        <v>46387</v>
      </c>
      <c r="F28" s="764" t="n">
        <v>11764.72</v>
      </c>
      <c r="G28" s="764" t="n">
        <v>7486.448807</v>
      </c>
      <c r="H28" s="764" t="n">
        <v>0</v>
      </c>
      <c r="I28" s="764" t="n">
        <v>0</v>
      </c>
      <c r="J28" s="764" t="n">
        <v>0</v>
      </c>
      <c r="K28" s="764">
        <f>SUM(H28:J28)</f>
        <v/>
      </c>
      <c r="L28" s="764" t="n">
        <v>3852.457455</v>
      </c>
      <c r="M28" s="764" t="n">
        <v>0</v>
      </c>
      <c r="N28" s="764" t="n">
        <v>333.743594</v>
      </c>
      <c r="O28" s="764">
        <f>SUM(L28:N28)</f>
        <v/>
      </c>
      <c r="P28" s="764" t="n">
        <v>307.915125</v>
      </c>
      <c r="Q28" s="764" t="n">
        <v>2729.2122</v>
      </c>
      <c r="R28" s="764" t="n">
        <v>263.120434</v>
      </c>
      <c r="S28" s="764">
        <f>SUM(P28:R28)</f>
        <v/>
      </c>
      <c r="T28" s="764" t="n">
        <v>520.393558</v>
      </c>
      <c r="U28" s="764" t="n">
        <v>1637.52732</v>
      </c>
      <c r="V28" s="764" t="n">
        <v>313.987131</v>
      </c>
      <c r="W28" s="764">
        <f>SUM(T28:V28)</f>
        <v/>
      </c>
      <c r="X28" s="764" t="n">
        <v>994.77807</v>
      </c>
      <c r="Y28" s="764" t="n">
        <v>0</v>
      </c>
      <c r="Z28" s="764" t="n">
        <v>196.239668</v>
      </c>
      <c r="AA28" s="764">
        <f>SUM(X28:Z28)</f>
        <v/>
      </c>
      <c r="AB28" s="764" t="n">
        <v>949.2912</v>
      </c>
      <c r="AC28" s="764" t="n">
        <v>0</v>
      </c>
      <c r="AD28" s="764" t="n">
        <v>144.291309</v>
      </c>
      <c r="AE28" s="764">
        <f>SUM(AB28:AD28)</f>
        <v/>
      </c>
      <c r="AF28" s="764" t="n">
        <v>2158.292651</v>
      </c>
      <c r="AG28" s="764" t="n">
        <v>8187.6366</v>
      </c>
      <c r="AH28" s="764" t="n">
        <v>194.447373</v>
      </c>
      <c r="AI28" s="764">
        <f>SUM(AF28:AH28)</f>
        <v/>
      </c>
      <c r="AJ28" s="764" t="n">
        <v>474.6456</v>
      </c>
      <c r="AK28" s="764" t="n">
        <v>0</v>
      </c>
      <c r="AL28" s="764" t="n">
        <v>122.035472</v>
      </c>
      <c r="AM28" s="764">
        <f>SUM(AJ28:AL28)</f>
        <v/>
      </c>
      <c r="AN28" s="764" t="n">
        <v>1144.784607</v>
      </c>
      <c r="AO28" s="765">
        <f>IF(F28=0,"",K28/(F28/((YEAR(E28)*12+MONTH(E28))-(YEAR(D28)*12+MONTH(D28))+1)))</f>
        <v/>
      </c>
      <c r="AP28" s="412">
        <f>G28</f>
        <v/>
      </c>
      <c r="AQ28" s="765">
        <f>G28/F28</f>
        <v/>
      </c>
      <c r="AR28" s="766">
        <f>F28-G28</f>
        <v/>
      </c>
      <c r="AS28" s="767">
        <f>W28+AA28+AE28+AI28+AM28+AN28</f>
        <v/>
      </c>
      <c r="AT28" s="767">
        <f>K28+O28+S28</f>
        <v/>
      </c>
      <c r="AU28" s="764">
        <f>SUM(K28+O28+S28+W28+AA28+AE28+AI28+AM28+AN28)</f>
        <v/>
      </c>
      <c r="AV28" s="737" t="n"/>
      <c r="AW28" s="737" t="n"/>
      <c r="AX28" s="737" t="n"/>
      <c r="AY28" s="737" t="n"/>
      <c r="AZ28" s="737" t="n"/>
      <c r="BA28" s="737" t="n"/>
      <c r="BB28" s="768" t="n"/>
      <c r="BC28" s="769" t="n"/>
      <c r="BD28" s="769" t="n"/>
      <c r="BE28" s="769" t="n"/>
      <c r="BF28" s="769" t="n"/>
      <c r="BG28" s="769" t="n"/>
      <c r="BH28" s="769" t="n"/>
      <c r="BI28" s="769" t="n"/>
      <c r="BJ28" s="769" t="n"/>
      <c r="BK28" s="769" t="n"/>
      <c r="BL28" s="769" t="n"/>
      <c r="BM28" s="769" t="n"/>
      <c r="BN28" s="769" t="n"/>
      <c r="BO28" s="769" t="n"/>
      <c r="BP28" s="769" t="n"/>
      <c r="BQ28" s="769" t="n"/>
      <c r="BR28" s="769" t="n"/>
      <c r="BS28" s="769" t="n"/>
      <c r="BT28" s="769" t="n"/>
      <c r="BU28" s="769" t="n"/>
      <c r="BV28" s="769" t="n"/>
      <c r="BW28" s="769" t="n"/>
    </row>
    <row r="29" outlineLevel="1" ht="14.25" customFormat="1" customHeight="1" s="483">
      <c r="A29" s="738" t="inlineStr">
        <is>
          <t>合计</t>
        </is>
      </c>
      <c r="B29" s="739" t="n"/>
      <c r="C29" s="739" t="n"/>
      <c r="D29" s="739" t="n"/>
      <c r="E29" s="740" t="n"/>
      <c r="F29" s="379">
        <f>SUM(F27:F28)</f>
        <v/>
      </c>
      <c r="G29" s="379">
        <f>SUM(G27:G28)</f>
        <v/>
      </c>
      <c r="H29" s="379">
        <f>SUM(H27:H28)</f>
        <v/>
      </c>
      <c r="I29" s="379">
        <f>SUM(I27:I28)</f>
        <v/>
      </c>
      <c r="J29" s="379">
        <f>SUM(J27:J28)</f>
        <v/>
      </c>
      <c r="K29" s="379">
        <f>SUM(K27:K28)</f>
        <v/>
      </c>
      <c r="L29" s="379">
        <f>SUM(L27:L28)</f>
        <v/>
      </c>
      <c r="M29" s="379">
        <f>SUM(M27:M28)</f>
        <v/>
      </c>
      <c r="N29" s="379">
        <f>SUM(N27:N28)</f>
        <v/>
      </c>
      <c r="O29" s="379">
        <f>SUM(O27:O28)</f>
        <v/>
      </c>
      <c r="P29" s="379">
        <f>SUM(P27:P28)</f>
        <v/>
      </c>
      <c r="Q29" s="379">
        <f>SUM(Q27:Q28)</f>
        <v/>
      </c>
      <c r="R29" s="379">
        <f>SUM(R27:R28)</f>
        <v/>
      </c>
      <c r="S29" s="379">
        <f>SUM(S27:S28)</f>
        <v/>
      </c>
      <c r="T29" s="379">
        <f>SUM(T27:T28)</f>
        <v/>
      </c>
      <c r="U29" s="379">
        <f>SUM(U27:U28)</f>
        <v/>
      </c>
      <c r="V29" s="379">
        <f>SUM(V27:V28)</f>
        <v/>
      </c>
      <c r="W29" s="379">
        <f>SUM(W27:W28)</f>
        <v/>
      </c>
      <c r="X29" s="379">
        <f>SUM(X27:X28)</f>
        <v/>
      </c>
      <c r="Y29" s="379">
        <f>SUM(Y27:Y28)</f>
        <v/>
      </c>
      <c r="Z29" s="379">
        <f>SUM(Z27:Z28)</f>
        <v/>
      </c>
      <c r="AA29" s="379">
        <f>SUM(AA27:AA28)</f>
        <v/>
      </c>
      <c r="AB29" s="379">
        <f>SUM(AB27:AB28)</f>
        <v/>
      </c>
      <c r="AC29" s="379">
        <f>SUM(AC27:AC28)</f>
        <v/>
      </c>
      <c r="AD29" s="379">
        <f>SUM(AD27:AD28)</f>
        <v/>
      </c>
      <c r="AE29" s="379">
        <f>SUM(AE27:AE28)</f>
        <v/>
      </c>
      <c r="AF29" s="379">
        <f>SUM(AF27:AF28)</f>
        <v/>
      </c>
      <c r="AG29" s="379">
        <f>SUM(AG27:AG28)</f>
        <v/>
      </c>
      <c r="AH29" s="379">
        <f>SUM(AH27:AH28)</f>
        <v/>
      </c>
      <c r="AI29" s="379">
        <f>SUM(AI27:AI28)</f>
        <v/>
      </c>
      <c r="AJ29" s="379">
        <f>SUM(AJ27:AJ28)</f>
        <v/>
      </c>
      <c r="AK29" s="379">
        <f>SUM(AK27:AK28)</f>
        <v/>
      </c>
      <c r="AL29" s="379">
        <f>SUM(AL27:AL28)</f>
        <v/>
      </c>
      <c r="AM29" s="379">
        <f>SUM(AM27:AM28)</f>
        <v/>
      </c>
      <c r="AN29" s="379">
        <f>SUM(AN27:AN28)</f>
        <v/>
      </c>
      <c r="AO29" s="381">
        <f>IF(F29=0,"",K29/(F29/((YEAR(E27)*12+MONTH(E27))-(YEAR(D27)*12+MONTH(D27))+1)))</f>
        <v/>
      </c>
      <c r="AP29" s="379">
        <f>G29</f>
        <v/>
      </c>
      <c r="AQ29" s="382">
        <f>G29/F29</f>
        <v/>
      </c>
      <c r="AR29" s="418">
        <f>F29-G29</f>
        <v/>
      </c>
      <c r="AS29" s="379">
        <f>SUM(AS27:AS28)</f>
        <v/>
      </c>
      <c r="AT29" s="379">
        <f>SUM(AT27:AT28)</f>
        <v/>
      </c>
      <c r="AU29" s="379">
        <f>SUM(K29+O29+S29+W29+AA29+AE29+AI29+AM29+AN29)</f>
        <v/>
      </c>
      <c r="AV29" s="383">
        <f>AV27</f>
        <v/>
      </c>
      <c r="AW29" s="381">
        <f>AS29/AV27</f>
        <v/>
      </c>
      <c r="AX29" s="773">
        <f>AV27-AS29</f>
        <v/>
      </c>
      <c r="AY29" s="383">
        <f>AY27</f>
        <v/>
      </c>
      <c r="AZ29" s="381">
        <f>AZ27</f>
        <v/>
      </c>
      <c r="BA29" s="773">
        <f>BA27</f>
        <v/>
      </c>
      <c r="BB29" s="418">
        <f>AX29+BA29</f>
        <v/>
      </c>
      <c r="BC29" s="713" t="n"/>
      <c r="BD29" s="713" t="n"/>
      <c r="BE29" s="713" t="n"/>
      <c r="BF29" s="713" t="n"/>
      <c r="BG29" s="713" t="n"/>
      <c r="BH29" s="713" t="n"/>
      <c r="BI29" s="713" t="n"/>
      <c r="BJ29" s="713" t="n"/>
      <c r="BK29" s="713" t="n"/>
      <c r="BL29" s="713" t="n"/>
      <c r="BM29" s="713" t="n"/>
      <c r="BN29" s="713" t="n"/>
      <c r="BO29" s="713" t="n"/>
      <c r="BP29" s="713" t="n"/>
      <c r="BQ29" s="713" t="n"/>
      <c r="BR29" s="713" t="n"/>
      <c r="BS29" s="713" t="n"/>
      <c r="BT29" s="713" t="n"/>
      <c r="BU29" s="713" t="n"/>
      <c r="BV29" s="713" t="n"/>
      <c r="BW29" s="713" t="n"/>
    </row>
    <row r="30" outlineLevel="1" ht="14.25" customFormat="1" customHeight="1" s="483">
      <c r="A30" s="729" t="inlineStr">
        <is>
          <t>理财师020</t>
        </is>
      </c>
      <c r="B30" s="729" t="inlineStr">
        <is>
          <t>理财师032</t>
        </is>
      </c>
      <c r="C30" s="729" t="inlineStr">
        <is>
          <t>私人财富管理资深顾问PWA2-3</t>
        </is>
      </c>
      <c r="D30" s="730" t="n">
        <v>46230</v>
      </c>
      <c r="E30" s="730" t="n">
        <v>46387</v>
      </c>
      <c r="F30" s="363" t="n">
        <v>10476.7178</v>
      </c>
      <c r="G30" s="363" t="n">
        <v>2205.39174</v>
      </c>
      <c r="H30" s="363" t="n">
        <v>0</v>
      </c>
      <c r="I30" s="363" t="n">
        <v>0</v>
      </c>
      <c r="J30" s="363" t="n">
        <v>0</v>
      </c>
      <c r="K30" s="363">
        <f>SUM(H30:J30)</f>
        <v/>
      </c>
      <c r="L30" s="363" t="n">
        <v>1522.301508</v>
      </c>
      <c r="M30" s="363" t="n">
        <v>0</v>
      </c>
      <c r="N30" s="363" t="n">
        <v>310.506243</v>
      </c>
      <c r="O30" s="363">
        <f>SUM(L30:N30)</f>
        <v/>
      </c>
      <c r="P30" s="363" t="n">
        <v>1882.098428</v>
      </c>
      <c r="Q30" s="363" t="n">
        <v>0</v>
      </c>
      <c r="R30" s="363" t="n">
        <v>192.631102</v>
      </c>
      <c r="S30" s="363">
        <f>SUM(P30:R30)</f>
        <v/>
      </c>
      <c r="T30" s="363" t="n">
        <v>2009.44</v>
      </c>
      <c r="U30" s="363" t="n">
        <v>646.53732</v>
      </c>
      <c r="V30" s="363" t="n">
        <v>224.30146</v>
      </c>
      <c r="W30" s="363">
        <f>SUM(T30:V30)</f>
        <v/>
      </c>
      <c r="X30" s="363" t="n">
        <v>1610.465688</v>
      </c>
      <c r="Y30" s="363" t="n">
        <v>110.192882</v>
      </c>
      <c r="Z30" s="363" t="n">
        <v>64.69</v>
      </c>
      <c r="AA30" s="363">
        <f>SUM(X30:Z30)</f>
        <v/>
      </c>
      <c r="AB30" s="363" t="n">
        <v>1083.439812</v>
      </c>
      <c r="AC30" s="363" t="n">
        <v>0</v>
      </c>
      <c r="AD30" s="363" t="n">
        <v>14.205807</v>
      </c>
      <c r="AE30" s="363">
        <f>SUM(AB30:AD30)</f>
        <v/>
      </c>
      <c r="AF30" s="363" t="n">
        <v>0</v>
      </c>
      <c r="AG30" s="363" t="n">
        <v>342.296351</v>
      </c>
      <c r="AH30" s="363" t="n">
        <v>26.611569</v>
      </c>
      <c r="AI30" s="363">
        <f>SUM(AF30:AH30)</f>
        <v/>
      </c>
      <c r="AJ30" s="363" t="n">
        <v>440.8209</v>
      </c>
      <c r="AK30" s="363" t="n">
        <v>0</v>
      </c>
      <c r="AL30" s="363" t="n">
        <v>5.151776</v>
      </c>
      <c r="AM30" s="363">
        <f>SUM(AJ30:AL30)</f>
        <v/>
      </c>
      <c r="AN30" s="363" t="n">
        <v>1181.201818</v>
      </c>
      <c r="AO30" s="364">
        <f>IF(F30=0,"",K30/(F30/((YEAR(E30)*12+MONTH(E30))-(YEAR(D30)*12+MONTH(D30))+1)))</f>
        <v/>
      </c>
      <c r="AP30" s="409">
        <f>G30</f>
        <v/>
      </c>
      <c r="AQ30" s="364">
        <f>G30/F30</f>
        <v/>
      </c>
      <c r="AR30" s="759">
        <f>F30-G30</f>
        <v/>
      </c>
      <c r="AS30" s="409">
        <f>W30+AA30+AE30+AI30+AM30+AN30</f>
        <v/>
      </c>
      <c r="AT30" s="409">
        <f>K30+O30+S30</f>
        <v/>
      </c>
      <c r="AU30" s="363">
        <f>SUM(K30+O30+S30+W30+AA30+AE30+AI30+AM30+AN30)</f>
        <v/>
      </c>
      <c r="AV30" s="366">
        <f>SUM(F30:F32)</f>
        <v/>
      </c>
      <c r="AW30" s="367">
        <f>AW33</f>
        <v/>
      </c>
      <c r="AX30" s="760">
        <f>AX33</f>
        <v/>
      </c>
      <c r="AY30" s="366" t="n">
        <v>54506.06</v>
      </c>
      <c r="AZ30" s="367">
        <f>IF(AY30=0,"",AT33/AY30)</f>
        <v/>
      </c>
      <c r="BA30" s="760">
        <f>AY30-AT33</f>
        <v/>
      </c>
      <c r="BB30" s="761" t="n"/>
      <c r="BC30" s="706" t="n"/>
      <c r="BD30" s="706" t="n"/>
      <c r="BE30" s="706" t="n"/>
      <c r="BF30" s="706" t="n"/>
      <c r="BG30" s="706" t="n"/>
      <c r="BH30" s="706" t="n"/>
      <c r="BI30" s="706" t="n"/>
      <c r="BJ30" s="706" t="n"/>
      <c r="BK30" s="706" t="n"/>
      <c r="BL30" s="706" t="n"/>
      <c r="BM30" s="706" t="n"/>
      <c r="BN30" s="706" t="n"/>
      <c r="BO30" s="706" t="n"/>
      <c r="BP30" s="706" t="n"/>
      <c r="BQ30" s="706" t="n"/>
      <c r="BR30" s="706" t="n"/>
      <c r="BS30" s="706" t="n"/>
      <c r="BT30" s="706" t="n"/>
      <c r="BU30" s="706" t="n"/>
      <c r="BV30" s="706" t="n"/>
      <c r="BW30" s="706" t="n"/>
    </row>
    <row r="31" outlineLevel="1" ht="14.25" customFormat="1" customHeight="1" s="483">
      <c r="A31" s="733" t="n"/>
      <c r="B31" s="762" t="inlineStr">
        <is>
          <t>理财师020</t>
        </is>
      </c>
      <c r="C31" s="762" t="inlineStr">
        <is>
          <t>首席私人财富管理专家PWA5-1</t>
        </is>
      </c>
      <c r="D31" s="763" t="n">
        <v>46204</v>
      </c>
      <c r="E31" s="763" t="n">
        <v>46387</v>
      </c>
      <c r="F31" s="764" t="n">
        <v>42178.5</v>
      </c>
      <c r="G31" s="764" t="n">
        <v>7029.484385</v>
      </c>
      <c r="H31" s="764" t="n">
        <v>1005.77646</v>
      </c>
      <c r="I31" s="764" t="n">
        <v>0</v>
      </c>
      <c r="J31" s="764" t="n">
        <v>0</v>
      </c>
      <c r="K31" s="764">
        <f>SUM(H31:J31)</f>
        <v/>
      </c>
      <c r="L31" s="764" t="n">
        <v>789.58152</v>
      </c>
      <c r="M31" s="764" t="n">
        <v>0</v>
      </c>
      <c r="N31" s="764" t="n">
        <v>430.082664</v>
      </c>
      <c r="O31" s="764">
        <f>SUM(L31:N31)</f>
        <v/>
      </c>
      <c r="P31" s="764" t="n">
        <v>1888.180808</v>
      </c>
      <c r="Q31" s="764" t="n">
        <v>2400.703812</v>
      </c>
      <c r="R31" s="764" t="n">
        <v>515.159121</v>
      </c>
      <c r="S31" s="764">
        <f>SUM(P31:R31)</f>
        <v/>
      </c>
      <c r="T31" s="764" t="n">
        <v>7288.783433</v>
      </c>
      <c r="U31" s="764" t="n">
        <v>601.58592</v>
      </c>
      <c r="V31" s="764" t="n">
        <v>529.921185</v>
      </c>
      <c r="W31" s="764">
        <f>SUM(T31:V31)</f>
        <v/>
      </c>
      <c r="X31" s="764" t="n">
        <v>8333.122670999999</v>
      </c>
      <c r="Y31" s="764" t="n">
        <v>0</v>
      </c>
      <c r="Z31" s="764" t="n">
        <v>344.832994</v>
      </c>
      <c r="AA31" s="764">
        <f>SUM(X31:Z31)</f>
        <v/>
      </c>
      <c r="AB31" s="764" t="n">
        <v>1757.399138</v>
      </c>
      <c r="AC31" s="764" t="n">
        <v>3101.9274</v>
      </c>
      <c r="AD31" s="764" t="n">
        <v>351.050214</v>
      </c>
      <c r="AE31" s="764">
        <f>SUM(AB31:AD31)</f>
        <v/>
      </c>
      <c r="AF31" s="764" t="n">
        <v>10803.329409</v>
      </c>
      <c r="AG31" s="764" t="n">
        <v>0</v>
      </c>
      <c r="AH31" s="764" t="n">
        <v>482.924828</v>
      </c>
      <c r="AI31" s="764">
        <f>SUM(AF31:AH31)</f>
        <v/>
      </c>
      <c r="AJ31" s="764" t="n">
        <v>6594.535422</v>
      </c>
      <c r="AK31" s="764" t="n">
        <v>0</v>
      </c>
      <c r="AL31" s="764" t="n">
        <v>298.548906</v>
      </c>
      <c r="AM31" s="764">
        <f>SUM(AJ31:AL31)</f>
        <v/>
      </c>
      <c r="AN31" s="764" t="n">
        <v>9248.294954999999</v>
      </c>
      <c r="AO31" s="765">
        <f>IF(F31=0,"",K31/(F31/((YEAR(E31)*12+MONTH(E31))-(YEAR(D31)*12+MONTH(D31))+1)))</f>
        <v/>
      </c>
      <c r="AP31" s="412">
        <f>G31</f>
        <v/>
      </c>
      <c r="AQ31" s="765">
        <f>G31/F31</f>
        <v/>
      </c>
      <c r="AR31" s="766">
        <f>F31-G31</f>
        <v/>
      </c>
      <c r="AS31" s="767">
        <f>W31+AA31+AE31+AI31+AM31+AN31</f>
        <v/>
      </c>
      <c r="AT31" s="767">
        <f>K31+O31+S31</f>
        <v/>
      </c>
      <c r="AU31" s="764">
        <f>SUM(K31+O31+S31+W31+AA31+AE31+AI31+AM31+AN31)</f>
        <v/>
      </c>
      <c r="AV31" s="733" t="n"/>
      <c r="AW31" s="733" t="n"/>
      <c r="AX31" s="733" t="n"/>
      <c r="AY31" s="733" t="n"/>
      <c r="AZ31" s="733" t="n"/>
      <c r="BA31" s="733" t="n"/>
      <c r="BB31" s="768" t="n"/>
      <c r="BC31" s="769" t="n"/>
      <c r="BD31" s="769" t="n"/>
      <c r="BE31" s="769" t="n"/>
      <c r="BF31" s="769" t="n"/>
      <c r="BG31" s="769" t="n"/>
      <c r="BH31" s="769" t="n"/>
      <c r="BI31" s="769" t="n"/>
      <c r="BJ31" s="769" t="n"/>
      <c r="BK31" s="769" t="n"/>
      <c r="BL31" s="769" t="n"/>
      <c r="BM31" s="769" t="n"/>
      <c r="BN31" s="769" t="n"/>
      <c r="BO31" s="769" t="n"/>
      <c r="BP31" s="769" t="n"/>
      <c r="BQ31" s="769" t="n"/>
      <c r="BR31" s="769" t="n"/>
      <c r="BS31" s="769" t="n"/>
      <c r="BT31" s="769" t="n"/>
      <c r="BU31" s="769" t="n"/>
      <c r="BV31" s="769" t="n"/>
      <c r="BW31" s="769" t="n"/>
    </row>
    <row r="32" outlineLevel="1" ht="14.25" customFormat="1" customHeight="1" s="483">
      <c r="A32" s="737" t="n"/>
      <c r="B32" s="762" t="inlineStr">
        <is>
          <t>理财师034</t>
        </is>
      </c>
      <c r="C32" s="762" t="inlineStr">
        <is>
          <t>私人财富管理顾问PWA1-1</t>
        </is>
      </c>
      <c r="D32" s="763" t="n">
        <v>46281</v>
      </c>
      <c r="E32" s="763" t="n">
        <v>46433</v>
      </c>
      <c r="F32" s="764" t="n">
        <v>7378.13</v>
      </c>
      <c r="G32" s="764" t="n">
        <v>0</v>
      </c>
      <c r="H32" s="764" t="n">
        <v>0</v>
      </c>
      <c r="I32" s="764" t="n">
        <v>0</v>
      </c>
      <c r="J32" s="764" t="n">
        <v>0</v>
      </c>
      <c r="K32" s="764">
        <f>SUM(H32:J32)</f>
        <v/>
      </c>
      <c r="L32" s="764" t="n">
        <v>195.45084</v>
      </c>
      <c r="M32" s="764" t="n">
        <v>0</v>
      </c>
      <c r="N32" s="764" t="n">
        <v>9.294268000000001</v>
      </c>
      <c r="O32" s="764">
        <f>SUM(L32:N32)</f>
        <v/>
      </c>
      <c r="P32" s="764" t="n">
        <v>238.88436</v>
      </c>
      <c r="Q32" s="764" t="n">
        <v>0</v>
      </c>
      <c r="R32" s="764" t="n">
        <v>1.73594</v>
      </c>
      <c r="S32" s="764">
        <f>SUM(P32:R32)</f>
        <v/>
      </c>
      <c r="T32" s="764" t="n">
        <v>0</v>
      </c>
      <c r="U32" s="764" t="n">
        <v>0</v>
      </c>
      <c r="V32" s="764" t="n">
        <v>0</v>
      </c>
      <c r="W32" s="764">
        <f>SUM(T32:V32)</f>
        <v/>
      </c>
      <c r="X32" s="764" t="n">
        <v>0</v>
      </c>
      <c r="Y32" s="764" t="n">
        <v>0</v>
      </c>
      <c r="Z32" s="764" t="n">
        <v>0</v>
      </c>
      <c r="AA32" s="764">
        <f>SUM(X32:Z32)</f>
        <v/>
      </c>
      <c r="AB32" s="764" t="n">
        <v>0</v>
      </c>
      <c r="AC32" s="764" t="n">
        <v>0</v>
      </c>
      <c r="AD32" s="764" t="n">
        <v>0</v>
      </c>
      <c r="AE32" s="764">
        <f>SUM(AB32:AD32)</f>
        <v/>
      </c>
      <c r="AF32" s="764" t="n">
        <v>0</v>
      </c>
      <c r="AG32" s="764" t="n">
        <v>0</v>
      </c>
      <c r="AH32" s="764" t="n">
        <v>0</v>
      </c>
      <c r="AI32" s="764">
        <f>SUM(AF32:AH32)</f>
        <v/>
      </c>
      <c r="AJ32" s="764" t="n">
        <v>0</v>
      </c>
      <c r="AK32" s="764" t="n">
        <v>0</v>
      </c>
      <c r="AL32" s="764" t="n">
        <v>0</v>
      </c>
      <c r="AM32" s="764">
        <f>SUM(AJ32:AL32)</f>
        <v/>
      </c>
      <c r="AN32" s="764" t="n">
        <v>0</v>
      </c>
      <c r="AO32" s="765">
        <f>IF(F32=0,"",K32/(F32/((YEAR(E32)*12+MONTH(E32))-(YEAR(D32)*12+MONTH(D32))+1)))</f>
        <v/>
      </c>
      <c r="AP32" s="412">
        <f>G32</f>
        <v/>
      </c>
      <c r="AQ32" s="765">
        <f>G32/F32</f>
        <v/>
      </c>
      <c r="AR32" s="766">
        <f>F32-G32</f>
        <v/>
      </c>
      <c r="AS32" s="767">
        <f>W32+AA32+AE32+AI32+AM32+AN32</f>
        <v/>
      </c>
      <c r="AT32" s="767">
        <f>K32+O32+S32</f>
        <v/>
      </c>
      <c r="AU32" s="764">
        <f>SUM(K32+O32+S32+W32+AA32+AE32+AI32+AM32+AN32)</f>
        <v/>
      </c>
      <c r="AV32" s="737" t="n"/>
      <c r="AW32" s="737" t="n"/>
      <c r="AX32" s="737" t="n"/>
      <c r="AY32" s="737" t="n"/>
      <c r="AZ32" s="737" t="n"/>
      <c r="BA32" s="737" t="n"/>
      <c r="BB32" s="768" t="n"/>
      <c r="BC32" s="769" t="n"/>
      <c r="BD32" s="769" t="n"/>
      <c r="BE32" s="769" t="n"/>
      <c r="BF32" s="769" t="n"/>
      <c r="BG32" s="769" t="n"/>
      <c r="BH32" s="769" t="n"/>
      <c r="BI32" s="769" t="n"/>
      <c r="BJ32" s="769" t="n"/>
      <c r="BK32" s="769" t="n"/>
      <c r="BL32" s="769" t="n"/>
      <c r="BM32" s="769" t="n"/>
      <c r="BN32" s="769" t="n"/>
      <c r="BO32" s="769" t="n"/>
      <c r="BP32" s="769" t="n"/>
      <c r="BQ32" s="769" t="n"/>
      <c r="BR32" s="769" t="n"/>
      <c r="BS32" s="769" t="n"/>
      <c r="BT32" s="769" t="n"/>
      <c r="BU32" s="769" t="n"/>
      <c r="BV32" s="769" t="n"/>
      <c r="BW32" s="769" t="n"/>
    </row>
    <row r="33" outlineLevel="1" ht="14.25" customFormat="1" customHeight="1" s="483">
      <c r="A33" s="738" t="inlineStr">
        <is>
          <t>合计</t>
        </is>
      </c>
      <c r="B33" s="739" t="n"/>
      <c r="C33" s="739" t="n"/>
      <c r="D33" s="739" t="n"/>
      <c r="E33" s="740" t="n"/>
      <c r="F33" s="379">
        <f>SUM(F30:F32)</f>
        <v/>
      </c>
      <c r="G33" s="379">
        <f>SUM(G30:G32)</f>
        <v/>
      </c>
      <c r="H33" s="379">
        <f>SUM(H30:H32)</f>
        <v/>
      </c>
      <c r="I33" s="379">
        <f>SUM(I30:I32)</f>
        <v/>
      </c>
      <c r="J33" s="379">
        <f>SUM(J30:J32)</f>
        <v/>
      </c>
      <c r="K33" s="379">
        <f>SUM(K30:K32)</f>
        <v/>
      </c>
      <c r="L33" s="379">
        <f>SUM(L30:L32)</f>
        <v/>
      </c>
      <c r="M33" s="379">
        <f>SUM(M30:M32)</f>
        <v/>
      </c>
      <c r="N33" s="379">
        <f>SUM(N30:N32)</f>
        <v/>
      </c>
      <c r="O33" s="379">
        <f>SUM(O30:O32)</f>
        <v/>
      </c>
      <c r="P33" s="379">
        <f>SUM(P30:P32)</f>
        <v/>
      </c>
      <c r="Q33" s="379">
        <f>SUM(Q30:Q32)</f>
        <v/>
      </c>
      <c r="R33" s="379">
        <f>SUM(R30:R32)</f>
        <v/>
      </c>
      <c r="S33" s="379">
        <f>SUM(S30:S32)</f>
        <v/>
      </c>
      <c r="T33" s="379">
        <f>SUM(T30:T32)</f>
        <v/>
      </c>
      <c r="U33" s="379">
        <f>SUM(U30:U32)</f>
        <v/>
      </c>
      <c r="V33" s="379">
        <f>SUM(V30:V32)</f>
        <v/>
      </c>
      <c r="W33" s="379">
        <f>SUM(W30:W32)</f>
        <v/>
      </c>
      <c r="X33" s="379">
        <f>SUM(X30:X32)</f>
        <v/>
      </c>
      <c r="Y33" s="379">
        <f>SUM(Y30:Y32)</f>
        <v/>
      </c>
      <c r="Z33" s="379">
        <f>SUM(Z30:Z32)</f>
        <v/>
      </c>
      <c r="AA33" s="379">
        <f>SUM(AA30:AA32)</f>
        <v/>
      </c>
      <c r="AB33" s="379">
        <f>SUM(AB30:AB32)</f>
        <v/>
      </c>
      <c r="AC33" s="379">
        <f>SUM(AC30:AC32)</f>
        <v/>
      </c>
      <c r="AD33" s="379">
        <f>SUM(AD30:AD32)</f>
        <v/>
      </c>
      <c r="AE33" s="379">
        <f>SUM(AE30:AE32)</f>
        <v/>
      </c>
      <c r="AF33" s="379">
        <f>SUM(AF30:AF32)</f>
        <v/>
      </c>
      <c r="AG33" s="379">
        <f>SUM(AG30:AG32)</f>
        <v/>
      </c>
      <c r="AH33" s="379">
        <f>SUM(AH30:AH32)</f>
        <v/>
      </c>
      <c r="AI33" s="379">
        <f>SUM(AI30:AI32)</f>
        <v/>
      </c>
      <c r="AJ33" s="379">
        <f>SUM(AJ30:AJ32)</f>
        <v/>
      </c>
      <c r="AK33" s="379">
        <f>SUM(AK30:AK32)</f>
        <v/>
      </c>
      <c r="AL33" s="379">
        <f>SUM(AL30:AL32)</f>
        <v/>
      </c>
      <c r="AM33" s="379">
        <f>SUM(AM30:AM32)</f>
        <v/>
      </c>
      <c r="AN33" s="379">
        <f>SUM(AN30:AN32)</f>
        <v/>
      </c>
      <c r="AO33" s="381">
        <f>IF(F33=0,"",K33/(F33/((YEAR(E30)*12+MONTH(E30))-(YEAR(D30)*12+MONTH(D30))+1)))</f>
        <v/>
      </c>
      <c r="AP33" s="379">
        <f>G33</f>
        <v/>
      </c>
      <c r="AQ33" s="382">
        <f>G33/F33</f>
        <v/>
      </c>
      <c r="AR33" s="418">
        <f>F33-G33</f>
        <v/>
      </c>
      <c r="AS33" s="379">
        <f>SUM(AS30:AS32)</f>
        <v/>
      </c>
      <c r="AT33" s="379">
        <f>SUM(AT30:AT32)</f>
        <v/>
      </c>
      <c r="AU33" s="379">
        <f>SUM(K33+O33+S33+W33+AA33+AE33+AI33+AM33+AN33)</f>
        <v/>
      </c>
      <c r="AV33" s="383">
        <f>AV30</f>
        <v/>
      </c>
      <c r="AW33" s="381">
        <f>AS33/AV30</f>
        <v/>
      </c>
      <c r="AX33" s="773">
        <f>AV30-AS33</f>
        <v/>
      </c>
      <c r="AY33" s="383">
        <f>AY30</f>
        <v/>
      </c>
      <c r="AZ33" s="381">
        <f>AZ30</f>
        <v/>
      </c>
      <c r="BA33" s="773">
        <f>BA30</f>
        <v/>
      </c>
      <c r="BB33" s="418">
        <f>AX33+BA33</f>
        <v/>
      </c>
      <c r="BC33" s="713" t="n"/>
      <c r="BD33" s="713" t="n"/>
      <c r="BE33" s="713" t="n"/>
      <c r="BF33" s="713" t="n"/>
      <c r="BG33" s="713" t="n"/>
      <c r="BH33" s="713" t="n"/>
      <c r="BI33" s="713" t="n"/>
      <c r="BJ33" s="713" t="n"/>
      <c r="BK33" s="713" t="n"/>
      <c r="BL33" s="713" t="n"/>
      <c r="BM33" s="713" t="n"/>
      <c r="BN33" s="713" t="n"/>
      <c r="BO33" s="713" t="n"/>
      <c r="BP33" s="713" t="n"/>
      <c r="BQ33" s="713" t="n"/>
      <c r="BR33" s="713" t="n"/>
      <c r="BS33" s="713" t="n"/>
      <c r="BT33" s="713" t="n"/>
      <c r="BU33" s="713" t="n"/>
      <c r="BV33" s="713" t="n"/>
      <c r="BW33" s="713" t="n"/>
    </row>
    <row r="34" outlineLevel="1" ht="14.25" customFormat="1" customHeight="1" s="483">
      <c r="A34" s="729" t="inlineStr">
        <is>
          <t>理财师005</t>
        </is>
      </c>
      <c r="B34" s="729" t="inlineStr">
        <is>
          <t>理财师030</t>
        </is>
      </c>
      <c r="C34" s="729" t="inlineStr">
        <is>
          <t>私人财富管理顾问PWA1-1</t>
        </is>
      </c>
      <c r="D34" s="730" t="n">
        <v>46195</v>
      </c>
      <c r="E34" s="730" t="n">
        <v>46377</v>
      </c>
      <c r="F34" s="363" t="n">
        <v>7461.34</v>
      </c>
      <c r="G34" s="363" t="n">
        <v>176.672871</v>
      </c>
      <c r="H34" s="363" t="n">
        <v>0</v>
      </c>
      <c r="I34" s="363" t="n">
        <v>0</v>
      </c>
      <c r="J34" s="363" t="n">
        <v>0</v>
      </c>
      <c r="K34" s="363">
        <f>SUM(H34:J34)</f>
        <v/>
      </c>
      <c r="L34" s="363" t="n">
        <v>0</v>
      </c>
      <c r="M34" s="363" t="n">
        <v>0</v>
      </c>
      <c r="N34" s="363" t="n">
        <v>22.68613</v>
      </c>
      <c r="O34" s="363">
        <f>SUM(L34:N34)</f>
        <v/>
      </c>
      <c r="P34" s="363" t="n">
        <v>0</v>
      </c>
      <c r="Q34" s="363" t="n">
        <v>0</v>
      </c>
      <c r="R34" s="363" t="n">
        <v>15.372437</v>
      </c>
      <c r="S34" s="363">
        <f>SUM(P34:R34)</f>
        <v/>
      </c>
      <c r="T34" s="363" t="n">
        <v>247.0689</v>
      </c>
      <c r="U34" s="363" t="n">
        <v>0</v>
      </c>
      <c r="V34" s="363" t="n">
        <v>1.353804</v>
      </c>
      <c r="W34" s="363">
        <f>SUM(T34:V34)</f>
        <v/>
      </c>
      <c r="X34" s="363" t="n">
        <v>0</v>
      </c>
      <c r="Y34" s="363" t="n">
        <v>0</v>
      </c>
      <c r="Z34" s="363" t="n">
        <v>0</v>
      </c>
      <c r="AA34" s="363">
        <f>SUM(X34:Z34)</f>
        <v/>
      </c>
      <c r="AB34" s="363" t="n">
        <v>0</v>
      </c>
      <c r="AC34" s="363" t="n">
        <v>0</v>
      </c>
      <c r="AD34" s="363" t="n">
        <v>0</v>
      </c>
      <c r="AE34" s="363">
        <f>SUM(AB34:AD34)</f>
        <v/>
      </c>
      <c r="AF34" s="363" t="n">
        <v>0</v>
      </c>
      <c r="AG34" s="363" t="n">
        <v>0</v>
      </c>
      <c r="AH34" s="363" t="n">
        <v>0</v>
      </c>
      <c r="AI34" s="363">
        <f>SUM(AF34:AH34)</f>
        <v/>
      </c>
      <c r="AJ34" s="363" t="n">
        <v>0</v>
      </c>
      <c r="AK34" s="363" t="n">
        <v>0</v>
      </c>
      <c r="AL34" s="363" t="n">
        <v>0</v>
      </c>
      <c r="AM34" s="363">
        <f>SUM(AJ34:AL34)</f>
        <v/>
      </c>
      <c r="AN34" s="363" t="n">
        <v>0</v>
      </c>
      <c r="AO34" s="364">
        <f>IF(F34=0,"",K34/(F34/((YEAR(E34)*12+MONTH(E34))-(YEAR(D34)*12+MONTH(D34))+1)))</f>
        <v/>
      </c>
      <c r="AP34" s="409">
        <f>G34</f>
        <v/>
      </c>
      <c r="AQ34" s="364">
        <f>G34/F34</f>
        <v/>
      </c>
      <c r="AR34" s="759">
        <f>F34-G34</f>
        <v/>
      </c>
      <c r="AS34" s="409">
        <f>W34+AA34+AE34+AI34+AM34+AN34</f>
        <v/>
      </c>
      <c r="AT34" s="409">
        <f>K34+O34+S34</f>
        <v/>
      </c>
      <c r="AU34" s="363">
        <f>SUM(K34+O34+S34+W34+AA34+AE34+AI34+AM34+AN34)</f>
        <v/>
      </c>
      <c r="AV34" s="366">
        <f>SUM(F34:F36)</f>
        <v/>
      </c>
      <c r="AW34" s="367">
        <f>AW37</f>
        <v/>
      </c>
      <c r="AX34" s="760">
        <f>AX37</f>
        <v/>
      </c>
      <c r="AY34" s="366" t="n">
        <v>49273</v>
      </c>
      <c r="AZ34" s="367">
        <f>IF(AY34=0,"",AT37/AY34)</f>
        <v/>
      </c>
      <c r="BA34" s="760">
        <f>AY34-AT37</f>
        <v/>
      </c>
      <c r="BB34" s="761" t="n"/>
      <c r="BC34" s="706" t="n"/>
      <c r="BD34" s="706" t="n"/>
      <c r="BE34" s="706" t="n"/>
      <c r="BF34" s="706" t="n"/>
      <c r="BG34" s="706" t="n"/>
      <c r="BH34" s="706" t="n"/>
      <c r="BI34" s="706" t="n"/>
      <c r="BJ34" s="706" t="n"/>
      <c r="BK34" s="706" t="n"/>
      <c r="BL34" s="706" t="n"/>
      <c r="BM34" s="706" t="n"/>
      <c r="BN34" s="706" t="n"/>
      <c r="BO34" s="706" t="n"/>
      <c r="BP34" s="706" t="n"/>
      <c r="BQ34" s="706" t="n"/>
      <c r="BR34" s="706" t="n"/>
      <c r="BS34" s="706" t="n"/>
      <c r="BT34" s="706" t="n"/>
      <c r="BU34" s="706" t="n"/>
      <c r="BV34" s="706" t="n"/>
      <c r="BW34" s="706" t="n"/>
    </row>
    <row r="35" outlineLevel="1" ht="14.25" customFormat="1" customHeight="1" s="483">
      <c r="A35" s="733" t="n"/>
      <c r="B35" s="762" t="inlineStr">
        <is>
          <t>理财师026</t>
        </is>
      </c>
      <c r="C35" s="762" t="inlineStr">
        <is>
          <t>观察期PWA0-1</t>
        </is>
      </c>
      <c r="D35" s="763" t="n">
        <v>46113</v>
      </c>
      <c r="E35" s="763" t="n">
        <v>46203</v>
      </c>
      <c r="F35" s="764" t="n">
        <v>1943.13</v>
      </c>
      <c r="G35" s="764" t="n">
        <v>465.481988</v>
      </c>
      <c r="H35" s="764" t="n">
        <v>0</v>
      </c>
      <c r="I35" s="764" t="n">
        <v>0</v>
      </c>
      <c r="J35" s="764" t="n">
        <v>0</v>
      </c>
      <c r="K35" s="764">
        <f>SUM(H35:J35)</f>
        <v/>
      </c>
      <c r="L35" s="764" t="n">
        <v>0</v>
      </c>
      <c r="M35" s="764" t="n">
        <v>0</v>
      </c>
      <c r="N35" s="764" t="n">
        <v>19.026777</v>
      </c>
      <c r="O35" s="764">
        <f>SUM(L35:N35)</f>
        <v/>
      </c>
      <c r="P35" s="764" t="n">
        <v>0</v>
      </c>
      <c r="Q35" s="764" t="n">
        <v>0</v>
      </c>
      <c r="R35" s="764" t="n">
        <v>18.717729</v>
      </c>
      <c r="S35" s="764">
        <f>SUM(P35:R35)</f>
        <v/>
      </c>
      <c r="T35" s="764" t="n">
        <v>288.6936</v>
      </c>
      <c r="U35" s="764" t="n">
        <v>0</v>
      </c>
      <c r="V35" s="764" t="n">
        <v>29.573753</v>
      </c>
      <c r="W35" s="764">
        <f>SUM(T35:V35)</f>
        <v/>
      </c>
      <c r="X35" s="764" t="n">
        <v>114.611359</v>
      </c>
      <c r="Y35" s="764" t="n">
        <v>0</v>
      </c>
      <c r="Z35" s="764" t="n">
        <v>18.055825</v>
      </c>
      <c r="AA35" s="764">
        <f>SUM(X35:Z35)</f>
        <v/>
      </c>
      <c r="AB35" s="764" t="n">
        <v>0</v>
      </c>
      <c r="AC35" s="764" t="n">
        <v>0</v>
      </c>
      <c r="AD35" s="764" t="n">
        <v>14.547451</v>
      </c>
      <c r="AE35" s="764">
        <f>SUM(AB35:AD35)</f>
        <v/>
      </c>
      <c r="AF35" s="764" t="n">
        <v>809.929895</v>
      </c>
      <c r="AG35" s="764" t="n">
        <v>0</v>
      </c>
      <c r="AH35" s="764" t="n">
        <v>47.501776</v>
      </c>
      <c r="AI35" s="764">
        <f>SUM(AF35:AH35)</f>
        <v/>
      </c>
      <c r="AJ35" s="764" t="n">
        <v>176.20858</v>
      </c>
      <c r="AK35" s="764" t="n">
        <v>0</v>
      </c>
      <c r="AL35" s="764" t="n">
        <v>11.404098</v>
      </c>
      <c r="AM35" s="764">
        <f>SUM(AJ35:AL35)</f>
        <v/>
      </c>
      <c r="AN35" s="764" t="n">
        <v>12.282809</v>
      </c>
      <c r="AO35" s="765">
        <f>IF(F35=0,"",K35/(F35/((YEAR(E35)*12+MONTH(E35))-(YEAR(D35)*12+MONTH(D35))+1)))</f>
        <v/>
      </c>
      <c r="AP35" s="412">
        <f>G35</f>
        <v/>
      </c>
      <c r="AQ35" s="765">
        <f>G35/F35</f>
        <v/>
      </c>
      <c r="AR35" s="766">
        <f>F35-G35</f>
        <v/>
      </c>
      <c r="AS35" s="767">
        <f>W35+AA35+AE35+AI35+AM35+AN35</f>
        <v/>
      </c>
      <c r="AT35" s="767">
        <f>K35+O35+S35</f>
        <v/>
      </c>
      <c r="AU35" s="764">
        <f>SUM(K35+O35+S35+W35+AA35+AE35+AI35+AM35+AN35)</f>
        <v/>
      </c>
      <c r="AV35" s="733" t="n"/>
      <c r="AW35" s="733" t="n"/>
      <c r="AX35" s="733" t="n"/>
      <c r="AY35" s="733" t="n"/>
      <c r="AZ35" s="733" t="n"/>
      <c r="BA35" s="733" t="n"/>
      <c r="BB35" s="768" t="n"/>
      <c r="BC35" s="769" t="n"/>
      <c r="BD35" s="769" t="n"/>
      <c r="BE35" s="769" t="n"/>
      <c r="BF35" s="769" t="n"/>
      <c r="BG35" s="769" t="n"/>
      <c r="BH35" s="769" t="n"/>
      <c r="BI35" s="769" t="n"/>
      <c r="BJ35" s="769" t="n"/>
      <c r="BK35" s="769" t="n"/>
      <c r="BL35" s="769" t="n"/>
      <c r="BM35" s="769" t="n"/>
      <c r="BN35" s="769" t="n"/>
      <c r="BO35" s="769" t="n"/>
      <c r="BP35" s="769" t="n"/>
      <c r="BQ35" s="769" t="n"/>
      <c r="BR35" s="769" t="n"/>
      <c r="BS35" s="769" t="n"/>
      <c r="BT35" s="769" t="n"/>
      <c r="BU35" s="769" t="n"/>
      <c r="BV35" s="769" t="n"/>
      <c r="BW35" s="769" t="n"/>
    </row>
    <row r="36" outlineLevel="1" ht="14.25" customFormat="1" customHeight="1" s="483">
      <c r="A36" s="737" t="n"/>
      <c r="B36" s="762" t="inlineStr">
        <is>
          <t>理财师005</t>
        </is>
      </c>
      <c r="C36" s="762" t="inlineStr">
        <is>
          <t>私人财富管理资深顾问PWA2-5</t>
        </is>
      </c>
      <c r="D36" s="763" t="n">
        <v>46204</v>
      </c>
      <c r="E36" s="763" t="n">
        <v>46387</v>
      </c>
      <c r="F36" s="764" t="n">
        <v>13123.44</v>
      </c>
      <c r="G36" s="764" t="n">
        <v>3405.857033</v>
      </c>
      <c r="H36" s="764" t="n">
        <v>321.82254</v>
      </c>
      <c r="I36" s="764" t="n">
        <v>0</v>
      </c>
      <c r="J36" s="764" t="n">
        <v>0</v>
      </c>
      <c r="K36" s="764">
        <f>SUM(H36:J36)</f>
        <v/>
      </c>
      <c r="L36" s="764" t="n">
        <v>491.517468</v>
      </c>
      <c r="M36" s="764" t="n">
        <v>0</v>
      </c>
      <c r="N36" s="764" t="n">
        <v>608.6927030000001</v>
      </c>
      <c r="O36" s="764">
        <f>SUM(L36:N36)</f>
        <v/>
      </c>
      <c r="P36" s="764" t="n">
        <v>1321.776671</v>
      </c>
      <c r="Q36" s="764" t="n">
        <v>0</v>
      </c>
      <c r="R36" s="764" t="n">
        <v>662.047651</v>
      </c>
      <c r="S36" s="764">
        <f>SUM(P36:R36)</f>
        <v/>
      </c>
      <c r="T36" s="764" t="n">
        <v>3750.483593</v>
      </c>
      <c r="U36" s="764" t="n">
        <v>0</v>
      </c>
      <c r="V36" s="764" t="n">
        <v>577.821105</v>
      </c>
      <c r="W36" s="764">
        <f>SUM(T36:V36)</f>
        <v/>
      </c>
      <c r="X36" s="764" t="n">
        <v>907.591957</v>
      </c>
      <c r="Y36" s="764" t="n">
        <v>0</v>
      </c>
      <c r="Z36" s="764" t="n">
        <v>364.243787</v>
      </c>
      <c r="AA36" s="764">
        <f>SUM(X36:Z36)</f>
        <v/>
      </c>
      <c r="AB36" s="764" t="n">
        <v>1870.349984</v>
      </c>
      <c r="AC36" s="764" t="n">
        <v>2312.474666</v>
      </c>
      <c r="AD36" s="764" t="n">
        <v>319.48223</v>
      </c>
      <c r="AE36" s="764">
        <f>SUM(AB36:AD36)</f>
        <v/>
      </c>
      <c r="AF36" s="764" t="n">
        <v>731.292658</v>
      </c>
      <c r="AG36" s="764" t="n">
        <v>1925.150771</v>
      </c>
      <c r="AH36" s="764" t="n">
        <v>383.775324</v>
      </c>
      <c r="AI36" s="764">
        <f>SUM(AF36:AH36)</f>
        <v/>
      </c>
      <c r="AJ36" s="764" t="n">
        <v>1738.204897</v>
      </c>
      <c r="AK36" s="764" t="n">
        <v>0</v>
      </c>
      <c r="AL36" s="764" t="n">
        <v>284.706769</v>
      </c>
      <c r="AM36" s="764">
        <f>SUM(AJ36:AL36)</f>
        <v/>
      </c>
      <c r="AN36" s="764" t="n">
        <v>1538.392041</v>
      </c>
      <c r="AO36" s="765">
        <f>IF(F36=0,"",K36/(F36/((YEAR(E36)*12+MONTH(E36))-(YEAR(D36)*12+MONTH(D36))+1)))</f>
        <v/>
      </c>
      <c r="AP36" s="412">
        <f>G36</f>
        <v/>
      </c>
      <c r="AQ36" s="765">
        <f>G36/F36</f>
        <v/>
      </c>
      <c r="AR36" s="766">
        <f>F36-G36</f>
        <v/>
      </c>
      <c r="AS36" s="767">
        <f>W36+AA36+AE36+AI36+AM36+AN36</f>
        <v/>
      </c>
      <c r="AT36" s="767">
        <f>K36+O36+S36</f>
        <v/>
      </c>
      <c r="AU36" s="764">
        <f>SUM(K36+O36+S36+W36+AA36+AE36+AI36+AM36+AN36)</f>
        <v/>
      </c>
      <c r="AV36" s="737" t="n"/>
      <c r="AW36" s="737" t="n"/>
      <c r="AX36" s="737" t="n"/>
      <c r="AY36" s="737" t="n"/>
      <c r="AZ36" s="737" t="n"/>
      <c r="BA36" s="737" t="n"/>
      <c r="BB36" s="768" t="n"/>
      <c r="BC36" s="769" t="n"/>
      <c r="BD36" s="769" t="n"/>
      <c r="BE36" s="769" t="n"/>
      <c r="BF36" s="769" t="n"/>
      <c r="BG36" s="769" t="n"/>
      <c r="BH36" s="769" t="n"/>
      <c r="BI36" s="769" t="n"/>
      <c r="BJ36" s="769" t="n"/>
      <c r="BK36" s="769" t="n"/>
      <c r="BL36" s="769" t="n"/>
      <c r="BM36" s="769" t="n"/>
      <c r="BN36" s="769" t="n"/>
      <c r="BO36" s="769" t="n"/>
      <c r="BP36" s="769" t="n"/>
      <c r="BQ36" s="769" t="n"/>
      <c r="BR36" s="769" t="n"/>
      <c r="BS36" s="769" t="n"/>
      <c r="BT36" s="769" t="n"/>
      <c r="BU36" s="769" t="n"/>
      <c r="BV36" s="769" t="n"/>
      <c r="BW36" s="769" t="n"/>
    </row>
    <row r="37" outlineLevel="1" ht="14.25" customFormat="1" customHeight="1" s="483">
      <c r="A37" s="738" t="inlineStr">
        <is>
          <t>合计</t>
        </is>
      </c>
      <c r="B37" s="739" t="n"/>
      <c r="C37" s="739" t="n"/>
      <c r="D37" s="739" t="n"/>
      <c r="E37" s="740" t="n"/>
      <c r="F37" s="379">
        <f>SUM(F34:F36)</f>
        <v/>
      </c>
      <c r="G37" s="379">
        <f>SUM(G34:G36)</f>
        <v/>
      </c>
      <c r="H37" s="379">
        <f>SUM(H34:H36)</f>
        <v/>
      </c>
      <c r="I37" s="379">
        <f>SUM(I34:I36)</f>
        <v/>
      </c>
      <c r="J37" s="379">
        <f>SUM(J34:J36)</f>
        <v/>
      </c>
      <c r="K37" s="379">
        <f>SUM(K34:K36)</f>
        <v/>
      </c>
      <c r="L37" s="379">
        <f>SUM(L34:L36)</f>
        <v/>
      </c>
      <c r="M37" s="379">
        <f>SUM(M34:M36)</f>
        <v/>
      </c>
      <c r="N37" s="379">
        <f>SUM(N34:N36)</f>
        <v/>
      </c>
      <c r="O37" s="379">
        <f>SUM(O34:O36)</f>
        <v/>
      </c>
      <c r="P37" s="379">
        <f>SUM(P34:P36)</f>
        <v/>
      </c>
      <c r="Q37" s="379">
        <f>SUM(Q34:Q36)</f>
        <v/>
      </c>
      <c r="R37" s="379">
        <f>SUM(R34:R36)</f>
        <v/>
      </c>
      <c r="S37" s="379">
        <f>SUM(S34:S36)</f>
        <v/>
      </c>
      <c r="T37" s="379">
        <f>SUM(T34:T36)</f>
        <v/>
      </c>
      <c r="U37" s="379">
        <f>SUM(U34:U36)</f>
        <v/>
      </c>
      <c r="V37" s="379">
        <f>SUM(V34:V36)</f>
        <v/>
      </c>
      <c r="W37" s="379">
        <f>SUM(W34:W36)</f>
        <v/>
      </c>
      <c r="X37" s="379">
        <f>SUM(X34:X36)</f>
        <v/>
      </c>
      <c r="Y37" s="379">
        <f>SUM(Y34:Y36)</f>
        <v/>
      </c>
      <c r="Z37" s="379">
        <f>SUM(Z34:Z36)</f>
        <v/>
      </c>
      <c r="AA37" s="379">
        <f>SUM(AA34:AA36)</f>
        <v/>
      </c>
      <c r="AB37" s="379">
        <f>SUM(AB34:AB36)</f>
        <v/>
      </c>
      <c r="AC37" s="379">
        <f>SUM(AC34:AC36)</f>
        <v/>
      </c>
      <c r="AD37" s="379">
        <f>SUM(AD34:AD36)</f>
        <v/>
      </c>
      <c r="AE37" s="379">
        <f>SUM(AE34:AE36)</f>
        <v/>
      </c>
      <c r="AF37" s="379">
        <f>SUM(AF34:AF36)</f>
        <v/>
      </c>
      <c r="AG37" s="379">
        <f>SUM(AG34:AG36)</f>
        <v/>
      </c>
      <c r="AH37" s="379">
        <f>SUM(AH34:AH36)</f>
        <v/>
      </c>
      <c r="AI37" s="379">
        <f>SUM(AI34:AI36)</f>
        <v/>
      </c>
      <c r="AJ37" s="379">
        <f>SUM(AJ34:AJ36)</f>
        <v/>
      </c>
      <c r="AK37" s="379">
        <f>SUM(AK34:AK36)</f>
        <v/>
      </c>
      <c r="AL37" s="379">
        <f>SUM(AL34:AL36)</f>
        <v/>
      </c>
      <c r="AM37" s="379">
        <f>SUM(AM34:AM36)</f>
        <v/>
      </c>
      <c r="AN37" s="379">
        <f>SUM(AN34:AN36)</f>
        <v/>
      </c>
      <c r="AO37" s="381">
        <f>IF(F37=0,"",K37/(F37/((YEAR(E34)*12+MONTH(E34))-(YEAR(D34)*12+MONTH(D34))+1)))</f>
        <v/>
      </c>
      <c r="AP37" s="379">
        <f>G37</f>
        <v/>
      </c>
      <c r="AQ37" s="382">
        <f>G37/F37</f>
        <v/>
      </c>
      <c r="AR37" s="418">
        <f>F37-G37</f>
        <v/>
      </c>
      <c r="AS37" s="379">
        <f>SUM(AS34:AS36)</f>
        <v/>
      </c>
      <c r="AT37" s="379">
        <f>SUM(AT34:AT36)</f>
        <v/>
      </c>
      <c r="AU37" s="379">
        <f>SUM(K37+O37+S37+W37+AA37+AE37+AI37+AM37+AN37)</f>
        <v/>
      </c>
      <c r="AV37" s="383">
        <f>AV34</f>
        <v/>
      </c>
      <c r="AW37" s="381">
        <f>AS37/AV34</f>
        <v/>
      </c>
      <c r="AX37" s="773">
        <f>AV34-AS37</f>
        <v/>
      </c>
      <c r="AY37" s="383">
        <f>AY34</f>
        <v/>
      </c>
      <c r="AZ37" s="381">
        <f>AZ34</f>
        <v/>
      </c>
      <c r="BA37" s="773">
        <f>BA34</f>
        <v/>
      </c>
      <c r="BB37" s="418">
        <f>AX37+BA37</f>
        <v/>
      </c>
      <c r="BC37" s="713" t="n"/>
      <c r="BD37" s="713" t="n"/>
      <c r="BE37" s="713" t="n"/>
      <c r="BF37" s="713" t="n"/>
      <c r="BG37" s="713" t="n"/>
      <c r="BH37" s="713" t="n"/>
      <c r="BI37" s="713" t="n"/>
      <c r="BJ37" s="713" t="n"/>
      <c r="BK37" s="713" t="n"/>
      <c r="BL37" s="713" t="n"/>
      <c r="BM37" s="713" t="n"/>
      <c r="BN37" s="713" t="n"/>
      <c r="BO37" s="713" t="n"/>
      <c r="BP37" s="713" t="n"/>
      <c r="BQ37" s="713" t="n"/>
      <c r="BR37" s="713" t="n"/>
      <c r="BS37" s="713" t="n"/>
      <c r="BT37" s="713" t="n"/>
      <c r="BU37" s="713" t="n"/>
      <c r="BV37" s="713" t="n"/>
      <c r="BW37" s="713" t="n"/>
    </row>
    <row r="38" outlineLevel="1" ht="14.25" customFormat="1" customHeight="1" s="483">
      <c r="A38" s="729" t="inlineStr">
        <is>
          <t>理财师008</t>
        </is>
      </c>
      <c r="B38" s="729" t="inlineStr">
        <is>
          <t>理财师011</t>
        </is>
      </c>
      <c r="C38" s="729" t="inlineStr">
        <is>
          <t>私人财富管理顾问PWA1-2</t>
        </is>
      </c>
      <c r="D38" s="730" t="n">
        <v>46204</v>
      </c>
      <c r="E38" s="730" t="n">
        <v>46387</v>
      </c>
      <c r="F38" s="363" t="n">
        <v>3484.06</v>
      </c>
      <c r="G38" s="363" t="n">
        <v>482.868255</v>
      </c>
      <c r="H38" s="363" t="n">
        <v>0</v>
      </c>
      <c r="I38" s="363" t="n">
        <v>0</v>
      </c>
      <c r="J38" s="363" t="n">
        <v>0</v>
      </c>
      <c r="K38" s="363">
        <f>SUM(H38:J38)</f>
        <v/>
      </c>
      <c r="L38" s="363" t="n">
        <v>0</v>
      </c>
      <c r="M38" s="363" t="n">
        <v>0</v>
      </c>
      <c r="N38" s="363" t="n">
        <v>1.379437</v>
      </c>
      <c r="O38" s="363">
        <f>SUM(L38:N38)</f>
        <v/>
      </c>
      <c r="P38" s="363" t="n">
        <v>84.068866</v>
      </c>
      <c r="Q38" s="363" t="n">
        <v>323.29674</v>
      </c>
      <c r="R38" s="363" t="n">
        <v>74.123212</v>
      </c>
      <c r="S38" s="363">
        <f>SUM(P38:R38)</f>
        <v/>
      </c>
      <c r="T38" s="363" t="n">
        <v>564.94934</v>
      </c>
      <c r="U38" s="363" t="n">
        <v>0</v>
      </c>
      <c r="V38" s="363" t="n">
        <v>82.099047</v>
      </c>
      <c r="W38" s="363">
        <f>SUM(T38:V38)</f>
        <v/>
      </c>
      <c r="X38" s="363" t="n">
        <v>0</v>
      </c>
      <c r="Y38" s="363" t="n">
        <v>3092.4036</v>
      </c>
      <c r="Z38" s="363" t="n">
        <v>61.007408</v>
      </c>
      <c r="AA38" s="363">
        <f>SUM(X38:Z38)</f>
        <v/>
      </c>
      <c r="AB38" s="363" t="n">
        <v>178.04748</v>
      </c>
      <c r="AC38" s="363" t="n">
        <v>0</v>
      </c>
      <c r="AD38" s="363" t="n">
        <v>32.11807</v>
      </c>
      <c r="AE38" s="363">
        <f>SUM(AB38:AD38)</f>
        <v/>
      </c>
      <c r="AF38" s="363" t="n">
        <v>47.229437</v>
      </c>
      <c r="AG38" s="363" t="n">
        <v>0</v>
      </c>
      <c r="AH38" s="363" t="n">
        <v>24.120644</v>
      </c>
      <c r="AI38" s="363">
        <f>SUM(AF38:AH38)</f>
        <v/>
      </c>
      <c r="AJ38" s="363" t="n">
        <v>524.574731</v>
      </c>
      <c r="AK38" s="363" t="n">
        <v>0</v>
      </c>
      <c r="AL38" s="363" t="n">
        <v>1.216481</v>
      </c>
      <c r="AM38" s="363">
        <f>SUM(AJ38:AL38)</f>
        <v/>
      </c>
      <c r="AN38" s="363" t="n">
        <v>0</v>
      </c>
      <c r="AO38" s="364">
        <f>IF(F38=0,"",K38/(F38/((YEAR(E38)*12+MONTH(E38))-(YEAR(D38)*12+MONTH(D38))+1)))</f>
        <v/>
      </c>
      <c r="AP38" s="409">
        <f>G38</f>
        <v/>
      </c>
      <c r="AQ38" s="364">
        <f>G38/F38</f>
        <v/>
      </c>
      <c r="AR38" s="759">
        <f>F38-G38</f>
        <v/>
      </c>
      <c r="AS38" s="409">
        <f>W38+AA38+AE38+AI38+AM38+AN38</f>
        <v/>
      </c>
      <c r="AT38" s="409">
        <f>K38+O38+S38</f>
        <v/>
      </c>
      <c r="AU38" s="363">
        <f>SUM(K38+O38+S38+W38+AA38+AE38+AI38+AM38+AN38)</f>
        <v/>
      </c>
      <c r="AV38" s="366">
        <f>SUM(F38:F39)</f>
        <v/>
      </c>
      <c r="AW38" s="367">
        <f>AW40</f>
        <v/>
      </c>
      <c r="AX38" s="760">
        <f>AX40</f>
        <v/>
      </c>
      <c r="AY38" s="366" t="n">
        <v>18681.77</v>
      </c>
      <c r="AZ38" s="367">
        <f>IF(AY38=0,"",AT40/AY38)</f>
        <v/>
      </c>
      <c r="BA38" s="760">
        <f>AY38-AT40</f>
        <v/>
      </c>
      <c r="BB38" s="761" t="n"/>
      <c r="BC38" s="706" t="n"/>
      <c r="BD38" s="706" t="n"/>
      <c r="BE38" s="706" t="n"/>
      <c r="BF38" s="706" t="n"/>
      <c r="BG38" s="706" t="n"/>
      <c r="BH38" s="706" t="n"/>
      <c r="BI38" s="706" t="n"/>
      <c r="BJ38" s="706" t="n"/>
      <c r="BK38" s="706" t="n"/>
      <c r="BL38" s="706" t="n"/>
      <c r="BM38" s="706" t="n"/>
      <c r="BN38" s="706" t="n"/>
      <c r="BO38" s="706" t="n"/>
      <c r="BP38" s="706" t="n"/>
      <c r="BQ38" s="706" t="n"/>
      <c r="BR38" s="706" t="n"/>
      <c r="BS38" s="706" t="n"/>
      <c r="BT38" s="706" t="n"/>
      <c r="BU38" s="706" t="n"/>
      <c r="BV38" s="706" t="n"/>
      <c r="BW38" s="706" t="n"/>
    </row>
    <row r="39" outlineLevel="1" ht="14.25" customFormat="1" customHeight="1" s="483">
      <c r="A39" s="737" t="n"/>
      <c r="B39" s="762" t="inlineStr">
        <is>
          <t>理财师008</t>
        </is>
      </c>
      <c r="C39" s="762" t="inlineStr">
        <is>
          <t>私人财富管理专家PWA4-3</t>
        </is>
      </c>
      <c r="D39" s="763" t="n">
        <v>46204</v>
      </c>
      <c r="E39" s="763" t="n">
        <v>46387</v>
      </c>
      <c r="F39" s="764" t="n">
        <v>25727.57</v>
      </c>
      <c r="G39" s="764" t="n">
        <v>8426.546270999999</v>
      </c>
      <c r="H39" s="764" t="n">
        <v>4302.798191</v>
      </c>
      <c r="I39" s="764" t="n">
        <v>0</v>
      </c>
      <c r="J39" s="764" t="n">
        <v>0</v>
      </c>
      <c r="K39" s="764">
        <f>SUM(H39:J39)</f>
        <v/>
      </c>
      <c r="L39" s="764" t="n">
        <v>2053.786153</v>
      </c>
      <c r="M39" s="764" t="n">
        <v>0</v>
      </c>
      <c r="N39" s="764" t="n">
        <v>233.972561</v>
      </c>
      <c r="O39" s="764">
        <f>SUM(L39:N39)</f>
        <v/>
      </c>
      <c r="P39" s="764" t="n">
        <v>1531.095078</v>
      </c>
      <c r="Q39" s="764" t="n">
        <v>0</v>
      </c>
      <c r="R39" s="764" t="n">
        <v>304.894289</v>
      </c>
      <c r="S39" s="764">
        <f>SUM(P39:R39)</f>
        <v/>
      </c>
      <c r="T39" s="764" t="n">
        <v>3874.376797</v>
      </c>
      <c r="U39" s="764" t="n">
        <v>253.81824</v>
      </c>
      <c r="V39" s="764" t="n">
        <v>421.509645</v>
      </c>
      <c r="W39" s="764">
        <f>SUM(T39:V39)</f>
        <v/>
      </c>
      <c r="X39" s="764" t="n">
        <v>5263.972173</v>
      </c>
      <c r="Y39" s="764" t="n">
        <v>1110.4548</v>
      </c>
      <c r="Z39" s="764" t="n">
        <v>271.92657</v>
      </c>
      <c r="AA39" s="764">
        <f>SUM(X39:Z39)</f>
        <v/>
      </c>
      <c r="AB39" s="764" t="n">
        <v>3533.62581</v>
      </c>
      <c r="AC39" s="764" t="n">
        <v>2435.06874</v>
      </c>
      <c r="AD39" s="764" t="n">
        <v>188.462147</v>
      </c>
      <c r="AE39" s="764">
        <f>SUM(AB39:AD39)</f>
        <v/>
      </c>
      <c r="AF39" s="764" t="n">
        <v>9546.464904</v>
      </c>
      <c r="AG39" s="764" t="n">
        <v>0</v>
      </c>
      <c r="AH39" s="764" t="n">
        <v>401.214551</v>
      </c>
      <c r="AI39" s="764">
        <f>SUM(AF39:AH39)</f>
        <v/>
      </c>
      <c r="AJ39" s="764" t="n">
        <v>1081.878995</v>
      </c>
      <c r="AK39" s="764" t="n">
        <v>523.50012</v>
      </c>
      <c r="AL39" s="764" t="n">
        <v>135.589522</v>
      </c>
      <c r="AM39" s="764">
        <f>SUM(AJ39:AL39)</f>
        <v/>
      </c>
      <c r="AN39" s="764" t="n">
        <v>1873.958877</v>
      </c>
      <c r="AO39" s="765">
        <f>IF(F39=0,"",K39/(F39/((YEAR(E39)*12+MONTH(E39))-(YEAR(D39)*12+MONTH(D39))+1)))</f>
        <v/>
      </c>
      <c r="AP39" s="412">
        <f>G39</f>
        <v/>
      </c>
      <c r="AQ39" s="765">
        <f>G39/F39</f>
        <v/>
      </c>
      <c r="AR39" s="766">
        <f>F39-G39</f>
        <v/>
      </c>
      <c r="AS39" s="767">
        <f>W39+AA39+AE39+AI39+AM39+AN39</f>
        <v/>
      </c>
      <c r="AT39" s="767">
        <f>K39+O39+S39</f>
        <v/>
      </c>
      <c r="AU39" s="764">
        <f>SUM(K39+O39+S39+W39+AA39+AE39+AI39+AM39+AN39)</f>
        <v/>
      </c>
      <c r="AV39" s="737" t="n"/>
      <c r="AW39" s="737" t="n"/>
      <c r="AX39" s="737" t="n"/>
      <c r="AY39" s="737" t="n"/>
      <c r="AZ39" s="737" t="n"/>
      <c r="BA39" s="737" t="n"/>
      <c r="BB39" s="768" t="n"/>
      <c r="BC39" s="769" t="n"/>
      <c r="BD39" s="769" t="n"/>
      <c r="BE39" s="769" t="n"/>
      <c r="BF39" s="769" t="n"/>
      <c r="BG39" s="769" t="n"/>
      <c r="BH39" s="769" t="n"/>
      <c r="BI39" s="769" t="n"/>
      <c r="BJ39" s="769" t="n"/>
      <c r="BK39" s="769" t="n"/>
      <c r="BL39" s="769" t="n"/>
      <c r="BM39" s="769" t="n"/>
      <c r="BN39" s="769" t="n"/>
      <c r="BO39" s="769" t="n"/>
      <c r="BP39" s="769" t="n"/>
      <c r="BQ39" s="769" t="n"/>
      <c r="BR39" s="769" t="n"/>
      <c r="BS39" s="769" t="n"/>
      <c r="BT39" s="769" t="n"/>
      <c r="BU39" s="769" t="n"/>
      <c r="BV39" s="769" t="n"/>
      <c r="BW39" s="769" t="n"/>
    </row>
    <row r="40" outlineLevel="1" ht="14.25" customFormat="1" customHeight="1" s="483">
      <c r="A40" s="738" t="inlineStr">
        <is>
          <t>合计</t>
        </is>
      </c>
      <c r="B40" s="739" t="n"/>
      <c r="C40" s="739" t="n"/>
      <c r="D40" s="739" t="n"/>
      <c r="E40" s="740" t="n"/>
      <c r="F40" s="379">
        <f>SUM(F38:F39)</f>
        <v/>
      </c>
      <c r="G40" s="379">
        <f>SUM(G38:G39)</f>
        <v/>
      </c>
      <c r="H40" s="379">
        <f>SUM(H38:H39)</f>
        <v/>
      </c>
      <c r="I40" s="379">
        <f>SUM(I38:I39)</f>
        <v/>
      </c>
      <c r="J40" s="379">
        <f>SUM(J38:J39)</f>
        <v/>
      </c>
      <c r="K40" s="379">
        <f>SUM(K38:K39)</f>
        <v/>
      </c>
      <c r="L40" s="379">
        <f>SUM(L38:L39)</f>
        <v/>
      </c>
      <c r="M40" s="379">
        <f>SUM(M38:M39)</f>
        <v/>
      </c>
      <c r="N40" s="379">
        <f>SUM(N38:N39)</f>
        <v/>
      </c>
      <c r="O40" s="379">
        <f>SUM(O38:O39)</f>
        <v/>
      </c>
      <c r="P40" s="379">
        <f>SUM(P38:P39)</f>
        <v/>
      </c>
      <c r="Q40" s="379">
        <f>SUM(Q38:Q39)</f>
        <v/>
      </c>
      <c r="R40" s="379">
        <f>SUM(R38:R39)</f>
        <v/>
      </c>
      <c r="S40" s="379">
        <f>SUM(S38:S39)</f>
        <v/>
      </c>
      <c r="T40" s="379">
        <f>SUM(T38:T39)</f>
        <v/>
      </c>
      <c r="U40" s="379">
        <f>SUM(U38:U39)</f>
        <v/>
      </c>
      <c r="V40" s="379">
        <f>SUM(V38:V39)</f>
        <v/>
      </c>
      <c r="W40" s="379">
        <f>SUM(W38:W39)</f>
        <v/>
      </c>
      <c r="X40" s="379">
        <f>SUM(X38:X39)</f>
        <v/>
      </c>
      <c r="Y40" s="379">
        <f>SUM(Y38:Y39)</f>
        <v/>
      </c>
      <c r="Z40" s="379">
        <f>SUM(Z38:Z39)</f>
        <v/>
      </c>
      <c r="AA40" s="379">
        <f>SUM(AA38:AA39)</f>
        <v/>
      </c>
      <c r="AB40" s="379">
        <f>SUM(AB38:AB39)</f>
        <v/>
      </c>
      <c r="AC40" s="379">
        <f>SUM(AC38:AC39)</f>
        <v/>
      </c>
      <c r="AD40" s="379">
        <f>SUM(AD38:AD39)</f>
        <v/>
      </c>
      <c r="AE40" s="379">
        <f>SUM(AE38:AE39)</f>
        <v/>
      </c>
      <c r="AF40" s="379">
        <f>SUM(AF38:AF39)</f>
        <v/>
      </c>
      <c r="AG40" s="379">
        <f>SUM(AG38:AG39)</f>
        <v/>
      </c>
      <c r="AH40" s="379">
        <f>SUM(AH38:AH39)</f>
        <v/>
      </c>
      <c r="AI40" s="379">
        <f>SUM(AI38:AI39)</f>
        <v/>
      </c>
      <c r="AJ40" s="379">
        <f>SUM(AJ38:AJ39)</f>
        <v/>
      </c>
      <c r="AK40" s="379">
        <f>SUM(AK38:AK39)</f>
        <v/>
      </c>
      <c r="AL40" s="379">
        <f>SUM(AL38:AL39)</f>
        <v/>
      </c>
      <c r="AM40" s="379">
        <f>SUM(AM38:AM39)</f>
        <v/>
      </c>
      <c r="AN40" s="379">
        <f>SUM(AN38:AN39)</f>
        <v/>
      </c>
      <c r="AO40" s="381">
        <f>IF(F40=0,"",K40/(F40/((YEAR(E38)*12+MONTH(E38))-(YEAR(D38)*12+MONTH(D38))+1)))</f>
        <v/>
      </c>
      <c r="AP40" s="379">
        <f>G40</f>
        <v/>
      </c>
      <c r="AQ40" s="382">
        <f>G40/F40</f>
        <v/>
      </c>
      <c r="AR40" s="418">
        <f>F40-G40</f>
        <v/>
      </c>
      <c r="AS40" s="379">
        <f>SUM(AS38:AS39)</f>
        <v/>
      </c>
      <c r="AT40" s="379">
        <f>SUM(AT38:AT39)</f>
        <v/>
      </c>
      <c r="AU40" s="379">
        <f>SUM(K40+O40+S40+W40+AA40+AE40+AI40+AM40+AN40)</f>
        <v/>
      </c>
      <c r="AV40" s="383">
        <f>AV38</f>
        <v/>
      </c>
      <c r="AW40" s="381">
        <f>AS40/AV38</f>
        <v/>
      </c>
      <c r="AX40" s="773">
        <f>AV38-AS40</f>
        <v/>
      </c>
      <c r="AY40" s="383">
        <f>AY38</f>
        <v/>
      </c>
      <c r="AZ40" s="381">
        <f>AZ38</f>
        <v/>
      </c>
      <c r="BA40" s="773">
        <f>BA38</f>
        <v/>
      </c>
      <c r="BB40" s="418">
        <f>AX40+BA40</f>
        <v/>
      </c>
      <c r="BC40" s="713" t="n"/>
      <c r="BD40" s="713" t="n"/>
      <c r="BE40" s="713" t="n"/>
      <c r="BF40" s="713" t="n"/>
      <c r="BG40" s="713" t="n"/>
      <c r="BH40" s="713" t="n"/>
      <c r="BI40" s="713" t="n"/>
      <c r="BJ40" s="713" t="n"/>
      <c r="BK40" s="713" t="n"/>
      <c r="BL40" s="713" t="n"/>
      <c r="BM40" s="713" t="n"/>
      <c r="BN40" s="713" t="n"/>
      <c r="BO40" s="713" t="n"/>
      <c r="BP40" s="713" t="n"/>
      <c r="BQ40" s="713" t="n"/>
      <c r="BR40" s="713" t="n"/>
      <c r="BS40" s="713" t="n"/>
      <c r="BT40" s="713" t="n"/>
      <c r="BU40" s="713" t="n"/>
      <c r="BV40" s="713" t="n"/>
      <c r="BW40" s="713" t="n"/>
    </row>
    <row r="41" outlineLevel="1" ht="14.25" customFormat="1" customHeight="1" s="483">
      <c r="A41" s="729" t="inlineStr">
        <is>
          <t>理财师004</t>
        </is>
      </c>
      <c r="B41" s="729" t="inlineStr">
        <is>
          <t>理财师033</t>
        </is>
      </c>
      <c r="C41" s="729" t="inlineStr">
        <is>
          <t>私人财富管理总监PWA3-1</t>
        </is>
      </c>
      <c r="D41" s="730" t="n">
        <v>46268</v>
      </c>
      <c r="E41" s="730" t="n">
        <v>46448</v>
      </c>
      <c r="F41" s="363" t="n">
        <v>18417.12</v>
      </c>
      <c r="G41" s="363" t="n">
        <v>0</v>
      </c>
      <c r="H41" s="363" t="n">
        <v>0</v>
      </c>
      <c r="I41" s="363" t="n">
        <v>0</v>
      </c>
      <c r="J41" s="363" t="n">
        <v>0</v>
      </c>
      <c r="K41" s="363">
        <f>SUM(H41:J41)</f>
        <v/>
      </c>
      <c r="L41" s="363" t="n">
        <v>0</v>
      </c>
      <c r="M41" s="363" t="n">
        <v>0</v>
      </c>
      <c r="N41" s="363" t="n">
        <v>29.677404</v>
      </c>
      <c r="O41" s="363">
        <f>SUM(L41:N41)</f>
        <v/>
      </c>
      <c r="P41" s="363" t="n">
        <v>0</v>
      </c>
      <c r="Q41" s="363" t="n">
        <v>0</v>
      </c>
      <c r="R41" s="363" t="n">
        <v>23.933388</v>
      </c>
      <c r="S41" s="363">
        <f>SUM(P41:R41)</f>
        <v/>
      </c>
      <c r="T41" s="363" t="n">
        <v>970.6319999999999</v>
      </c>
      <c r="U41" s="363" t="n">
        <v>0</v>
      </c>
      <c r="V41" s="363" t="n">
        <v>0.265494</v>
      </c>
      <c r="W41" s="363">
        <f>SUM(T41:V41)</f>
        <v/>
      </c>
      <c r="X41" s="363" t="n">
        <v>0</v>
      </c>
      <c r="Y41" s="363" t="n">
        <v>1844.2008</v>
      </c>
      <c r="Z41" s="363" t="n">
        <v>0</v>
      </c>
      <c r="AA41" s="363">
        <f>SUM(X41:Z41)</f>
        <v/>
      </c>
      <c r="AB41" s="363" t="n">
        <v>0</v>
      </c>
      <c r="AC41" s="363" t="n">
        <v>0</v>
      </c>
      <c r="AD41" s="363" t="n">
        <v>0</v>
      </c>
      <c r="AE41" s="363">
        <f>SUM(AB41:AD41)</f>
        <v/>
      </c>
      <c r="AF41" s="363" t="n">
        <v>0</v>
      </c>
      <c r="AG41" s="363" t="n">
        <v>0</v>
      </c>
      <c r="AH41" s="363" t="n">
        <v>0</v>
      </c>
      <c r="AI41" s="363">
        <f>SUM(AF41:AH41)</f>
        <v/>
      </c>
      <c r="AJ41" s="363" t="n">
        <v>0</v>
      </c>
      <c r="AK41" s="363" t="n">
        <v>0</v>
      </c>
      <c r="AL41" s="363" t="n">
        <v>0</v>
      </c>
      <c r="AM41" s="363">
        <f>SUM(AJ41:AL41)</f>
        <v/>
      </c>
      <c r="AN41" s="363" t="n">
        <v>0</v>
      </c>
      <c r="AO41" s="364">
        <f>IF(F41=0,"",K41/(F41/((YEAR(E41)*12+MONTH(E41))-(YEAR(D41)*12+MONTH(D41))+1)))</f>
        <v/>
      </c>
      <c r="AP41" s="409">
        <f>G41</f>
        <v/>
      </c>
      <c r="AQ41" s="364">
        <f>G41/F41</f>
        <v/>
      </c>
      <c r="AR41" s="759">
        <f>F41-G41</f>
        <v/>
      </c>
      <c r="AS41" s="409">
        <f>W41+AA41+AE41+AI41+AM41+AN41</f>
        <v/>
      </c>
      <c r="AT41" s="409">
        <f>K41+O41+S41</f>
        <v/>
      </c>
      <c r="AU41" s="363">
        <f>SUM(K41+O41+S41+W41+AA41+AE41+AI41+AM41+AN41)</f>
        <v/>
      </c>
      <c r="AV41" s="366">
        <f>SUM(F41:F47)</f>
        <v/>
      </c>
      <c r="AW41" s="367">
        <f>AW48</f>
        <v/>
      </c>
      <c r="AX41" s="760">
        <f>AX48</f>
        <v/>
      </c>
      <c r="AY41" s="366" t="n">
        <v>170856.12</v>
      </c>
      <c r="AZ41" s="367">
        <f>IF(AY41=0,"",AT48/AY41)</f>
        <v/>
      </c>
      <c r="BA41" s="760">
        <f>AY41-AT48</f>
        <v/>
      </c>
      <c r="BB41" s="761" t="n"/>
      <c r="BC41" s="706" t="n"/>
      <c r="BD41" s="706" t="n"/>
      <c r="BE41" s="706" t="n"/>
      <c r="BF41" s="706" t="n"/>
      <c r="BG41" s="706" t="n"/>
      <c r="BH41" s="706" t="n"/>
      <c r="BI41" s="706" t="n"/>
      <c r="BJ41" s="706" t="n"/>
      <c r="BK41" s="706" t="n"/>
      <c r="BL41" s="706" t="n"/>
      <c r="BM41" s="706" t="n"/>
      <c r="BN41" s="706" t="n"/>
      <c r="BO41" s="706" t="n"/>
      <c r="BP41" s="706" t="n"/>
      <c r="BQ41" s="706" t="n"/>
      <c r="BR41" s="706" t="n"/>
      <c r="BS41" s="706" t="n"/>
      <c r="BT41" s="706" t="n"/>
      <c r="BU41" s="706" t="n"/>
      <c r="BV41" s="706" t="n"/>
      <c r="BW41" s="706" t="n"/>
    </row>
    <row r="42" outlineLevel="1" ht="14.25" customFormat="1" customHeight="1" s="483">
      <c r="A42" s="733" t="n"/>
      <c r="B42" s="762" t="inlineStr">
        <is>
          <t>理财师006</t>
        </is>
      </c>
      <c r="C42" s="762" t="inlineStr">
        <is>
          <t>私人财富管理专家PWA4-5</t>
        </is>
      </c>
      <c r="D42" s="763" t="n">
        <v>46204</v>
      </c>
      <c r="E42" s="763" t="n">
        <v>46387</v>
      </c>
      <c r="F42" s="764" t="n">
        <v>17235</v>
      </c>
      <c r="G42" s="764" t="n">
        <v>7459.712033</v>
      </c>
      <c r="H42" s="764" t="n">
        <v>916.456648</v>
      </c>
      <c r="I42" s="764" t="n">
        <v>300.2337</v>
      </c>
      <c r="J42" s="764" t="n">
        <v>0</v>
      </c>
      <c r="K42" s="764">
        <f>SUM(H42:J42)</f>
        <v/>
      </c>
      <c r="L42" s="764" t="n">
        <v>1154.308033</v>
      </c>
      <c r="M42" s="764" t="n">
        <v>0</v>
      </c>
      <c r="N42" s="764" t="n">
        <v>428.115705</v>
      </c>
      <c r="O42" s="764">
        <f>SUM(L42:N42)</f>
        <v/>
      </c>
      <c r="P42" s="764" t="n">
        <v>2482.600902</v>
      </c>
      <c r="Q42" s="764" t="n">
        <v>1523.574</v>
      </c>
      <c r="R42" s="764" t="n">
        <v>654.423047</v>
      </c>
      <c r="S42" s="764">
        <f>SUM(P42:R42)</f>
        <v/>
      </c>
      <c r="T42" s="764" t="n">
        <v>2664.507449</v>
      </c>
      <c r="U42" s="764" t="n">
        <v>384.193382</v>
      </c>
      <c r="V42" s="764" t="n">
        <v>680.315756</v>
      </c>
      <c r="W42" s="764">
        <f>SUM(T42:V42)</f>
        <v/>
      </c>
      <c r="X42" s="764" t="n">
        <v>3250.598551</v>
      </c>
      <c r="Y42" s="764" t="n">
        <v>241.63794</v>
      </c>
      <c r="Z42" s="764" t="n">
        <v>437.519279</v>
      </c>
      <c r="AA42" s="764">
        <f>SUM(X42:Z42)</f>
        <v/>
      </c>
      <c r="AB42" s="764" t="n">
        <v>1492.14231</v>
      </c>
      <c r="AC42" s="764" t="n">
        <v>0</v>
      </c>
      <c r="AD42" s="764" t="n">
        <v>381.121236</v>
      </c>
      <c r="AE42" s="764">
        <f>SUM(AB42:AD42)</f>
        <v/>
      </c>
      <c r="AF42" s="764" t="n">
        <v>2747.788321</v>
      </c>
      <c r="AG42" s="764" t="n">
        <v>0</v>
      </c>
      <c r="AH42" s="764" t="n">
        <v>613.27548</v>
      </c>
      <c r="AI42" s="764">
        <f>SUM(AF42:AH42)</f>
        <v/>
      </c>
      <c r="AJ42" s="764" t="n">
        <v>1566.390968</v>
      </c>
      <c r="AK42" s="764" t="n">
        <v>1037.679365</v>
      </c>
      <c r="AL42" s="764" t="n">
        <v>313.732955</v>
      </c>
      <c r="AM42" s="764">
        <f>SUM(AJ42:AL42)</f>
        <v/>
      </c>
      <c r="AN42" s="764" t="n">
        <v>4335.866577</v>
      </c>
      <c r="AO42" s="765">
        <f>IF(F42=0,"",K42/(F42/((YEAR(E42)*12+MONTH(E42))-(YEAR(D42)*12+MONTH(D42))+1)))</f>
        <v/>
      </c>
      <c r="AP42" s="412">
        <f>G42</f>
        <v/>
      </c>
      <c r="AQ42" s="765">
        <f>G42/F42</f>
        <v/>
      </c>
      <c r="AR42" s="766">
        <f>F42-G42</f>
        <v/>
      </c>
      <c r="AS42" s="767">
        <f>W42+AA42+AE42+AI42+AM42+AN42</f>
        <v/>
      </c>
      <c r="AT42" s="767">
        <f>K42+O42+S42</f>
        <v/>
      </c>
      <c r="AU42" s="764">
        <f>SUM(K42+O42+S42+W42+AA42+AE42+AI42+AM42+AN42)</f>
        <v/>
      </c>
      <c r="AV42" s="733" t="n"/>
      <c r="AW42" s="733" t="n"/>
      <c r="AX42" s="733" t="n"/>
      <c r="AY42" s="733" t="n"/>
      <c r="AZ42" s="733" t="n"/>
      <c r="BA42" s="733" t="n"/>
      <c r="BB42" s="768" t="n"/>
      <c r="BC42" s="769" t="n"/>
      <c r="BD42" s="769" t="n"/>
      <c r="BE42" s="769" t="n"/>
      <c r="BF42" s="769" t="n"/>
      <c r="BG42" s="769" t="n"/>
      <c r="BH42" s="769" t="n"/>
      <c r="BI42" s="769" t="n"/>
      <c r="BJ42" s="769" t="n"/>
      <c r="BK42" s="769" t="n"/>
      <c r="BL42" s="769" t="n"/>
      <c r="BM42" s="769" t="n"/>
      <c r="BN42" s="769" t="n"/>
      <c r="BO42" s="769" t="n"/>
      <c r="BP42" s="769" t="n"/>
      <c r="BQ42" s="769" t="n"/>
      <c r="BR42" s="769" t="n"/>
      <c r="BS42" s="769" t="n"/>
      <c r="BT42" s="769" t="n"/>
      <c r="BU42" s="769" t="n"/>
      <c r="BV42" s="769" t="n"/>
      <c r="BW42" s="769" t="n"/>
    </row>
    <row r="43" outlineLevel="1" ht="14.25" customFormat="1" customHeight="1" s="483">
      <c r="A43" s="733" t="n"/>
      <c r="B43" s="762" t="inlineStr">
        <is>
          <t>理财师003</t>
        </is>
      </c>
      <c r="C43" s="762" t="inlineStr">
        <is>
          <t>私人财富管理专家PWA4-1</t>
        </is>
      </c>
      <c r="D43" s="763" t="n">
        <v>46204</v>
      </c>
      <c r="E43" s="763" t="n">
        <v>46387</v>
      </c>
      <c r="F43" s="764" t="n">
        <v>27907.62</v>
      </c>
      <c r="G43" s="764" t="n">
        <v>9788.342257</v>
      </c>
      <c r="H43" s="764" t="n">
        <v>1323.7263</v>
      </c>
      <c r="I43" s="764" t="n">
        <v>0</v>
      </c>
      <c r="J43" s="764" t="n">
        <v>0</v>
      </c>
      <c r="K43" s="764">
        <f>SUM(H43:J43)</f>
        <v/>
      </c>
      <c r="L43" s="764" t="n">
        <v>2388.006451</v>
      </c>
      <c r="M43" s="764" t="n">
        <v>0</v>
      </c>
      <c r="N43" s="764" t="n">
        <v>1946.911712</v>
      </c>
      <c r="O43" s="764">
        <f>SUM(L43:N43)</f>
        <v/>
      </c>
      <c r="P43" s="764" t="n">
        <v>2196.120188</v>
      </c>
      <c r="Q43" s="764" t="n">
        <v>0</v>
      </c>
      <c r="R43" s="764" t="n">
        <v>1933.577606</v>
      </c>
      <c r="S43" s="764">
        <f>SUM(P43:R43)</f>
        <v/>
      </c>
      <c r="T43" s="764" t="n">
        <v>3023.349137</v>
      </c>
      <c r="U43" s="764" t="n">
        <v>0</v>
      </c>
      <c r="V43" s="764" t="n">
        <v>2172.888255</v>
      </c>
      <c r="W43" s="764">
        <f>SUM(T43:V43)</f>
        <v/>
      </c>
      <c r="X43" s="764" t="n">
        <v>2530.119274</v>
      </c>
      <c r="Y43" s="764" t="n">
        <v>2029.71366</v>
      </c>
      <c r="Z43" s="764" t="n">
        <v>1772.582909</v>
      </c>
      <c r="AA43" s="764">
        <f>SUM(X43:Z43)</f>
        <v/>
      </c>
      <c r="AB43" s="764" t="n">
        <v>567.268131</v>
      </c>
      <c r="AC43" s="764" t="n">
        <v>0</v>
      </c>
      <c r="AD43" s="764" t="n">
        <v>1666.262563</v>
      </c>
      <c r="AE43" s="764">
        <f>SUM(AB43:AD43)</f>
        <v/>
      </c>
      <c r="AF43" s="764" t="n">
        <v>1550.383391</v>
      </c>
      <c r="AG43" s="764" t="n">
        <v>0</v>
      </c>
      <c r="AH43" s="764" t="n">
        <v>2273.498356</v>
      </c>
      <c r="AI43" s="764">
        <f>SUM(AF43:AH43)</f>
        <v/>
      </c>
      <c r="AJ43" s="764" t="n">
        <v>1396.194268</v>
      </c>
      <c r="AK43" s="764" t="n">
        <v>0</v>
      </c>
      <c r="AL43" s="764" t="n">
        <v>1388.558583</v>
      </c>
      <c r="AM43" s="764">
        <f>SUM(AJ43:AL43)</f>
        <v/>
      </c>
      <c r="AN43" s="764" t="n">
        <v>7202.586607</v>
      </c>
      <c r="AO43" s="765">
        <f>IF(F43=0,"",K43/(F43/((YEAR(E43)*12+MONTH(E43))-(YEAR(D43)*12+MONTH(D43))+1)))</f>
        <v/>
      </c>
      <c r="AP43" s="412">
        <f>G43</f>
        <v/>
      </c>
      <c r="AQ43" s="765">
        <f>G43/F43</f>
        <v/>
      </c>
      <c r="AR43" s="766">
        <f>F43-G43</f>
        <v/>
      </c>
      <c r="AS43" s="767">
        <f>W43+AA43+AE43+AI43+AM43+AN43</f>
        <v/>
      </c>
      <c r="AT43" s="767">
        <f>K43+O43+S43</f>
        <v/>
      </c>
      <c r="AU43" s="764">
        <f>SUM(K43+O43+S43+W43+AA43+AE43+AI43+AM43+AN43)</f>
        <v/>
      </c>
      <c r="AV43" s="733" t="n"/>
      <c r="AW43" s="733" t="n"/>
      <c r="AX43" s="733" t="n"/>
      <c r="AY43" s="733" t="n"/>
      <c r="AZ43" s="733" t="n"/>
      <c r="BA43" s="733" t="n"/>
      <c r="BB43" s="768" t="n"/>
      <c r="BC43" s="769" t="n"/>
      <c r="BD43" s="769" t="n"/>
      <c r="BE43" s="769" t="n"/>
      <c r="BF43" s="769" t="n"/>
      <c r="BG43" s="769" t="n"/>
      <c r="BH43" s="769" t="n"/>
      <c r="BI43" s="769" t="n"/>
      <c r="BJ43" s="769" t="n"/>
      <c r="BK43" s="769" t="n"/>
      <c r="BL43" s="769" t="n"/>
      <c r="BM43" s="769" t="n"/>
      <c r="BN43" s="769" t="n"/>
      <c r="BO43" s="769" t="n"/>
      <c r="BP43" s="769" t="n"/>
      <c r="BQ43" s="769" t="n"/>
      <c r="BR43" s="769" t="n"/>
      <c r="BS43" s="769" t="n"/>
      <c r="BT43" s="769" t="n"/>
      <c r="BU43" s="769" t="n"/>
      <c r="BV43" s="769" t="n"/>
      <c r="BW43" s="769" t="n"/>
    </row>
    <row r="44" outlineLevel="1" ht="14.25" customFormat="1" customHeight="1" s="483">
      <c r="A44" s="733" t="n"/>
      <c r="B44" s="762" t="inlineStr">
        <is>
          <t>理财师029</t>
        </is>
      </c>
      <c r="C44" s="762" t="inlineStr">
        <is>
          <t>私人财富管理专家PWA4-3</t>
        </is>
      </c>
      <c r="D44" s="763" t="n">
        <v>46150</v>
      </c>
      <c r="E44" s="763" t="n">
        <v>46333</v>
      </c>
      <c r="F44" s="764" t="n">
        <v>16404.52</v>
      </c>
      <c r="G44" s="764" t="n">
        <v>1002.070899</v>
      </c>
      <c r="H44" s="764" t="n">
        <v>0</v>
      </c>
      <c r="I44" s="764" t="n">
        <v>0</v>
      </c>
      <c r="J44" s="764" t="n">
        <v>0</v>
      </c>
      <c r="K44" s="764">
        <f>SUM(H44:J44)</f>
        <v/>
      </c>
      <c r="L44" s="764" t="n">
        <v>0</v>
      </c>
      <c r="M44" s="764" t="n">
        <v>0</v>
      </c>
      <c r="N44" s="764" t="n">
        <v>88.20407299999999</v>
      </c>
      <c r="O44" s="764">
        <f>SUM(L44:N44)</f>
        <v/>
      </c>
      <c r="P44" s="764" t="n">
        <v>82.44040800000001</v>
      </c>
      <c r="Q44" s="764" t="n">
        <v>0</v>
      </c>
      <c r="R44" s="764" t="n">
        <v>63.309731</v>
      </c>
      <c r="S44" s="764">
        <f>SUM(P44:R44)</f>
        <v/>
      </c>
      <c r="T44" s="764" t="n">
        <v>644.8338</v>
      </c>
      <c r="U44" s="764" t="n">
        <v>64.736256</v>
      </c>
      <c r="V44" s="764" t="n">
        <v>38.329254</v>
      </c>
      <c r="W44" s="764">
        <f>SUM(T44:V44)</f>
        <v/>
      </c>
      <c r="X44" s="764" t="n">
        <v>0</v>
      </c>
      <c r="Y44" s="764" t="n">
        <v>0</v>
      </c>
      <c r="Z44" s="764" t="n">
        <v>20.217377</v>
      </c>
      <c r="AA44" s="764">
        <f>SUM(X44:Z44)</f>
        <v/>
      </c>
      <c r="AB44" s="764" t="n">
        <v>410.9235</v>
      </c>
      <c r="AC44" s="764" t="n">
        <v>0</v>
      </c>
      <c r="AD44" s="764" t="n">
        <v>4.340061</v>
      </c>
      <c r="AE44" s="764">
        <f>SUM(AB44:AD44)</f>
        <v/>
      </c>
      <c r="AF44" s="764" t="n">
        <v>0</v>
      </c>
      <c r="AG44" s="764" t="n">
        <v>0</v>
      </c>
      <c r="AH44" s="764" t="n">
        <v>5.058234</v>
      </c>
      <c r="AI44" s="764">
        <f>SUM(AF44:AH44)</f>
        <v/>
      </c>
      <c r="AJ44" s="764" t="n">
        <v>0</v>
      </c>
      <c r="AK44" s="764" t="n">
        <v>0</v>
      </c>
      <c r="AL44" s="764" t="n">
        <v>1.127915</v>
      </c>
      <c r="AM44" s="764">
        <f>SUM(AJ44:AL44)</f>
        <v/>
      </c>
      <c r="AN44" s="764" t="n">
        <v>0</v>
      </c>
      <c r="AO44" s="765">
        <f>IF(F44=0,"",K44/(F44/((YEAR(E44)*12+MONTH(E44))-(YEAR(D44)*12+MONTH(D44))+1)))</f>
        <v/>
      </c>
      <c r="AP44" s="412">
        <f>G44</f>
        <v/>
      </c>
      <c r="AQ44" s="765">
        <f>G44/F44</f>
        <v/>
      </c>
      <c r="AR44" s="766">
        <f>F44-G44</f>
        <v/>
      </c>
      <c r="AS44" s="767">
        <f>W44+AA44+AE44+AI44+AM44+AN44</f>
        <v/>
      </c>
      <c r="AT44" s="767">
        <f>K44+O44+S44</f>
        <v/>
      </c>
      <c r="AU44" s="764">
        <f>SUM(K44+O44+S44+W44+AA44+AE44+AI44+AM44+AN44)</f>
        <v/>
      </c>
      <c r="AV44" s="733" t="n"/>
      <c r="AW44" s="733" t="n"/>
      <c r="AX44" s="733" t="n"/>
      <c r="AY44" s="733" t="n"/>
      <c r="AZ44" s="733" t="n"/>
      <c r="BA44" s="733" t="n"/>
      <c r="BB44" s="768" t="n"/>
      <c r="BC44" s="769" t="n"/>
      <c r="BD44" s="769" t="n"/>
      <c r="BE44" s="769" t="n"/>
      <c r="BF44" s="769" t="n"/>
      <c r="BG44" s="769" t="n"/>
      <c r="BH44" s="769" t="n"/>
      <c r="BI44" s="769" t="n"/>
      <c r="BJ44" s="769" t="n"/>
      <c r="BK44" s="769" t="n"/>
      <c r="BL44" s="769" t="n"/>
      <c r="BM44" s="769" t="n"/>
      <c r="BN44" s="769" t="n"/>
      <c r="BO44" s="769" t="n"/>
      <c r="BP44" s="769" t="n"/>
      <c r="BQ44" s="769" t="n"/>
      <c r="BR44" s="769" t="n"/>
      <c r="BS44" s="769" t="n"/>
      <c r="BT44" s="769" t="n"/>
      <c r="BU44" s="769" t="n"/>
      <c r="BV44" s="769" t="n"/>
      <c r="BW44" s="769" t="n"/>
    </row>
    <row r="45" outlineLevel="1" ht="14.25" customFormat="1" customHeight="1" s="483">
      <c r="A45" s="733" t="n"/>
      <c r="B45" s="762" t="inlineStr">
        <is>
          <t>理财师004</t>
        </is>
      </c>
      <c r="C45" s="762" t="n"/>
      <c r="D45" s="762" t="n"/>
      <c r="E45" s="762" t="n"/>
      <c r="F45" s="764" t="n">
        <v>0</v>
      </c>
      <c r="G45" s="764" t="n">
        <v>0</v>
      </c>
      <c r="H45" s="764" t="n">
        <v>225.576</v>
      </c>
      <c r="I45" s="764" t="n">
        <v>0</v>
      </c>
      <c r="J45" s="764" t="n">
        <v>0</v>
      </c>
      <c r="K45" s="764">
        <f>SUM(H45:J45)</f>
        <v/>
      </c>
      <c r="L45" s="764" t="n">
        <v>0.41799</v>
      </c>
      <c r="M45" s="764" t="n">
        <v>0</v>
      </c>
      <c r="N45" s="764" t="n">
        <v>729.22347</v>
      </c>
      <c r="O45" s="764">
        <f>SUM(L45:N45)</f>
        <v/>
      </c>
      <c r="P45" s="764" t="n">
        <v>2342.188811</v>
      </c>
      <c r="Q45" s="764" t="n">
        <v>0</v>
      </c>
      <c r="R45" s="764" t="n">
        <v>679.948757</v>
      </c>
      <c r="S45" s="764">
        <f>SUM(P45:R45)</f>
        <v/>
      </c>
      <c r="T45" s="764" t="n">
        <v>485.207489</v>
      </c>
      <c r="U45" s="764" t="n">
        <v>0</v>
      </c>
      <c r="V45" s="764" t="n">
        <v>647.4247319999999</v>
      </c>
      <c r="W45" s="764">
        <f>SUM(T45:V45)</f>
        <v/>
      </c>
      <c r="X45" s="764" t="n">
        <v>2310.349392</v>
      </c>
      <c r="Y45" s="764" t="n">
        <v>0</v>
      </c>
      <c r="Z45" s="764" t="n">
        <v>578.575409</v>
      </c>
      <c r="AA45" s="764">
        <f>SUM(X45:Z45)</f>
        <v/>
      </c>
      <c r="AB45" s="764" t="n">
        <v>753.431552</v>
      </c>
      <c r="AC45" s="764" t="n">
        <v>0</v>
      </c>
      <c r="AD45" s="764" t="n">
        <v>578.295302</v>
      </c>
      <c r="AE45" s="764">
        <f>SUM(AB45:AD45)</f>
        <v/>
      </c>
      <c r="AF45" s="764" t="n">
        <v>1958.298381</v>
      </c>
      <c r="AG45" s="764" t="n">
        <v>0</v>
      </c>
      <c r="AH45" s="764" t="n">
        <v>652.1048489999999</v>
      </c>
      <c r="AI45" s="764">
        <f>SUM(AF45:AH45)</f>
        <v/>
      </c>
      <c r="AJ45" s="764" t="n">
        <v>2837.047697</v>
      </c>
      <c r="AK45" s="764" t="n">
        <v>0</v>
      </c>
      <c r="AL45" s="764" t="n">
        <v>460.81999</v>
      </c>
      <c r="AM45" s="764">
        <f>SUM(AJ45:AL45)</f>
        <v/>
      </c>
      <c r="AN45" s="764" t="n">
        <v>2541.530781</v>
      </c>
      <c r="AO45" s="765">
        <f>IF(F45=0,"",K45/(F45/MAX(1,(YEAR(E45)*12+MONTH(E45))-(YEAR(D45)*12+MONTH(D45))+1)))</f>
        <v/>
      </c>
      <c r="AP45" s="412">
        <f>G45</f>
        <v/>
      </c>
      <c r="AQ45" s="765">
        <f>G45/F45</f>
        <v/>
      </c>
      <c r="AR45" s="766">
        <f>F45-G45</f>
        <v/>
      </c>
      <c r="AS45" s="767">
        <f>W45+AA45+AE45+AI45+AM45+AN45</f>
        <v/>
      </c>
      <c r="AT45" s="767">
        <f>K45+O45+S45</f>
        <v/>
      </c>
      <c r="AU45" s="764">
        <f>SUM(K45+O45+S45+W45+AA45+AE45+AI45+AM45+AN45)</f>
        <v/>
      </c>
      <c r="AV45" s="733" t="n"/>
      <c r="AW45" s="733" t="n"/>
      <c r="AX45" s="733" t="n"/>
      <c r="AY45" s="733" t="n"/>
      <c r="AZ45" s="733" t="n"/>
      <c r="BA45" s="733" t="n"/>
      <c r="BB45" s="768" t="n"/>
      <c r="BC45" s="769" t="n"/>
      <c r="BD45" s="769" t="n"/>
      <c r="BE45" s="769" t="n"/>
      <c r="BF45" s="769" t="n"/>
      <c r="BG45" s="769" t="n"/>
      <c r="BH45" s="769" t="n"/>
      <c r="BI45" s="769" t="n"/>
      <c r="BJ45" s="769" t="n"/>
      <c r="BK45" s="769" t="n"/>
      <c r="BL45" s="769" t="n"/>
      <c r="BM45" s="769" t="n"/>
      <c r="BN45" s="769" t="n"/>
      <c r="BO45" s="769" t="n"/>
      <c r="BP45" s="769" t="n"/>
      <c r="BQ45" s="769" t="n"/>
      <c r="BR45" s="769" t="n"/>
      <c r="BS45" s="769" t="n"/>
      <c r="BT45" s="769" t="n"/>
      <c r="BU45" s="769" t="n"/>
      <c r="BV45" s="769" t="n"/>
      <c r="BW45" s="769" t="n"/>
    </row>
    <row r="46" outlineLevel="1" ht="14.25" customFormat="1" customHeight="1" s="483">
      <c r="A46" s="733" t="n"/>
      <c r="B46" s="762" t="inlineStr">
        <is>
          <t>理财师012</t>
        </is>
      </c>
      <c r="C46" s="762" t="inlineStr">
        <is>
          <t>首席私人财富管理专家PWA5-1</t>
        </is>
      </c>
      <c r="D46" s="763" t="n">
        <v>46204</v>
      </c>
      <c r="E46" s="763" t="n">
        <v>46387</v>
      </c>
      <c r="F46" s="764" t="n">
        <v>39973.5</v>
      </c>
      <c r="G46" s="764" t="n">
        <v>10120.72091</v>
      </c>
      <c r="H46" s="764" t="n">
        <v>289.52235</v>
      </c>
      <c r="I46" s="764" t="n">
        <v>0</v>
      </c>
      <c r="J46" s="764" t="n">
        <v>0</v>
      </c>
      <c r="K46" s="764">
        <f>SUM(H46:J46)</f>
        <v/>
      </c>
      <c r="L46" s="764" t="n">
        <v>618.398062</v>
      </c>
      <c r="M46" s="764" t="n">
        <v>0</v>
      </c>
      <c r="N46" s="764" t="n">
        <v>949.197436</v>
      </c>
      <c r="O46" s="764">
        <f>SUM(L46:N46)</f>
        <v/>
      </c>
      <c r="P46" s="764" t="n">
        <v>5577.752095</v>
      </c>
      <c r="Q46" s="764" t="n">
        <v>0</v>
      </c>
      <c r="R46" s="764" t="n">
        <v>2685.850967</v>
      </c>
      <c r="S46" s="764">
        <f>SUM(P46:R46)</f>
        <v/>
      </c>
      <c r="T46" s="764" t="n">
        <v>5710.083829</v>
      </c>
      <c r="U46" s="764" t="n">
        <v>0</v>
      </c>
      <c r="V46" s="764" t="n">
        <v>4494.277957</v>
      </c>
      <c r="W46" s="764">
        <f>SUM(T46:V46)</f>
        <v/>
      </c>
      <c r="X46" s="764" t="n">
        <v>5099.256359</v>
      </c>
      <c r="Y46" s="764" t="n">
        <v>0</v>
      </c>
      <c r="Z46" s="764" t="n">
        <v>2165.674642</v>
      </c>
      <c r="AA46" s="764">
        <f>SUM(X46:Z46)</f>
        <v/>
      </c>
      <c r="AB46" s="764" t="n">
        <v>937.141286</v>
      </c>
      <c r="AC46" s="764" t="n">
        <v>0</v>
      </c>
      <c r="AD46" s="764" t="n">
        <v>1775.786688</v>
      </c>
      <c r="AE46" s="764">
        <f>SUM(AB46:AD46)</f>
        <v/>
      </c>
      <c r="AF46" s="764" t="n">
        <v>3160.387028</v>
      </c>
      <c r="AG46" s="764" t="n">
        <v>0</v>
      </c>
      <c r="AH46" s="764" t="n">
        <v>3880.484178</v>
      </c>
      <c r="AI46" s="764">
        <f>SUM(AF46:AH46)</f>
        <v/>
      </c>
      <c r="AJ46" s="764" t="n">
        <v>3065.24731</v>
      </c>
      <c r="AK46" s="764" t="n">
        <v>0</v>
      </c>
      <c r="AL46" s="764" t="n">
        <v>1466.609142</v>
      </c>
      <c r="AM46" s="764">
        <f>SUM(AJ46:AL46)</f>
        <v/>
      </c>
      <c r="AN46" s="764" t="n">
        <v>4881.758761</v>
      </c>
      <c r="AO46" s="765">
        <f>IF(F46=0,"",K46/(F46/((YEAR(E46)*12+MONTH(E46))-(YEAR(D46)*12+MONTH(D46))+1)))</f>
        <v/>
      </c>
      <c r="AP46" s="412">
        <f>G46</f>
        <v/>
      </c>
      <c r="AQ46" s="765">
        <f>G46/F46</f>
        <v/>
      </c>
      <c r="AR46" s="766">
        <f>F46-G46</f>
        <v/>
      </c>
      <c r="AS46" s="767">
        <f>W46+AA46+AE46+AI46+AM46+AN46</f>
        <v/>
      </c>
      <c r="AT46" s="767">
        <f>K46+O46+S46</f>
        <v/>
      </c>
      <c r="AU46" s="764">
        <f>SUM(K46+O46+S46+W46+AA46+AE46+AI46+AM46+AN46)</f>
        <v/>
      </c>
      <c r="AV46" s="733" t="n"/>
      <c r="AW46" s="733" t="n"/>
      <c r="AX46" s="733" t="n"/>
      <c r="AY46" s="733" t="n"/>
      <c r="AZ46" s="733" t="n"/>
      <c r="BA46" s="733" t="n"/>
      <c r="BB46" s="768" t="n"/>
      <c r="BC46" s="769" t="n"/>
      <c r="BD46" s="769" t="n"/>
      <c r="BE46" s="769" t="n"/>
      <c r="BF46" s="769" t="n"/>
      <c r="BG46" s="769" t="n"/>
      <c r="BH46" s="769" t="n"/>
      <c r="BI46" s="769" t="n"/>
      <c r="BJ46" s="769" t="n"/>
      <c r="BK46" s="769" t="n"/>
      <c r="BL46" s="769" t="n"/>
      <c r="BM46" s="769" t="n"/>
      <c r="BN46" s="769" t="n"/>
      <c r="BO46" s="769" t="n"/>
      <c r="BP46" s="769" t="n"/>
      <c r="BQ46" s="769" t="n"/>
      <c r="BR46" s="769" t="n"/>
      <c r="BS46" s="769" t="n"/>
      <c r="BT46" s="769" t="n"/>
      <c r="BU46" s="769" t="n"/>
      <c r="BV46" s="769" t="n"/>
      <c r="BW46" s="769" t="n"/>
    </row>
    <row r="47" outlineLevel="1" ht="14.25" customFormat="1" customHeight="1" s="483">
      <c r="A47" s="737" t="n"/>
      <c r="B47" s="762" t="inlineStr">
        <is>
          <t>理财师031</t>
        </is>
      </c>
      <c r="C47" s="762" t="inlineStr">
        <is>
          <t>私人财富管理总监PWA3-1</t>
        </is>
      </c>
      <c r="D47" s="763" t="n">
        <v>46244</v>
      </c>
      <c r="E47" s="763" t="n">
        <v>46427</v>
      </c>
      <c r="F47" s="764" t="n">
        <v>14903.6</v>
      </c>
      <c r="G47" s="764" t="n">
        <v>0</v>
      </c>
      <c r="H47" s="764" t="n">
        <v>0</v>
      </c>
      <c r="I47" s="764" t="n">
        <v>0</v>
      </c>
      <c r="J47" s="764" t="n">
        <v>0</v>
      </c>
      <c r="K47" s="764">
        <f>SUM(H47:J47)</f>
        <v/>
      </c>
      <c r="L47" s="764" t="n">
        <v>0</v>
      </c>
      <c r="M47" s="764" t="n">
        <v>0</v>
      </c>
      <c r="N47" s="764" t="n">
        <v>0</v>
      </c>
      <c r="O47" s="764">
        <f>SUM(L47:N47)</f>
        <v/>
      </c>
      <c r="P47" s="764" t="n">
        <v>86.0985</v>
      </c>
      <c r="Q47" s="764" t="n">
        <v>0</v>
      </c>
      <c r="R47" s="764" t="n">
        <v>0</v>
      </c>
      <c r="S47" s="764">
        <f>SUM(P47:R47)</f>
        <v/>
      </c>
      <c r="T47" s="764" t="n">
        <v>213.405454</v>
      </c>
      <c r="U47" s="764" t="n">
        <v>0</v>
      </c>
      <c r="V47" s="764" t="n">
        <v>9.135904</v>
      </c>
      <c r="W47" s="764">
        <f>SUM(T47:V47)</f>
        <v/>
      </c>
      <c r="X47" s="764" t="n">
        <v>1006.091686</v>
      </c>
      <c r="Y47" s="764" t="n">
        <v>0</v>
      </c>
      <c r="Z47" s="764" t="n">
        <v>0</v>
      </c>
      <c r="AA47" s="764">
        <f>SUM(X47:Z47)</f>
        <v/>
      </c>
      <c r="AB47" s="764" t="n">
        <v>73.317948</v>
      </c>
      <c r="AC47" s="764" t="n">
        <v>0</v>
      </c>
      <c r="AD47" s="764" t="n">
        <v>0</v>
      </c>
      <c r="AE47" s="764">
        <f>SUM(AB47:AD47)</f>
        <v/>
      </c>
      <c r="AF47" s="764" t="n">
        <v>0</v>
      </c>
      <c r="AG47" s="764" t="n">
        <v>0</v>
      </c>
      <c r="AH47" s="764" t="n">
        <v>0</v>
      </c>
      <c r="AI47" s="764">
        <f>SUM(AF47:AH47)</f>
        <v/>
      </c>
      <c r="AJ47" s="764" t="n">
        <v>0</v>
      </c>
      <c r="AK47" s="764" t="n">
        <v>0</v>
      </c>
      <c r="AL47" s="764" t="n">
        <v>0</v>
      </c>
      <c r="AM47" s="764">
        <f>SUM(AJ47:AL47)</f>
        <v/>
      </c>
      <c r="AN47" s="764" t="n">
        <v>0</v>
      </c>
      <c r="AO47" s="765">
        <f>IF(F47=0,"",K47/(F47/((YEAR(E47)*12+MONTH(E47))-(YEAR(D47)*12+MONTH(D47))+1)))</f>
        <v/>
      </c>
      <c r="AP47" s="412">
        <f>G47</f>
        <v/>
      </c>
      <c r="AQ47" s="765">
        <f>G47/F47</f>
        <v/>
      </c>
      <c r="AR47" s="766">
        <f>F47-G47</f>
        <v/>
      </c>
      <c r="AS47" s="767">
        <f>W47+AA47+AE47+AI47+AM47+AN47</f>
        <v/>
      </c>
      <c r="AT47" s="767">
        <f>K47+O47+S47</f>
        <v/>
      </c>
      <c r="AU47" s="764">
        <f>SUM(K47+O47+S47+W47+AA47+AE47+AI47+AM47+AN47)</f>
        <v/>
      </c>
      <c r="AV47" s="737" t="n"/>
      <c r="AW47" s="737" t="n"/>
      <c r="AX47" s="737" t="n"/>
      <c r="AY47" s="737" t="n"/>
      <c r="AZ47" s="737" t="n"/>
      <c r="BA47" s="737" t="n"/>
      <c r="BB47" s="768" t="n"/>
      <c r="BC47" s="769" t="n"/>
      <c r="BD47" s="769" t="n"/>
      <c r="BE47" s="769" t="n"/>
      <c r="BF47" s="769" t="n"/>
      <c r="BG47" s="769" t="n"/>
      <c r="BH47" s="769" t="n"/>
      <c r="BI47" s="769" t="n"/>
      <c r="BJ47" s="769" t="n"/>
      <c r="BK47" s="769" t="n"/>
      <c r="BL47" s="769" t="n"/>
      <c r="BM47" s="769" t="n"/>
      <c r="BN47" s="769" t="n"/>
      <c r="BO47" s="769" t="n"/>
      <c r="BP47" s="769" t="n"/>
      <c r="BQ47" s="769" t="n"/>
      <c r="BR47" s="769" t="n"/>
      <c r="BS47" s="769" t="n"/>
      <c r="BT47" s="769" t="n"/>
      <c r="BU47" s="769" t="n"/>
      <c r="BV47" s="769" t="n"/>
      <c r="BW47" s="769" t="n"/>
    </row>
    <row r="48" outlineLevel="1" ht="14.25" customFormat="1" customHeight="1" s="483">
      <c r="A48" s="738" t="inlineStr">
        <is>
          <t>合计</t>
        </is>
      </c>
      <c r="B48" s="739" t="n"/>
      <c r="C48" s="739" t="n"/>
      <c r="D48" s="739" t="n"/>
      <c r="E48" s="740" t="n"/>
      <c r="F48" s="379">
        <f>SUM(F41:F47)</f>
        <v/>
      </c>
      <c r="G48" s="379">
        <f>SUM(G41:G47)</f>
        <v/>
      </c>
      <c r="H48" s="379">
        <f>SUM(H41:H47)</f>
        <v/>
      </c>
      <c r="I48" s="379">
        <f>SUM(I41:I47)</f>
        <v/>
      </c>
      <c r="J48" s="379">
        <f>SUM(J41:J47)</f>
        <v/>
      </c>
      <c r="K48" s="379">
        <f>SUM(K41:K47)</f>
        <v/>
      </c>
      <c r="L48" s="379">
        <f>SUM(L41:L47)</f>
        <v/>
      </c>
      <c r="M48" s="379">
        <f>SUM(M41:M47)</f>
        <v/>
      </c>
      <c r="N48" s="379">
        <f>SUM(N41:N47)</f>
        <v/>
      </c>
      <c r="O48" s="379">
        <f>SUM(O41:O47)</f>
        <v/>
      </c>
      <c r="P48" s="379">
        <f>SUM(P41:P47)</f>
        <v/>
      </c>
      <c r="Q48" s="379">
        <f>SUM(Q41:Q47)</f>
        <v/>
      </c>
      <c r="R48" s="379">
        <f>SUM(R41:R47)</f>
        <v/>
      </c>
      <c r="S48" s="379">
        <f>SUM(S41:S47)</f>
        <v/>
      </c>
      <c r="T48" s="379">
        <f>SUM(T41:T47)</f>
        <v/>
      </c>
      <c r="U48" s="379">
        <f>SUM(U41:U47)</f>
        <v/>
      </c>
      <c r="V48" s="379">
        <f>SUM(V41:V47)</f>
        <v/>
      </c>
      <c r="W48" s="379">
        <f>SUM(W41:W47)</f>
        <v/>
      </c>
      <c r="X48" s="379">
        <f>SUM(X41:X47)</f>
        <v/>
      </c>
      <c r="Y48" s="379">
        <f>SUM(Y41:Y47)</f>
        <v/>
      </c>
      <c r="Z48" s="379">
        <f>SUM(Z41:Z47)</f>
        <v/>
      </c>
      <c r="AA48" s="379">
        <f>SUM(AA41:AA47)</f>
        <v/>
      </c>
      <c r="AB48" s="379">
        <f>SUM(AB41:AB47)</f>
        <v/>
      </c>
      <c r="AC48" s="379">
        <f>SUM(AC41:AC47)</f>
        <v/>
      </c>
      <c r="AD48" s="379">
        <f>SUM(AD41:AD47)</f>
        <v/>
      </c>
      <c r="AE48" s="379">
        <f>SUM(AE41:AE47)</f>
        <v/>
      </c>
      <c r="AF48" s="379">
        <f>SUM(AF41:AF47)</f>
        <v/>
      </c>
      <c r="AG48" s="379">
        <f>SUM(AG41:AG47)</f>
        <v/>
      </c>
      <c r="AH48" s="379">
        <f>SUM(AH41:AH47)</f>
        <v/>
      </c>
      <c r="AI48" s="379">
        <f>SUM(AI41:AI47)</f>
        <v/>
      </c>
      <c r="AJ48" s="379">
        <f>SUM(AJ41:AJ47)</f>
        <v/>
      </c>
      <c r="AK48" s="379">
        <f>SUM(AK41:AK47)</f>
        <v/>
      </c>
      <c r="AL48" s="379">
        <f>SUM(AL41:AL47)</f>
        <v/>
      </c>
      <c r="AM48" s="379">
        <f>SUM(AM41:AM47)</f>
        <v/>
      </c>
      <c r="AN48" s="379">
        <f>SUM(AN41:AN47)</f>
        <v/>
      </c>
      <c r="AO48" s="381">
        <f>IF(F48=0,"",K48/(F48/((YEAR(E41)*12+MONTH(E41))-(YEAR(D41)*12+MONTH(D41))+1)))</f>
        <v/>
      </c>
      <c r="AP48" s="379">
        <f>G48</f>
        <v/>
      </c>
      <c r="AQ48" s="382">
        <f>G48/F48</f>
        <v/>
      </c>
      <c r="AR48" s="418">
        <f>F48-G48</f>
        <v/>
      </c>
      <c r="AS48" s="379">
        <f>SUM(AS41:AS47)</f>
        <v/>
      </c>
      <c r="AT48" s="379">
        <f>SUM(AT41:AT47)</f>
        <v/>
      </c>
      <c r="AU48" s="379">
        <f>SUM(K48+O48+S48+W48+AA48+AE48+AI48+AM48+AN48)</f>
        <v/>
      </c>
      <c r="AV48" s="383">
        <f>AV41</f>
        <v/>
      </c>
      <c r="AW48" s="381">
        <f>AS48/AV41</f>
        <v/>
      </c>
      <c r="AX48" s="773">
        <f>AV41-AS48</f>
        <v/>
      </c>
      <c r="AY48" s="383">
        <f>AY41</f>
        <v/>
      </c>
      <c r="AZ48" s="381">
        <f>AZ41</f>
        <v/>
      </c>
      <c r="BA48" s="773">
        <f>BA41</f>
        <v/>
      </c>
      <c r="BB48" s="418">
        <f>AX48+BA48</f>
        <v/>
      </c>
      <c r="BC48" s="713" t="n"/>
      <c r="BD48" s="713" t="n"/>
      <c r="BE48" s="713" t="n"/>
      <c r="BF48" s="713" t="n"/>
      <c r="BG48" s="713" t="n"/>
      <c r="BH48" s="713" t="n"/>
      <c r="BI48" s="713" t="n"/>
      <c r="BJ48" s="713" t="n"/>
      <c r="BK48" s="713" t="n"/>
      <c r="BL48" s="713" t="n"/>
      <c r="BM48" s="713" t="n"/>
      <c r="BN48" s="713" t="n"/>
      <c r="BO48" s="713" t="n"/>
      <c r="BP48" s="713" t="n"/>
      <c r="BQ48" s="713" t="n"/>
      <c r="BR48" s="713" t="n"/>
      <c r="BS48" s="713" t="n"/>
      <c r="BT48" s="713" t="n"/>
      <c r="BU48" s="713" t="n"/>
      <c r="BV48" s="713" t="n"/>
      <c r="BW48" s="713" t="n"/>
    </row>
    <row r="49" ht="14.25" customFormat="1" customHeight="1" s="483">
      <c r="A49" s="729" t="inlineStr">
        <is>
          <t>其他团队</t>
        </is>
      </c>
      <c r="B49" s="729" t="inlineStr">
        <is>
          <t>理财师037</t>
        </is>
      </c>
      <c r="C49" s="729" t="n"/>
      <c r="D49" s="730" t="n"/>
      <c r="E49" s="730" t="n"/>
      <c r="F49" s="363" t="n">
        <v>0</v>
      </c>
      <c r="G49" s="363" t="n">
        <v>0</v>
      </c>
      <c r="H49" s="363" t="n">
        <v>0</v>
      </c>
      <c r="I49" s="363" t="n">
        <v>0</v>
      </c>
      <c r="J49" s="363" t="n">
        <v>0</v>
      </c>
      <c r="K49" s="363">
        <f>SUM(H49:J49)</f>
        <v/>
      </c>
      <c r="L49" s="363" t="n">
        <v>0</v>
      </c>
      <c r="M49" s="363" t="n">
        <v>0</v>
      </c>
      <c r="N49" s="363" t="n">
        <v>0</v>
      </c>
      <c r="O49" s="363">
        <f>SUM(L49:N49)</f>
        <v/>
      </c>
      <c r="P49" s="363" t="n">
        <v>0</v>
      </c>
      <c r="Q49" s="363" t="n">
        <v>0</v>
      </c>
      <c r="R49" s="363" t="n">
        <v>0</v>
      </c>
      <c r="S49" s="363">
        <f>SUM(P49:R49)</f>
        <v/>
      </c>
      <c r="T49" s="363" t="n">
        <v>0</v>
      </c>
      <c r="U49" s="363" t="n">
        <v>0</v>
      </c>
      <c r="V49" s="363" t="n">
        <v>0</v>
      </c>
      <c r="W49" s="363">
        <f>SUM(T49:V49)</f>
        <v/>
      </c>
      <c r="X49" s="363" t="n">
        <v>0</v>
      </c>
      <c r="Y49" s="363" t="n">
        <v>0</v>
      </c>
      <c r="Z49" s="363" t="n">
        <v>0</v>
      </c>
      <c r="AA49" s="363">
        <f>SUM(X49:Z49)</f>
        <v/>
      </c>
      <c r="AB49" s="363" t="n">
        <v>0</v>
      </c>
      <c r="AC49" s="363" t="n">
        <v>0</v>
      </c>
      <c r="AD49" s="363" t="n">
        <v>0</v>
      </c>
      <c r="AE49" s="363">
        <f>SUM(AB49:AD49)</f>
        <v/>
      </c>
      <c r="AF49" s="363" t="n">
        <v>0</v>
      </c>
      <c r="AG49" s="363" t="n">
        <v>0</v>
      </c>
      <c r="AH49" s="363" t="n">
        <v>0</v>
      </c>
      <c r="AI49" s="363">
        <f>SUM(AF49:AH49)</f>
        <v/>
      </c>
      <c r="AJ49" s="363" t="n">
        <v>0</v>
      </c>
      <c r="AK49" s="363" t="n">
        <v>0</v>
      </c>
      <c r="AL49" s="363" t="n">
        <v>0</v>
      </c>
      <c r="AM49" s="363">
        <f>SUM(AJ49:AL49)</f>
        <v/>
      </c>
      <c r="AN49" s="363" t="n">
        <v>0</v>
      </c>
      <c r="AO49" s="364">
        <f>IF(F49=0,"",K49/(F49/MAX(1,(YEAR(E49)*12+MONTH(E49))-(YEAR(D49)*12+MONTH(D49))+1)))</f>
        <v/>
      </c>
      <c r="AP49" s="409">
        <f>G49</f>
        <v/>
      </c>
      <c r="AQ49" s="364">
        <f>G49/F49</f>
        <v/>
      </c>
      <c r="AR49" s="759">
        <f>F49-G49</f>
        <v/>
      </c>
      <c r="AS49" s="409">
        <f>W49+AA49+AE49+AI49+AM49+AN49</f>
        <v/>
      </c>
      <c r="AT49" s="409">
        <f>K49+O49+S49</f>
        <v/>
      </c>
      <c r="AU49" s="363">
        <f>SUM(K49+O49+S49+W49+AA49+AE49+AI49+AM49+AN49)</f>
        <v/>
      </c>
      <c r="AV49" s="366">
        <f>SUM(F49:F50)</f>
        <v/>
      </c>
      <c r="AW49" s="367">
        <f>AW51</f>
        <v/>
      </c>
      <c r="AX49" s="760">
        <f>AX51</f>
        <v/>
      </c>
      <c r="AY49" s="366" t="n">
        <v>0</v>
      </c>
      <c r="AZ49" s="367">
        <f>IF(AY49=0,"",AT51/AY49)</f>
        <v/>
      </c>
      <c r="BA49" s="760">
        <f>AY49-AT51</f>
        <v/>
      </c>
      <c r="BB49" s="761" t="n"/>
      <c r="BC49" s="706" t="n"/>
      <c r="BD49" s="706" t="n"/>
      <c r="BE49" s="706" t="n"/>
      <c r="BF49" s="706" t="n"/>
      <c r="BG49" s="706" t="n"/>
      <c r="BH49" s="706" t="n"/>
      <c r="BI49" s="706" t="n"/>
      <c r="BJ49" s="706" t="n"/>
      <c r="BK49" s="706" t="n"/>
      <c r="BL49" s="706" t="n"/>
      <c r="BM49" s="706" t="n"/>
      <c r="BN49" s="706" t="n"/>
      <c r="BO49" s="706" t="n"/>
      <c r="BP49" s="706" t="n"/>
      <c r="BQ49" s="706" t="n"/>
      <c r="BR49" s="706" t="n"/>
      <c r="BS49" s="706" t="n"/>
      <c r="BT49" s="706" t="n"/>
      <c r="BU49" s="706" t="n"/>
      <c r="BV49" s="706" t="n"/>
      <c r="BW49" s="706" t="n"/>
    </row>
    <row r="50" ht="35.1" customFormat="1" customHeight="1" s="483">
      <c r="A50" s="737" t="n"/>
      <c r="B50" s="762" t="inlineStr">
        <is>
          <t>理财师036</t>
        </is>
      </c>
      <c r="C50" s="762" t="n"/>
      <c r="D50" s="762" t="n"/>
      <c r="E50" s="762" t="n"/>
      <c r="F50" s="764" t="n">
        <v>0</v>
      </c>
      <c r="G50" s="764" t="n">
        <v>1160.487097</v>
      </c>
      <c r="H50" s="764" t="n">
        <v>0</v>
      </c>
      <c r="I50" s="764" t="n">
        <v>0</v>
      </c>
      <c r="J50" s="764" t="n">
        <v>0</v>
      </c>
      <c r="K50" s="764">
        <f>SUM(H50:J50)</f>
        <v/>
      </c>
      <c r="L50" s="764" t="n">
        <v>0</v>
      </c>
      <c r="M50" s="764" t="n">
        <v>0</v>
      </c>
      <c r="N50" s="764" t="n">
        <v>21.965113</v>
      </c>
      <c r="O50" s="764">
        <f>SUM(L50:N50)</f>
        <v/>
      </c>
      <c r="P50" s="764" t="n">
        <v>277.611104</v>
      </c>
      <c r="Q50" s="764" t="n">
        <v>0</v>
      </c>
      <c r="R50" s="764" t="n">
        <v>18.180295</v>
      </c>
      <c r="S50" s="764">
        <f>SUM(P50:R50)</f>
        <v/>
      </c>
      <c r="T50" s="764" t="n">
        <v>0</v>
      </c>
      <c r="U50" s="764" t="n">
        <v>0</v>
      </c>
      <c r="V50" s="764" t="n">
        <v>18.001745</v>
      </c>
      <c r="W50" s="764">
        <f>SUM(T50:V50)</f>
        <v/>
      </c>
      <c r="X50" s="764" t="n">
        <v>0</v>
      </c>
      <c r="Y50" s="764" t="n">
        <v>0</v>
      </c>
      <c r="Z50" s="764" t="n">
        <v>17.966443</v>
      </c>
      <c r="AA50" s="764">
        <f>SUM(X50:Z50)</f>
        <v/>
      </c>
      <c r="AB50" s="764" t="n">
        <v>0</v>
      </c>
      <c r="AC50" s="764" t="n">
        <v>0</v>
      </c>
      <c r="AD50" s="764" t="n">
        <v>17.297678</v>
      </c>
      <c r="AE50" s="764">
        <f>SUM(AB50:AD50)</f>
        <v/>
      </c>
      <c r="AF50" s="764" t="n">
        <v>0</v>
      </c>
      <c r="AG50" s="764" t="n">
        <v>0</v>
      </c>
      <c r="AH50" s="764" t="n">
        <v>18.131765</v>
      </c>
      <c r="AI50" s="764">
        <f>SUM(AF50:AH50)</f>
        <v/>
      </c>
      <c r="AJ50" s="764" t="n">
        <v>0</v>
      </c>
      <c r="AK50" s="764" t="n">
        <v>0</v>
      </c>
      <c r="AL50" s="764" t="n">
        <v>15.942032</v>
      </c>
      <c r="AM50" s="764">
        <f>SUM(AJ50:AL50)</f>
        <v/>
      </c>
      <c r="AN50" s="764" t="n">
        <v>236.299733</v>
      </c>
      <c r="AO50" s="765">
        <f>IF(F50=0,"",K50/(F50/MAX(1,(YEAR(E50)*12+MONTH(E50))-(YEAR(D50)*12+MONTH(D50))+1)))</f>
        <v/>
      </c>
      <c r="AP50" s="412">
        <f>G50</f>
        <v/>
      </c>
      <c r="AQ50" s="765">
        <f>G50/F50</f>
        <v/>
      </c>
      <c r="AR50" s="766">
        <f>F50-G50</f>
        <v/>
      </c>
      <c r="AS50" s="767">
        <f>W50+AA50+AE50+AI50+AM50+AN50</f>
        <v/>
      </c>
      <c r="AT50" s="767">
        <f>K50+O50+S50</f>
        <v/>
      </c>
      <c r="AU50" s="764">
        <f>SUM(K50+O50+S50+W50+AA50+AE50+AI50+AM50+AN50)</f>
        <v/>
      </c>
      <c r="AV50" s="737" t="n"/>
      <c r="AW50" s="737" t="n"/>
      <c r="AX50" s="737" t="n"/>
      <c r="AY50" s="737" t="n"/>
      <c r="AZ50" s="737" t="n"/>
      <c r="BA50" s="737" t="n"/>
      <c r="BB50" s="768" t="n"/>
      <c r="BC50" s="769" t="n"/>
      <c r="BD50" s="769" t="n"/>
      <c r="BE50" s="769" t="n"/>
      <c r="BF50" s="769" t="n"/>
      <c r="BG50" s="769" t="n"/>
      <c r="BH50" s="769" t="n"/>
      <c r="BI50" s="769" t="n"/>
      <c r="BJ50" s="769" t="n"/>
      <c r="BK50" s="769" t="n"/>
      <c r="BL50" s="769" t="n"/>
      <c r="BM50" s="769" t="n"/>
      <c r="BN50" s="769" t="n"/>
      <c r="BO50" s="769" t="n"/>
      <c r="BP50" s="769" t="n"/>
      <c r="BQ50" s="769" t="n"/>
      <c r="BR50" s="769" t="n"/>
      <c r="BS50" s="769" t="n"/>
      <c r="BT50" s="769" t="n"/>
      <c r="BU50" s="769" t="n"/>
      <c r="BV50" s="769" t="n"/>
      <c r="BW50" s="769" t="n"/>
    </row>
    <row r="51" ht="24" customFormat="1" customHeight="1" s="483">
      <c r="A51" s="738" t="inlineStr">
        <is>
          <t>合计</t>
        </is>
      </c>
      <c r="B51" s="739" t="n"/>
      <c r="C51" s="739" t="n"/>
      <c r="D51" s="739" t="n"/>
      <c r="E51" s="740" t="n"/>
      <c r="F51" s="379">
        <f>SUM(F49:F50)</f>
        <v/>
      </c>
      <c r="G51" s="379">
        <f>SUM(G49:G50)</f>
        <v/>
      </c>
      <c r="H51" s="379">
        <f>SUM(H49:H50)</f>
        <v/>
      </c>
      <c r="I51" s="379">
        <f>SUM(I49:I50)</f>
        <v/>
      </c>
      <c r="J51" s="379">
        <f>SUM(J49:J50)</f>
        <v/>
      </c>
      <c r="K51" s="379">
        <f>SUM(K49:K50)</f>
        <v/>
      </c>
      <c r="L51" s="379">
        <f>SUM(L49:L50)</f>
        <v/>
      </c>
      <c r="M51" s="379">
        <f>SUM(M49:M50)</f>
        <v/>
      </c>
      <c r="N51" s="379">
        <f>SUM(N49:N50)</f>
        <v/>
      </c>
      <c r="O51" s="379">
        <f>SUM(O49:O50)</f>
        <v/>
      </c>
      <c r="P51" s="379">
        <f>SUM(P49:P50)</f>
        <v/>
      </c>
      <c r="Q51" s="379">
        <f>SUM(Q49:Q50)</f>
        <v/>
      </c>
      <c r="R51" s="379">
        <f>SUM(R49:R50)</f>
        <v/>
      </c>
      <c r="S51" s="379">
        <f>SUM(S49:S50)</f>
        <v/>
      </c>
      <c r="T51" s="379">
        <f>SUM(T49:T50)</f>
        <v/>
      </c>
      <c r="U51" s="379">
        <f>SUM(U49:U50)</f>
        <v/>
      </c>
      <c r="V51" s="379">
        <f>SUM(V49:V50)</f>
        <v/>
      </c>
      <c r="W51" s="379">
        <f>SUM(W49:W50)</f>
        <v/>
      </c>
      <c r="X51" s="379">
        <f>SUM(X49:X50)</f>
        <v/>
      </c>
      <c r="Y51" s="379">
        <f>SUM(Y49:Y50)</f>
        <v/>
      </c>
      <c r="Z51" s="379">
        <f>SUM(Z49:Z50)</f>
        <v/>
      </c>
      <c r="AA51" s="379">
        <f>SUM(AA49:AA50)</f>
        <v/>
      </c>
      <c r="AB51" s="379">
        <f>SUM(AB49:AB50)</f>
        <v/>
      </c>
      <c r="AC51" s="379">
        <f>SUM(AC49:AC50)</f>
        <v/>
      </c>
      <c r="AD51" s="379">
        <f>SUM(AD49:AD50)</f>
        <v/>
      </c>
      <c r="AE51" s="379">
        <f>SUM(AE49:AE50)</f>
        <v/>
      </c>
      <c r="AF51" s="379">
        <f>SUM(AF49:AF50)</f>
        <v/>
      </c>
      <c r="AG51" s="379">
        <f>SUM(AG49:AG50)</f>
        <v/>
      </c>
      <c r="AH51" s="379">
        <f>SUM(AH49:AH50)</f>
        <v/>
      </c>
      <c r="AI51" s="379">
        <f>SUM(AI49:AI50)</f>
        <v/>
      </c>
      <c r="AJ51" s="379">
        <f>SUM(AJ49:AJ50)</f>
        <v/>
      </c>
      <c r="AK51" s="379">
        <f>SUM(AK49:AK50)</f>
        <v/>
      </c>
      <c r="AL51" s="379">
        <f>SUM(AL49:AL50)</f>
        <v/>
      </c>
      <c r="AM51" s="379">
        <f>SUM(AM49:AM50)</f>
        <v/>
      </c>
      <c r="AN51" s="379">
        <f>SUM(AN49:AN50)</f>
        <v/>
      </c>
      <c r="AO51" s="381">
        <f>IF(F51=0,"",K51/(F51/((YEAR(E49)*12+MONTH(E49))-(YEAR(D49)*12+MONTH(D49))+1)))</f>
        <v/>
      </c>
      <c r="AP51" s="379">
        <f>G51</f>
        <v/>
      </c>
      <c r="AQ51" s="382">
        <f>G51/F51</f>
        <v/>
      </c>
      <c r="AR51" s="418">
        <f>F51-G51</f>
        <v/>
      </c>
      <c r="AS51" s="379">
        <f>SUM(AS49:AS50)</f>
        <v/>
      </c>
      <c r="AT51" s="379">
        <f>SUM(AT49:AT50)</f>
        <v/>
      </c>
      <c r="AU51" s="379">
        <f>SUM(K51+O51+S51+W51+AA51+AE51+AI51+AM51+AN51)</f>
        <v/>
      </c>
      <c r="AV51" s="383">
        <f>AV49</f>
        <v/>
      </c>
      <c r="AW51" s="381">
        <f>AS51/AV49</f>
        <v/>
      </c>
      <c r="AX51" s="773">
        <f>AV49-AS51</f>
        <v/>
      </c>
      <c r="AY51" s="383">
        <f>AY49</f>
        <v/>
      </c>
      <c r="AZ51" s="381">
        <f>AZ49</f>
        <v/>
      </c>
      <c r="BA51" s="773">
        <f>BA49</f>
        <v/>
      </c>
      <c r="BB51" s="418">
        <f>AX51+BA51</f>
        <v/>
      </c>
      <c r="BC51" s="713" t="n"/>
      <c r="BD51" s="713" t="n"/>
      <c r="BE51" s="713" t="n"/>
      <c r="BF51" s="713" t="n"/>
      <c r="BG51" s="713" t="n"/>
      <c r="BH51" s="713" t="n"/>
      <c r="BI51" s="713" t="n"/>
      <c r="BJ51" s="713" t="n"/>
      <c r="BK51" s="713" t="n"/>
      <c r="BL51" s="713" t="n"/>
      <c r="BM51" s="713" t="n"/>
      <c r="BN51" s="713" t="n"/>
      <c r="BO51" s="713" t="n"/>
      <c r="BP51" s="713" t="n"/>
      <c r="BQ51" s="713" t="n"/>
      <c r="BR51" s="713" t="n"/>
      <c r="BS51" s="713" t="n"/>
      <c r="BT51" s="713" t="n"/>
      <c r="BU51" s="713" t="n"/>
      <c r="BV51" s="713" t="n"/>
      <c r="BW51" s="713" t="n"/>
    </row>
    <row r="52" customFormat="1" s="483">
      <c r="A52" s="747" t="inlineStr">
        <is>
          <t>合计</t>
        </is>
      </c>
      <c r="B52" s="748" t="n"/>
      <c r="C52" s="748" t="n"/>
      <c r="D52" s="748" t="n"/>
      <c r="E52" s="749" t="n"/>
      <c r="F52" s="397">
        <f>F9+F14+F18+F22+F26+F29+F33+F37+F40+F48+F51</f>
        <v/>
      </c>
      <c r="G52" s="397">
        <f>G9+G14+G18+G22+G26+G29+G33+G37+G40+G48+G51</f>
        <v/>
      </c>
      <c r="H52" s="397">
        <f>H9+H14+H18+H22+H26+H29+H33+H37+H40+H48+H51</f>
        <v/>
      </c>
      <c r="I52" s="397">
        <f>I9+I14+I18+I22+I26+I29+I33+I37+I40+I48+I51</f>
        <v/>
      </c>
      <c r="J52" s="397">
        <f>J9+J14+J18+J22+J26+J29+J33+J37+J40+J48+J51</f>
        <v/>
      </c>
      <c r="K52" s="397">
        <f>K9+K14+K18+K22+K26+K29+K33+K37+K40+K48+K51</f>
        <v/>
      </c>
      <c r="L52" s="397">
        <f>L9+L14+L18+L22+L26+L29+L33+L37+L40+L48+L51</f>
        <v/>
      </c>
      <c r="M52" s="397">
        <f>M9+M14+M18+M22+M26+M29+M33+M37+M40+M48+M51</f>
        <v/>
      </c>
      <c r="N52" s="397">
        <f>N9+N14+N18+N22+N26+N29+N33+N37+N40+N48+N51</f>
        <v/>
      </c>
      <c r="O52" s="397">
        <f>O9+O14+O18+O22+O26+O29+O33+O37+O40+O48+O51</f>
        <v/>
      </c>
      <c r="P52" s="397">
        <f>P9+P14+P18+P22+P26+P29+P33+P37+P40+P48+P51</f>
        <v/>
      </c>
      <c r="Q52" s="397">
        <f>Q9+Q14+Q18+Q22+Q26+Q29+Q33+Q37+Q40+Q48+Q51</f>
        <v/>
      </c>
      <c r="R52" s="397">
        <f>R9+R14+R18+R22+R26+R29+R33+R37+R40+R48+R51</f>
        <v/>
      </c>
      <c r="S52" s="397">
        <f>S9+S14+S18+S22+S26+S29+S33+S37+S40+S48+S51</f>
        <v/>
      </c>
      <c r="T52" s="397">
        <f>T9+T14+T18+T22+T26+T29+T33+T37+T40+T48+T51</f>
        <v/>
      </c>
      <c r="U52" s="397">
        <f>U9+U14+U18+U22+U26+U29+U33+U37+U40+U48+U51</f>
        <v/>
      </c>
      <c r="V52" s="397">
        <f>V9+V14+V18+V22+V26+V29+V33+V37+V40+V48+V51</f>
        <v/>
      </c>
      <c r="W52" s="397">
        <f>W9+W14+W18+W22+W26+W29+W33+W37+W40+W48+W51</f>
        <v/>
      </c>
      <c r="X52" s="397">
        <f>X9+X14+X18+X22+X26+X29+X33+X37+X40+X48+X51</f>
        <v/>
      </c>
      <c r="Y52" s="397">
        <f>Y9+Y14+Y18+Y22+Y26+Y29+Y33+Y37+Y40+Y48+Y51</f>
        <v/>
      </c>
      <c r="Z52" s="397">
        <f>Z9+Z14+Z18+Z22+Z26+Z29+Z33+Z37+Z40+Z48+Z51</f>
        <v/>
      </c>
      <c r="AA52" s="397">
        <f>AA9+AA14+AA18+AA22+AA26+AA29+AA33+AA37+AA40+AA48+AA51</f>
        <v/>
      </c>
      <c r="AB52" s="397">
        <f>AB9+AB14+AB18+AB22+AB26+AB29+AB33+AB37+AB40+AB48+AB51</f>
        <v/>
      </c>
      <c r="AC52" s="397">
        <f>AC9+AC14+AC18+AC22+AC26+AC29+AC33+AC37+AC40+AC48+AC51</f>
        <v/>
      </c>
      <c r="AD52" s="397">
        <f>AD9+AD14+AD18+AD22+AD26+AD29+AD33+AD37+AD40+AD48+AD51</f>
        <v/>
      </c>
      <c r="AE52" s="397">
        <f>AE9+AE14+AE18+AE22+AE26+AE29+AE33+AE37+AE40+AE48+AE51</f>
        <v/>
      </c>
      <c r="AF52" s="397">
        <f>AF9+AF14+AF18+AF22+AF26+AF29+AF33+AF37+AF40+AF48+AF51</f>
        <v/>
      </c>
      <c r="AG52" s="397">
        <f>AG9+AG14+AG18+AG22+AG26+AG29+AG33+AG37+AG40+AG48+AG51</f>
        <v/>
      </c>
      <c r="AH52" s="397">
        <f>AH9+AH14+AH18+AH22+AH26+AH29+AH33+AH37+AH40+AH48+AH51</f>
        <v/>
      </c>
      <c r="AI52" s="397">
        <f>AI9+AI14+AI18+AI22+AI26+AI29+AI33+AI37+AI40+AI48+AI51</f>
        <v/>
      </c>
      <c r="AJ52" s="397">
        <f>AJ9+AJ14+AJ18+AJ22+AJ26+AJ29+AJ33+AJ37+AJ40+AJ48+AJ51</f>
        <v/>
      </c>
      <c r="AK52" s="397">
        <f>AK9+AK14+AK18+AK22+AK26+AK29+AK33+AK37+AK40+AK48+AK51</f>
        <v/>
      </c>
      <c r="AL52" s="397">
        <f>AL9+AL14+AL18+AL22+AL26+AL29+AL33+AL37+AL40+AL48+AL51</f>
        <v/>
      </c>
      <c r="AM52" s="397">
        <f>AM9+AM14+AM18+AM22+AM26+AM29+AM33+AM37+AM40+AM48+AM51</f>
        <v/>
      </c>
      <c r="AN52" s="397">
        <f>AN9+AN14+AN18+AN22+AN26+AN29+AN33+AN37+AN40+AN48+AN51</f>
        <v/>
      </c>
      <c r="AO52" s="424">
        <f>K52/(F52/((YEAR(E4)*12+MONTH(E4))-(YEAR(D4)*12+MONTH(D4))+1))</f>
        <v/>
      </c>
      <c r="AP52" s="425">
        <f>G52</f>
        <v/>
      </c>
      <c r="AQ52" s="395">
        <f>G52/F52</f>
        <v/>
      </c>
      <c r="AR52" s="777">
        <f>F52-G52</f>
        <v/>
      </c>
      <c r="AS52" s="425">
        <f>AS9+AS14+AS18+AS22+AS26+AS29+AS33+AS37+AS40+AS48+AS51</f>
        <v/>
      </c>
      <c r="AT52" s="425">
        <f>AT9+AT14+AT18+AT22+AT26+AT29+AT33+AT37+AT40+AT48+AT51</f>
        <v/>
      </c>
      <c r="AU52" s="426">
        <f>AU9+AU14+AU18+AU22+AU26+AU29+AU33+AU37+AU40+AU48+AU51</f>
        <v/>
      </c>
      <c r="AV52" s="397">
        <f>AV9+AV14+AV18+AV22+AV26+AV29+AV33+AV37+AV40+AV48+AV51</f>
        <v/>
      </c>
      <c r="AW52" s="398">
        <f>AS52/AV52</f>
        <v/>
      </c>
      <c r="AX52" s="777">
        <f>AV52-AS52</f>
        <v/>
      </c>
      <c r="AY52" s="397">
        <f>AY9+AY14+AY18+AY22+AY26+AY29+AY33+AY37+AY40+AY48+AY51</f>
        <v/>
      </c>
      <c r="AZ52" s="427">
        <f>IF(AY52=0,"",AT52/AY52)</f>
        <v/>
      </c>
      <c r="BA52" s="777">
        <f>AY52-AT52</f>
        <v/>
      </c>
      <c r="BB52" s="429">
        <f>AX52+BA52</f>
        <v/>
      </c>
      <c r="BC52" s="723" t="n"/>
      <c r="BD52" s="723" t="inlineStr"/>
      <c r="BE52" s="723" t="inlineStr"/>
      <c r="BF52" s="723" t="inlineStr"/>
      <c r="BG52" s="723" t="inlineStr"/>
      <c r="BH52" s="723" t="inlineStr"/>
      <c r="BI52" s="723" t="inlineStr"/>
      <c r="BJ52" s="723" t="inlineStr"/>
      <c r="BK52" s="723" t="inlineStr"/>
      <c r="BL52" s="723" t="inlineStr"/>
      <c r="BM52" s="723" t="inlineStr"/>
      <c r="BN52" s="723" t="inlineStr"/>
      <c r="BO52" s="723" t="inlineStr"/>
      <c r="BP52" s="723" t="inlineStr"/>
      <c r="BQ52" s="723" t="inlineStr"/>
      <c r="BR52" s="723" t="inlineStr"/>
      <c r="BS52" s="723" t="inlineStr"/>
      <c r="BT52" s="723" t="inlineStr"/>
      <c r="BU52" s="723" t="inlineStr"/>
      <c r="BV52" s="723" t="inlineStr"/>
      <c r="BW52" s="727" t="inlineStr"/>
    </row>
    <row r="53" customFormat="1" s="483">
      <c r="F53" s="778" t="n"/>
      <c r="G53" s="778" t="n"/>
      <c r="H53" s="778" t="n"/>
      <c r="I53" s="778" t="n"/>
      <c r="J53" s="778" t="n"/>
      <c r="K53" s="778" t="n"/>
      <c r="L53" s="778" t="n"/>
      <c r="M53" s="778" t="n"/>
      <c r="N53" s="778" t="n"/>
      <c r="O53" s="778" t="n"/>
      <c r="P53" s="778" t="n"/>
      <c r="Q53" s="778" t="n"/>
      <c r="R53" s="778" t="n"/>
      <c r="S53" s="778" t="n"/>
      <c r="T53" s="778" t="n"/>
      <c r="U53" s="778" t="n"/>
      <c r="V53" s="778" t="n"/>
      <c r="W53" s="778" t="n"/>
      <c r="X53" s="778" t="n"/>
      <c r="Y53" s="778" t="n"/>
      <c r="Z53" s="778" t="n"/>
      <c r="AA53" s="778" t="n"/>
      <c r="AB53" s="778" t="n"/>
      <c r="AC53" s="778" t="n"/>
      <c r="AD53" s="778" t="n"/>
      <c r="AE53" s="778" t="n"/>
      <c r="AF53" s="778" t="n"/>
      <c r="AG53" s="778" t="n"/>
      <c r="AH53" s="778" t="n"/>
      <c r="AI53" s="778" t="n"/>
      <c r="AJ53" s="778" t="n"/>
      <c r="AK53" s="778" t="n"/>
      <c r="AL53" s="778" t="n"/>
      <c r="AM53" s="778" t="n"/>
      <c r="AN53" s="778" t="n"/>
      <c r="AO53" s="779" t="n"/>
      <c r="AP53" s="778" t="n"/>
      <c r="AQ53" s="779" t="n"/>
      <c r="AR53" s="780" t="inlineStr">
        <is>
          <t>公司目标</t>
        </is>
      </c>
      <c r="AS53" s="778" t="n"/>
      <c r="AT53" s="778" t="n"/>
      <c r="AU53" s="778" t="n"/>
      <c r="AV53" s="781" t="n">
        <v>950940.9049580001</v>
      </c>
      <c r="AW53" s="252">
        <f>IF(AV53&lt;&gt;0,AS52/AV53,"")</f>
        <v/>
      </c>
      <c r="AX53" s="782">
        <f>AV53-AS52</f>
        <v/>
      </c>
      <c r="AY53" s="783" t="n">
        <v>608864.4399999999</v>
      </c>
      <c r="AZ53" s="265">
        <f>IF(AY53&gt;0,AT52/AY53,"")</f>
        <v/>
      </c>
      <c r="BA53" s="784">
        <f>IF(AY53&gt;0,AY53-AT52,"")</f>
        <v/>
      </c>
      <c r="BB53" s="785" t="n"/>
    </row>
  </sheetData>
  <mergeCells count="144">
    <mergeCell ref="AZ10:AZ13"/>
    <mergeCell ref="AX49:AX50"/>
    <mergeCell ref="A48:E48"/>
    <mergeCell ref="AZ49:AZ50"/>
    <mergeCell ref="BA30:BA32"/>
    <mergeCell ref="A4:A8"/>
    <mergeCell ref="AV34:AV36"/>
    <mergeCell ref="AW38:AW39"/>
    <mergeCell ref="A23:A25"/>
    <mergeCell ref="U2:U3"/>
    <mergeCell ref="AX41:AX47"/>
    <mergeCell ref="AV27:AV28"/>
    <mergeCell ref="AZ41:AZ47"/>
    <mergeCell ref="AX27:AX28"/>
    <mergeCell ref="A27:A28"/>
    <mergeCell ref="BA27:BA28"/>
    <mergeCell ref="BA4:BA8"/>
    <mergeCell ref="A15:A17"/>
    <mergeCell ref="A37:E37"/>
    <mergeCell ref="A2:A3"/>
    <mergeCell ref="C2:C3"/>
    <mergeCell ref="E2:E3"/>
    <mergeCell ref="W2:W3"/>
    <mergeCell ref="AY49:AY50"/>
    <mergeCell ref="BA49:BA50"/>
    <mergeCell ref="A26:E26"/>
    <mergeCell ref="AW10:AW13"/>
    <mergeCell ref="AZ30:AZ32"/>
    <mergeCell ref="AA2:AA3"/>
    <mergeCell ref="AC2:AC3"/>
    <mergeCell ref="A10:A13"/>
    <mergeCell ref="AM2:AM3"/>
    <mergeCell ref="AW19:AW21"/>
    <mergeCell ref="AO2:AO3"/>
    <mergeCell ref="A52:E52"/>
    <mergeCell ref="AX38:AX39"/>
    <mergeCell ref="AZ38:AZ39"/>
    <mergeCell ref="V2:V3"/>
    <mergeCell ref="A41:A47"/>
    <mergeCell ref="X2:X3"/>
    <mergeCell ref="AZ4:AZ8"/>
    <mergeCell ref="AV1:AW1"/>
    <mergeCell ref="AV15:AV17"/>
    <mergeCell ref="N2:N3"/>
    <mergeCell ref="AX15:AX17"/>
    <mergeCell ref="AV2:AV3"/>
    <mergeCell ref="F2:F3"/>
    <mergeCell ref="P2:P3"/>
    <mergeCell ref="AX2:AX3"/>
    <mergeCell ref="H2:H3"/>
    <mergeCell ref="AY15:AY17"/>
    <mergeCell ref="AF2:AF3"/>
    <mergeCell ref="K2:K3"/>
    <mergeCell ref="AH2:AH3"/>
    <mergeCell ref="AX19:AX21"/>
    <mergeCell ref="AV10:AV13"/>
    <mergeCell ref="AZ19:AZ21"/>
    <mergeCell ref="AW23:AW25"/>
    <mergeCell ref="AX34:AX36"/>
    <mergeCell ref="AZ34:AZ36"/>
    <mergeCell ref="O2:O3"/>
    <mergeCell ref="Q2:Q3"/>
    <mergeCell ref="A14:E14"/>
    <mergeCell ref="AI2:AI3"/>
    <mergeCell ref="AY23:AY25"/>
    <mergeCell ref="AV41:AV47"/>
    <mergeCell ref="AK2:AK3"/>
    <mergeCell ref="BA23:BA25"/>
    <mergeCell ref="AY10:AY13"/>
    <mergeCell ref="AU2:AU3"/>
    <mergeCell ref="A29:E29"/>
    <mergeCell ref="AW2:AW3"/>
    <mergeCell ref="AW4:AW8"/>
    <mergeCell ref="AY4:AY8"/>
    <mergeCell ref="AW34:AW36"/>
    <mergeCell ref="A49:A50"/>
    <mergeCell ref="BA15:BA17"/>
    <mergeCell ref="A40:E40"/>
    <mergeCell ref="S2:S3"/>
    <mergeCell ref="BA2:BA3"/>
    <mergeCell ref="AW27:AW28"/>
    <mergeCell ref="AV30:AV32"/>
    <mergeCell ref="AX30:AX32"/>
    <mergeCell ref="B2:B3"/>
    <mergeCell ref="D2:D3"/>
    <mergeCell ref="AY34:AY36"/>
    <mergeCell ref="BA10:BA13"/>
    <mergeCell ref="AX23:AX25"/>
    <mergeCell ref="AZ23:AZ25"/>
    <mergeCell ref="A34:A36"/>
    <mergeCell ref="AY30:AY32"/>
    <mergeCell ref="Z2:Z3"/>
    <mergeCell ref="AB2:AB3"/>
    <mergeCell ref="AV38:AV39"/>
    <mergeCell ref="AD2:AD3"/>
    <mergeCell ref="T2:T3"/>
    <mergeCell ref="A18:E18"/>
    <mergeCell ref="AN2:AN3"/>
    <mergeCell ref="BA41:BA47"/>
    <mergeCell ref="AP2:AP3"/>
    <mergeCell ref="A30:A32"/>
    <mergeCell ref="AV49:AV50"/>
    <mergeCell ref="AR2:AR3"/>
    <mergeCell ref="AT2:AT3"/>
    <mergeCell ref="A22:E22"/>
    <mergeCell ref="A9:E9"/>
    <mergeCell ref="AZ27:AZ28"/>
    <mergeCell ref="A38:A39"/>
    <mergeCell ref="AY27:AY28"/>
    <mergeCell ref="AW15:AW17"/>
    <mergeCell ref="G2:G3"/>
    <mergeCell ref="I2:I3"/>
    <mergeCell ref="AV19:AV21"/>
    <mergeCell ref="A51:E51"/>
    <mergeCell ref="M2:M3"/>
    <mergeCell ref="AY38:AY39"/>
    <mergeCell ref="AE2:AE3"/>
    <mergeCell ref="BA38:BA39"/>
    <mergeCell ref="AG2:AG3"/>
    <mergeCell ref="Y2:Y3"/>
    <mergeCell ref="AY19:AY21"/>
    <mergeCell ref="AQ2:AQ3"/>
    <mergeCell ref="AS2:AS3"/>
    <mergeCell ref="AW49:AW50"/>
    <mergeCell ref="A19:A21"/>
    <mergeCell ref="AW41:AW47"/>
    <mergeCell ref="AY2:AY3"/>
    <mergeCell ref="AV4:AV8"/>
    <mergeCell ref="AX4:AX8"/>
    <mergeCell ref="A33:E33"/>
    <mergeCell ref="AZ15:AZ17"/>
    <mergeCell ref="R2:R3"/>
    <mergeCell ref="AZ2:AZ3"/>
    <mergeCell ref="J2:J3"/>
    <mergeCell ref="BB2:BB3"/>
    <mergeCell ref="L2:L3"/>
    <mergeCell ref="AY41:AY47"/>
    <mergeCell ref="BA19:BA21"/>
    <mergeCell ref="AV23:AV25"/>
    <mergeCell ref="BA34:BA36"/>
    <mergeCell ref="AW30:AW32"/>
    <mergeCell ref="AJ2:AJ3"/>
    <mergeCell ref="AX10:AX13"/>
    <mergeCell ref="AL2:AL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1" workbookViewId="0">
      <selection activeCell="A1" sqref="A1"/>
    </sheetView>
  </sheetViews>
  <sheetFormatPr baseColWidth="8" defaultColWidth="9" defaultRowHeight="16.8"/>
  <cols>
    <col width="21.625" customWidth="1" style="483" min="3" max="3"/>
    <col width="14" customWidth="1" style="483" min="4" max="5"/>
    <col width="15.75" customWidth="1" style="483" min="6" max="8"/>
    <col width="12.25" customWidth="1" style="483" min="9" max="9"/>
    <col width="14" customWidth="1" style="483" min="12" max="12"/>
    <col width="14.125" customWidth="1" style="483" min="13" max="13"/>
  </cols>
  <sheetData>
    <row r="1" ht="20.25" customFormat="1" customHeight="1" s="483">
      <c r="A1" s="754" t="inlineStr">
        <is>
          <t>私人财富管理部保险进度表-截止20260130      Steven+销售助理</t>
        </is>
      </c>
      <c r="B1" s="486" t="n"/>
      <c r="C1" s="486" t="n"/>
      <c r="D1" s="486" t="n"/>
      <c r="E1" s="486" t="n"/>
      <c r="F1" s="486" t="n"/>
      <c r="G1" s="486" t="n"/>
      <c r="H1" s="486" t="n"/>
      <c r="I1" s="486" t="n"/>
    </row>
    <row r="2" ht="46.5" customFormat="1" customHeight="1" s="553">
      <c r="A2" s="554" t="inlineStr"/>
      <c r="B2" s="555" t="inlineStr"/>
      <c r="C2" s="786" t="inlineStr">
        <is>
          <t>630保费目标
（5年前标准保费：万/美金）</t>
        </is>
      </c>
      <c r="D2" s="786" t="inlineStr">
        <is>
          <t>签约保费
（万/美金）</t>
        </is>
      </c>
      <c r="E2" s="786" t="inlineStr">
        <is>
          <t>签约标准保费
（万/美金）</t>
        </is>
      </c>
      <c r="F2" s="786" t="inlineStr">
        <is>
          <t>承保保费
（万/美金）</t>
        </is>
      </c>
      <c r="G2" s="786" t="inlineStr">
        <is>
          <t>承保标准保费
（万/美金）</t>
        </is>
      </c>
      <c r="H2" s="786" t="inlineStr">
        <is>
          <t>承保标准保费差距（万/美金）</t>
        </is>
      </c>
      <c r="I2" s="786" t="inlineStr">
        <is>
          <t>承保标准保费完成率</t>
        </is>
      </c>
    </row>
    <row r="3" ht="14.25" customFormat="1" customHeight="1" s="483">
      <c r="A3" s="562" t="inlineStr">
        <is>
          <t>理财师018</t>
        </is>
      </c>
      <c r="B3" s="563" t="inlineStr">
        <is>
          <t>理财师017</t>
        </is>
      </c>
      <c r="C3" s="433" t="n">
        <v>63.36</v>
      </c>
      <c r="D3" s="118" t="n">
        <v>0</v>
      </c>
      <c r="E3" s="118" t="n">
        <v>0</v>
      </c>
      <c r="F3" s="118" t="n">
        <v>1.2672</v>
      </c>
      <c r="G3" s="118" t="n">
        <v>0</v>
      </c>
      <c r="H3" s="118">
        <f>F3-C3</f>
        <v/>
      </c>
      <c r="I3" s="88">
        <f>F3/C3*100%</f>
        <v/>
      </c>
      <c r="L3" s="570" t="inlineStr">
        <is>
          <t>开始日期</t>
        </is>
      </c>
      <c r="M3" s="570" t="inlineStr">
        <is>
          <t>结束日期</t>
        </is>
      </c>
      <c r="N3" s="570" t="inlineStr"/>
    </row>
    <row r="4" ht="14.25" customFormat="1" customHeight="1" s="483">
      <c r="A4" s="500" t="n"/>
      <c r="B4" s="563" t="inlineStr">
        <is>
          <t>理财师018</t>
        </is>
      </c>
      <c r="C4" s="433" t="n">
        <v>66.605</v>
      </c>
      <c r="D4" s="118" t="n">
        <v>0</v>
      </c>
      <c r="E4" s="118" t="n">
        <v>0</v>
      </c>
      <c r="F4" s="118" t="n">
        <v>0</v>
      </c>
      <c r="G4" s="118" t="n">
        <v>0</v>
      </c>
      <c r="H4" s="118">
        <f>F4-C4</f>
        <v/>
      </c>
      <c r="I4" s="88">
        <f>F4/C4*100%</f>
        <v/>
      </c>
      <c r="L4" s="94" t="n">
        <v>46023</v>
      </c>
      <c r="M4" s="94" t="n">
        <v>46203</v>
      </c>
      <c r="N4" s="570" t="inlineStr"/>
    </row>
    <row r="5" ht="14.25" customFormat="1" customHeight="1" s="483">
      <c r="A5" s="500" t="n"/>
      <c r="B5" s="563" t="inlineStr">
        <is>
          <t>理财师019</t>
        </is>
      </c>
      <c r="C5" s="433" t="n">
        <v>42.805</v>
      </c>
      <c r="D5" s="118" t="n">
        <v>0</v>
      </c>
      <c r="E5" s="118" t="n">
        <v>0</v>
      </c>
      <c r="F5" s="118" t="n">
        <v>0</v>
      </c>
      <c r="G5" s="118" t="n">
        <v>0</v>
      </c>
      <c r="H5" s="118">
        <f>F5-C5</f>
        <v/>
      </c>
      <c r="I5" s="88">
        <f>F5/C5*100%</f>
        <v/>
      </c>
      <c r="L5" s="570" t="inlineStr">
        <is>
          <t>计算日期</t>
        </is>
      </c>
      <c r="M5" s="570">
        <f>M4-L4</f>
        <v/>
      </c>
      <c r="N5" s="570" t="inlineStr">
        <is>
          <t>时间进度</t>
        </is>
      </c>
    </row>
    <row r="6" ht="14.25" customFormat="1" customHeight="1" s="483">
      <c r="A6" s="500" t="n"/>
      <c r="B6" s="563" t="inlineStr">
        <is>
          <t>理财师021</t>
        </is>
      </c>
      <c r="C6" s="433" t="n">
        <v>36.065</v>
      </c>
      <c r="D6" s="118" t="n">
        <v>0</v>
      </c>
      <c r="E6" s="118" t="n">
        <v>0</v>
      </c>
      <c r="F6" s="118" t="n">
        <v>0</v>
      </c>
      <c r="G6" s="118" t="n">
        <v>0</v>
      </c>
      <c r="H6" s="118">
        <f>F6-C6</f>
        <v/>
      </c>
      <c r="I6" s="88">
        <f>F6/C6*100%</f>
        <v/>
      </c>
      <c r="L6" s="571" t="n">
        <v>46052</v>
      </c>
      <c r="M6" s="570">
        <f>L6-L4</f>
        <v/>
      </c>
      <c r="N6" s="570">
        <f>M6/M5</f>
        <v/>
      </c>
    </row>
    <row r="7" ht="14.25" customFormat="1" customHeight="1" s="483">
      <c r="A7" s="500" t="n"/>
      <c r="B7" s="563" t="inlineStr">
        <is>
          <t>理财师025</t>
        </is>
      </c>
      <c r="C7" s="433" t="n">
        <v>52.92</v>
      </c>
      <c r="D7" s="118" t="n">
        <v>0</v>
      </c>
      <c r="E7" s="118" t="n">
        <v>0</v>
      </c>
      <c r="F7" s="118" t="n">
        <v>0</v>
      </c>
      <c r="G7" s="118" t="n">
        <v>0</v>
      </c>
      <c r="H7" s="118">
        <f>F7-C7</f>
        <v/>
      </c>
      <c r="I7" s="88">
        <f>F7/C7*100%</f>
        <v/>
      </c>
      <c r="L7" s="570" t="inlineStr"/>
      <c r="M7" s="570" t="inlineStr"/>
      <c r="N7" s="570" t="inlineStr"/>
    </row>
    <row r="8" ht="15" customFormat="1" customHeight="1" s="483">
      <c r="A8" s="501" t="n"/>
      <c r="B8" s="572" t="inlineStr">
        <is>
          <t>理财师277</t>
        </is>
      </c>
      <c r="C8" s="433" t="n">
        <v>31.965</v>
      </c>
      <c r="D8" s="118" t="n">
        <v>0</v>
      </c>
      <c r="E8" s="118" t="n">
        <v>0</v>
      </c>
      <c r="F8" s="118" t="n">
        <v>0</v>
      </c>
      <c r="G8" s="118" t="n">
        <v>0</v>
      </c>
      <c r="H8" s="118">
        <f>F8-C8</f>
        <v/>
      </c>
      <c r="I8" s="88">
        <f>F8/C8*100%</f>
        <v/>
      </c>
      <c r="L8" s="570" t="inlineStr">
        <is>
          <t>计算日期</t>
        </is>
      </c>
      <c r="M8" s="570" t="n">
        <v>365</v>
      </c>
      <c r="N8" s="570" t="inlineStr">
        <is>
          <t>全年进度</t>
        </is>
      </c>
    </row>
    <row r="9" ht="14.25" customFormat="1" customHeight="1" s="483">
      <c r="A9" s="577" t="inlineStr">
        <is>
          <t>合计</t>
        </is>
      </c>
      <c r="B9" s="578" t="n"/>
      <c r="C9" s="580">
        <f>SUM(C3:C8)</f>
        <v/>
      </c>
      <c r="D9" s="580">
        <f>SUM(D3:D8)</f>
        <v/>
      </c>
      <c r="E9" s="580">
        <f>SUM(E3:E8)</f>
        <v/>
      </c>
      <c r="F9" s="580">
        <f>SUM(F3:F8)</f>
        <v/>
      </c>
      <c r="G9" s="580">
        <f>SUM(G3:G8)</f>
        <v/>
      </c>
      <c r="H9" s="580">
        <f>F9-C9</f>
        <v/>
      </c>
      <c r="I9" s="207">
        <f>F9/C9</f>
        <v/>
      </c>
    </row>
    <row r="10" ht="14.1" customFormat="1" customHeight="1" s="483">
      <c r="A10" s="583" t="inlineStr">
        <is>
          <t>理财师014</t>
        </is>
      </c>
      <c r="B10" s="584" t="inlineStr">
        <is>
          <t>理财师013</t>
        </is>
      </c>
      <c r="C10" s="433" t="n">
        <v>58.34</v>
      </c>
      <c r="D10" s="118" t="n">
        <v>0</v>
      </c>
      <c r="E10" s="118" t="n">
        <v>0</v>
      </c>
      <c r="F10" s="118" t="n">
        <v>0</v>
      </c>
      <c r="G10" s="118" t="n">
        <v>0</v>
      </c>
      <c r="H10" s="118">
        <f>F10-C10</f>
        <v/>
      </c>
      <c r="I10" s="88">
        <f>F10/C10*100%</f>
        <v/>
      </c>
    </row>
    <row r="11" ht="14.1" customFormat="1" customHeight="1" s="483">
      <c r="A11" s="500" t="n"/>
      <c r="B11" s="563" t="inlineStr">
        <is>
          <t>理财师014</t>
        </is>
      </c>
      <c r="C11" s="433" t="n">
        <v>30.27</v>
      </c>
      <c r="D11" s="85" t="n">
        <v>0</v>
      </c>
      <c r="E11" s="85" t="n">
        <v>0</v>
      </c>
      <c r="F11" s="118" t="n">
        <v>0</v>
      </c>
      <c r="G11" s="85" t="n">
        <v>0</v>
      </c>
      <c r="H11" s="118">
        <f>F11-C11</f>
        <v/>
      </c>
      <c r="I11" s="88">
        <f>F11/C11*100%</f>
        <v/>
      </c>
    </row>
    <row r="12" ht="14.1" customFormat="1" customHeight="1" s="483">
      <c r="A12" s="500" t="n"/>
      <c r="B12" s="563" t="inlineStr">
        <is>
          <t>理财师022</t>
        </is>
      </c>
      <c r="C12" s="433" t="n">
        <v>55.735</v>
      </c>
      <c r="D12" s="85" t="n">
        <v>0</v>
      </c>
      <c r="E12" s="85" t="n">
        <v>0</v>
      </c>
      <c r="F12" s="118" t="n">
        <v>0</v>
      </c>
      <c r="G12" s="85" t="n">
        <v>0</v>
      </c>
      <c r="H12" s="118">
        <f>F12-C12</f>
        <v/>
      </c>
      <c r="I12" s="88">
        <f>F12/C12*100%</f>
        <v/>
      </c>
    </row>
    <row r="13" ht="14.45" customFormat="1" customHeight="1" s="483">
      <c r="A13" s="500" t="n"/>
      <c r="B13" s="563" t="inlineStr">
        <is>
          <t>理财师024</t>
        </is>
      </c>
      <c r="C13" s="433" t="n">
        <v>51.09</v>
      </c>
      <c r="D13" s="85" t="n">
        <v>0</v>
      </c>
      <c r="E13" s="85" t="n">
        <v>0</v>
      </c>
      <c r="F13" s="118" t="n">
        <v>0</v>
      </c>
      <c r="G13" s="85" t="n">
        <v>0</v>
      </c>
      <c r="H13" s="118">
        <f>F13-C13</f>
        <v/>
      </c>
      <c r="I13" s="88">
        <f>F13/C13*100%</f>
        <v/>
      </c>
    </row>
    <row r="14" ht="15" customFormat="1" customHeight="1" s="483">
      <c r="A14" s="501" t="n"/>
      <c r="B14" s="572" t="inlineStr">
        <is>
          <t>理财师188</t>
        </is>
      </c>
      <c r="C14" s="433" t="n">
        <v>65.395</v>
      </c>
      <c r="D14" s="100" t="n">
        <v>0</v>
      </c>
      <c r="E14" s="100" t="n">
        <v>0</v>
      </c>
      <c r="F14" s="118" t="n">
        <v>0</v>
      </c>
      <c r="G14" s="100" t="n">
        <v>0</v>
      </c>
      <c r="H14" s="118">
        <f>F14-C14</f>
        <v/>
      </c>
      <c r="I14" s="88">
        <f>F14/C14*100%</f>
        <v/>
      </c>
    </row>
    <row r="15" ht="14.25" customFormat="1" customHeight="1" s="483">
      <c r="A15" s="577" t="inlineStr">
        <is>
          <t>合计</t>
        </is>
      </c>
      <c r="B15" s="578" t="n"/>
      <c r="C15" s="580">
        <f>SUM(C10:C14)</f>
        <v/>
      </c>
      <c r="D15" s="580">
        <f>SUM(D10:D14)</f>
        <v/>
      </c>
      <c r="E15" s="580">
        <f>SUM(E10:E14)</f>
        <v/>
      </c>
      <c r="F15" s="580">
        <f>SUM(F10:F14)</f>
        <v/>
      </c>
      <c r="G15" s="580">
        <f>SUM(G10:G14)</f>
        <v/>
      </c>
      <c r="H15" s="580">
        <f>F15-C15</f>
        <v/>
      </c>
      <c r="I15" s="207">
        <f>F15/C15</f>
        <v/>
      </c>
    </row>
    <row r="16" ht="14.25" customFormat="1" customHeight="1" s="483">
      <c r="A16" s="583" t="inlineStr">
        <is>
          <t>理财师007</t>
        </is>
      </c>
      <c r="B16" s="584" t="inlineStr">
        <is>
          <t>理财师007</t>
        </is>
      </c>
      <c r="C16" s="433" t="n">
        <v>56.445</v>
      </c>
      <c r="D16" s="118" t="n">
        <v>0</v>
      </c>
      <c r="E16" s="118" t="n">
        <v>0</v>
      </c>
      <c r="F16" s="118" t="n">
        <v>0</v>
      </c>
      <c r="G16" s="118" t="n">
        <v>0</v>
      </c>
      <c r="H16" s="118">
        <f>F16-C16</f>
        <v/>
      </c>
      <c r="I16" s="88">
        <f>F16/C16*100%</f>
        <v/>
      </c>
    </row>
    <row r="17" ht="14.25" customFormat="1" customHeight="1" s="483">
      <c r="A17" s="500" t="n"/>
      <c r="B17" s="563" t="inlineStr">
        <is>
          <t>理财师023</t>
        </is>
      </c>
      <c r="C17" s="433" t="n">
        <v>67.45</v>
      </c>
      <c r="D17" s="85" t="n">
        <v>0</v>
      </c>
      <c r="E17" s="85" t="n">
        <v>0</v>
      </c>
      <c r="F17" s="85" t="n">
        <v>0</v>
      </c>
      <c r="G17" s="85" t="n">
        <v>0</v>
      </c>
      <c r="H17" s="118">
        <f>F17-C17</f>
        <v/>
      </c>
      <c r="I17" s="88">
        <f>F17/C17*100%</f>
        <v/>
      </c>
    </row>
    <row r="18" ht="14.25" customFormat="1" customHeight="1" s="483">
      <c r="A18" s="500" t="n"/>
      <c r="B18" s="563" t="inlineStr">
        <is>
          <t>理财师231</t>
        </is>
      </c>
      <c r="C18" s="433" t="n">
        <v>57.8</v>
      </c>
      <c r="D18" s="85" t="n">
        <v>0</v>
      </c>
      <c r="E18" s="85" t="n">
        <v>0</v>
      </c>
      <c r="F18" s="85" t="n">
        <v>0</v>
      </c>
      <c r="G18" s="85" t="n">
        <v>0</v>
      </c>
      <c r="H18" s="118">
        <f>F18-C18</f>
        <v/>
      </c>
      <c r="I18" s="88">
        <f>F18/C18*100%</f>
        <v/>
      </c>
    </row>
    <row r="19" ht="14.25" customFormat="1" customHeight="1" s="483">
      <c r="A19" s="500" t="n"/>
      <c r="B19" s="563" t="inlineStr">
        <is>
          <t>理财师091</t>
        </is>
      </c>
      <c r="C19" s="433" t="n">
        <v>32.08</v>
      </c>
      <c r="D19" s="85" t="n">
        <v>0</v>
      </c>
      <c r="E19" s="85" t="n">
        <v>0</v>
      </c>
      <c r="F19" s="85" t="n">
        <v>0</v>
      </c>
      <c r="G19" s="85" t="n">
        <v>0</v>
      </c>
      <c r="H19" s="118">
        <f>F19-C19</f>
        <v/>
      </c>
      <c r="I19" s="88">
        <f>F19/C19*100%</f>
        <v/>
      </c>
    </row>
    <row r="20" ht="15" customFormat="1" customHeight="1" s="483">
      <c r="A20" s="501" t="n"/>
      <c r="B20" s="572" t="inlineStr">
        <is>
          <t>理财师278</t>
        </is>
      </c>
      <c r="C20" s="433" t="n">
        <v>58.36</v>
      </c>
      <c r="D20" s="100" t="n">
        <v>0</v>
      </c>
      <c r="E20" s="100" t="n">
        <v>0</v>
      </c>
      <c r="F20" s="100" t="n">
        <v>0</v>
      </c>
      <c r="G20" s="100" t="n">
        <v>0</v>
      </c>
      <c r="H20" s="118">
        <f>F20-C20</f>
        <v/>
      </c>
      <c r="I20" s="88">
        <f>F20/C20*100%</f>
        <v/>
      </c>
    </row>
    <row r="21" ht="14.25" customFormat="1" customHeight="1" s="483">
      <c r="A21" s="577" t="inlineStr">
        <is>
          <t>合计</t>
        </is>
      </c>
      <c r="B21" s="578" t="n"/>
      <c r="C21" s="580">
        <f>SUM(C16:C20)</f>
        <v/>
      </c>
      <c r="D21" s="580">
        <f>SUM(D16:D20)</f>
        <v/>
      </c>
      <c r="E21" s="580">
        <f>SUM(E16:E20)</f>
        <v/>
      </c>
      <c r="F21" s="580">
        <f>SUM(F16:F20)</f>
        <v/>
      </c>
      <c r="G21" s="580">
        <f>SUM(G16:G20)</f>
        <v/>
      </c>
      <c r="H21" s="580">
        <f>F21-C21</f>
        <v/>
      </c>
      <c r="I21" s="207">
        <f>F21/C21</f>
        <v/>
      </c>
    </row>
    <row r="22" ht="14.1" customFormat="1" customHeight="1" s="483">
      <c r="A22" s="583" t="inlineStr">
        <is>
          <t>理财师016</t>
        </is>
      </c>
      <c r="B22" s="584" t="inlineStr">
        <is>
          <t>理财师208</t>
        </is>
      </c>
      <c r="C22" s="433" t="n">
        <v>60.17</v>
      </c>
      <c r="D22" s="123" t="n">
        <v>0</v>
      </c>
      <c r="E22" s="123" t="n">
        <v>0</v>
      </c>
      <c r="F22" s="123" t="n">
        <v>0</v>
      </c>
      <c r="G22" s="123" t="n">
        <v>0</v>
      </c>
      <c r="H22" s="118">
        <f>F22-C22</f>
        <v/>
      </c>
      <c r="I22" s="88">
        <f>F22/C22*100%</f>
        <v/>
      </c>
    </row>
    <row r="23" ht="14.1" customFormat="1" customHeight="1" s="483">
      <c r="A23" s="500" t="n"/>
      <c r="B23" s="563" t="inlineStr">
        <is>
          <t>理财师015</t>
        </is>
      </c>
      <c r="C23" s="433" t="n">
        <v>42.345</v>
      </c>
      <c r="D23" s="126" t="n">
        <v>0</v>
      </c>
      <c r="E23" s="126" t="n">
        <v>0</v>
      </c>
      <c r="F23" s="126" t="n">
        <v>0</v>
      </c>
      <c r="G23" s="126" t="n">
        <v>0</v>
      </c>
      <c r="H23" s="118">
        <f>F23-C23</f>
        <v/>
      </c>
      <c r="I23" s="88">
        <f>F23/C23*100%</f>
        <v/>
      </c>
    </row>
    <row r="24" ht="14.1" customFormat="1" customHeight="1" s="483">
      <c r="A24" s="500" t="n"/>
      <c r="B24" s="563" t="inlineStr">
        <is>
          <t>理财师016</t>
        </is>
      </c>
      <c r="C24" s="433" t="n">
        <v>37.635</v>
      </c>
      <c r="D24" s="126" t="n">
        <v>0</v>
      </c>
      <c r="E24" s="126" t="n">
        <v>0</v>
      </c>
      <c r="F24" s="126" t="n">
        <v>0</v>
      </c>
      <c r="G24" s="126" t="n">
        <v>0</v>
      </c>
      <c r="H24" s="118">
        <f>F24-C24</f>
        <v/>
      </c>
      <c r="I24" s="88">
        <f>F24/C24*100%</f>
        <v/>
      </c>
    </row>
    <row r="25" ht="14.45" customFormat="1" customHeight="1" s="483">
      <c r="A25" s="501" t="n"/>
      <c r="B25" s="572" t="inlineStr">
        <is>
          <t>理财师028</t>
        </is>
      </c>
      <c r="C25" s="433" t="n">
        <v>39.17</v>
      </c>
      <c r="D25" s="127" t="n">
        <v>0</v>
      </c>
      <c r="E25" s="127" t="n">
        <v>0</v>
      </c>
      <c r="F25" s="127" t="n">
        <v>0</v>
      </c>
      <c r="G25" s="127" t="n">
        <v>0</v>
      </c>
      <c r="H25" s="118">
        <f>F25-C25</f>
        <v/>
      </c>
      <c r="I25" s="88">
        <f>F25/C25*100%</f>
        <v/>
      </c>
    </row>
    <row r="26" ht="14.25" customFormat="1" customHeight="1" s="483">
      <c r="A26" s="577" t="inlineStr">
        <is>
          <t>合计</t>
        </is>
      </c>
      <c r="B26" s="578" t="n"/>
      <c r="C26" s="590">
        <f>SUM(C22:C25)</f>
        <v/>
      </c>
      <c r="D26" s="591">
        <f>SUM(D22:D25)</f>
        <v/>
      </c>
      <c r="E26" s="591">
        <f>SUM(E22:E25)</f>
        <v/>
      </c>
      <c r="F26" s="579">
        <f>SUM(F22:F25)</f>
        <v/>
      </c>
      <c r="G26" s="591">
        <f>SUM(G22:G25)</f>
        <v/>
      </c>
      <c r="H26" s="580">
        <f>F26-C26</f>
        <v/>
      </c>
      <c r="I26" s="207">
        <f>F26/C26</f>
        <v/>
      </c>
    </row>
    <row r="27" ht="14.25" customFormat="1" customHeight="1" s="483">
      <c r="A27" s="583" t="inlineStr">
        <is>
          <t>理财师002</t>
        </is>
      </c>
      <c r="B27" s="584" t="inlineStr">
        <is>
          <t>理财师001</t>
        </is>
      </c>
      <c r="C27" s="433" t="n">
        <v>43.045</v>
      </c>
      <c r="D27" s="118" t="n">
        <v>0</v>
      </c>
      <c r="E27" s="118" t="n">
        <v>0</v>
      </c>
      <c r="F27" s="118" t="n">
        <v>0</v>
      </c>
      <c r="G27" s="118" t="n">
        <v>0</v>
      </c>
      <c r="H27" s="118">
        <f>F27-C27</f>
        <v/>
      </c>
      <c r="I27" s="88">
        <f>F27/C27*100%</f>
        <v/>
      </c>
    </row>
    <row r="28" ht="14.25" customFormat="1" customHeight="1" s="483">
      <c r="A28" s="500" t="n"/>
      <c r="B28" s="563" t="inlineStr">
        <is>
          <t>理财师002</t>
        </is>
      </c>
      <c r="C28" s="433" t="n">
        <v>40.685</v>
      </c>
      <c r="D28" s="85" t="n">
        <v>0</v>
      </c>
      <c r="E28" s="85" t="n">
        <v>0</v>
      </c>
      <c r="F28" s="85" t="n">
        <v>0</v>
      </c>
      <c r="G28" s="85" t="n">
        <v>0</v>
      </c>
      <c r="H28" s="118">
        <f>F28-C28</f>
        <v/>
      </c>
      <c r="I28" s="88">
        <f>F28/C28*100%</f>
        <v/>
      </c>
    </row>
    <row r="29" ht="15" customFormat="1" customHeight="1" s="483">
      <c r="A29" s="501" t="n"/>
      <c r="B29" s="572" t="inlineStr">
        <is>
          <t>理财师027</t>
        </is>
      </c>
      <c r="C29" s="433" t="n">
        <v>34.235</v>
      </c>
      <c r="D29" s="100" t="n">
        <v>0</v>
      </c>
      <c r="E29" s="100" t="n">
        <v>0</v>
      </c>
      <c r="F29" s="100" t="n">
        <v>0</v>
      </c>
      <c r="G29" s="100" t="n">
        <v>0</v>
      </c>
      <c r="H29" s="118">
        <f>F29-C29</f>
        <v/>
      </c>
      <c r="I29" s="88">
        <f>F29/C29*100%</f>
        <v/>
      </c>
    </row>
    <row r="30" ht="14.25" customFormat="1" customHeight="1" s="483">
      <c r="A30" s="577" t="inlineStr">
        <is>
          <t>合计</t>
        </is>
      </c>
      <c r="B30" s="578" t="n"/>
      <c r="C30" s="590">
        <f>SUM(C26:C29)</f>
        <v/>
      </c>
      <c r="D30" s="591">
        <f>SUM(D26:D29)</f>
        <v/>
      </c>
      <c r="E30" s="591">
        <f>SUM(E26:E29)</f>
        <v/>
      </c>
      <c r="F30" s="579">
        <f>SUM(F26:F29)</f>
        <v/>
      </c>
      <c r="G30" s="591">
        <f>SUM(G26:G29)</f>
        <v/>
      </c>
      <c r="H30" s="580">
        <f>F30-C30</f>
        <v/>
      </c>
      <c r="I30" s="207">
        <f>F30/C30</f>
        <v/>
      </c>
    </row>
    <row r="31" ht="14.25" customFormat="1" customHeight="1" s="483">
      <c r="A31" s="583" t="inlineStr">
        <is>
          <t>理财师009</t>
        </is>
      </c>
      <c r="B31" s="584" t="inlineStr">
        <is>
          <t>理财师048</t>
        </is>
      </c>
      <c r="C31" s="433" t="n">
        <v>34.595</v>
      </c>
      <c r="D31" s="118" t="n">
        <v>0</v>
      </c>
      <c r="E31" s="118" t="n">
        <v>0</v>
      </c>
      <c r="F31" s="118" t="n">
        <v>0</v>
      </c>
      <c r="G31" s="118" t="n">
        <v>0</v>
      </c>
      <c r="H31" s="118">
        <f>F31-C31</f>
        <v/>
      </c>
      <c r="I31" s="88">
        <f>F31/C31*100%</f>
        <v/>
      </c>
    </row>
    <row r="32" ht="14.25" customFormat="1" customHeight="1" s="483">
      <c r="A32" s="500" t="n"/>
      <c r="B32" s="563" t="inlineStr">
        <is>
          <t>理财师009</t>
        </is>
      </c>
      <c r="C32" s="433" t="n">
        <v>63.7</v>
      </c>
      <c r="D32" s="85" t="n">
        <v>0</v>
      </c>
      <c r="E32" s="85" t="n">
        <v>0</v>
      </c>
      <c r="F32" s="118" t="n">
        <v>0</v>
      </c>
      <c r="G32" s="85" t="n">
        <v>0</v>
      </c>
      <c r="H32" s="118">
        <f>F32-C32</f>
        <v/>
      </c>
      <c r="I32" s="88">
        <f>F32/C32*100%</f>
        <v/>
      </c>
    </row>
    <row r="33" ht="15" customFormat="1" customHeight="1" s="483">
      <c r="A33" s="501" t="n"/>
      <c r="B33" s="572" t="inlineStr">
        <is>
          <t>理财师010</t>
        </is>
      </c>
      <c r="C33" s="433" t="n">
        <v>50.71</v>
      </c>
      <c r="D33" s="100" t="n">
        <v>0</v>
      </c>
      <c r="E33" s="100" t="n">
        <v>0</v>
      </c>
      <c r="F33" s="118" t="n">
        <v>0</v>
      </c>
      <c r="G33" s="100" t="n">
        <v>0</v>
      </c>
      <c r="H33" s="118">
        <f>F33-C33</f>
        <v/>
      </c>
      <c r="I33" s="88">
        <f>F33/C33*100%</f>
        <v/>
      </c>
    </row>
    <row r="34" ht="14.25" customFormat="1" customHeight="1" s="483">
      <c r="A34" s="577" t="inlineStr">
        <is>
          <t>合计</t>
        </is>
      </c>
      <c r="B34" s="578" t="n"/>
      <c r="C34" s="590">
        <f>SUM(C31:C33)</f>
        <v/>
      </c>
      <c r="D34" s="590">
        <f>SUM(D31:D33)</f>
        <v/>
      </c>
      <c r="E34" s="590">
        <f>SUM(E31:E33)</f>
        <v/>
      </c>
      <c r="F34" s="590">
        <f>SUM(F31:F33)</f>
        <v/>
      </c>
      <c r="G34" s="590">
        <f>SUM(G31:G33)</f>
        <v/>
      </c>
      <c r="H34" s="580">
        <f>F34-C34</f>
        <v/>
      </c>
      <c r="I34" s="207">
        <f>F34/C34</f>
        <v/>
      </c>
    </row>
    <row r="35" ht="14.25" customFormat="1" customHeight="1" s="483">
      <c r="A35" s="787" t="inlineStr">
        <is>
          <t>理财师020</t>
        </is>
      </c>
      <c r="B35" s="584" t="inlineStr">
        <is>
          <t>理财师020</t>
        </is>
      </c>
      <c r="C35" s="433" t="n">
        <v>60.255</v>
      </c>
      <c r="D35" s="118" t="n">
        <v>0</v>
      </c>
      <c r="E35" s="118" t="n">
        <v>0</v>
      </c>
      <c r="F35" s="118" t="n">
        <v>0</v>
      </c>
      <c r="G35" s="118" t="n">
        <v>0</v>
      </c>
      <c r="H35" s="118">
        <f>F35-C35</f>
        <v/>
      </c>
      <c r="I35" s="119">
        <f>F35/C35*100%</f>
        <v/>
      </c>
    </row>
    <row r="36" ht="15" customFormat="1" customHeight="1" s="483">
      <c r="A36" s="607" t="n"/>
      <c r="B36" s="608" t="inlineStr">
        <is>
          <t>理财师032</t>
        </is>
      </c>
      <c r="C36" s="433" t="n">
        <v>62.795</v>
      </c>
      <c r="D36" s="154" t="n">
        <v>0</v>
      </c>
      <c r="E36" s="154" t="n">
        <v>0</v>
      </c>
      <c r="F36" s="118" t="n">
        <v>0</v>
      </c>
      <c r="G36" s="154" t="n">
        <v>0</v>
      </c>
      <c r="H36" s="118">
        <f>F36-C36</f>
        <v/>
      </c>
      <c r="I36" s="88">
        <f>F36/C36*100%</f>
        <v/>
      </c>
    </row>
    <row r="37" ht="14.25" customFormat="1" customHeight="1" s="483">
      <c r="A37" s="613" t="inlineStr">
        <is>
          <t>合计</t>
        </is>
      </c>
      <c r="B37" s="530" t="n"/>
      <c r="C37" s="614">
        <f>SUM(C35:C36)</f>
        <v/>
      </c>
      <c r="D37" s="614">
        <f>SUM(D35:D36)</f>
        <v/>
      </c>
      <c r="E37" s="614">
        <f>SUM(E35:E36)</f>
        <v/>
      </c>
      <c r="F37" s="614">
        <f>SUM(F35:F36)</f>
        <v/>
      </c>
      <c r="G37" s="614">
        <f>SUM(G35:G36)</f>
        <v/>
      </c>
      <c r="H37" s="580">
        <f>F37-C37</f>
        <v/>
      </c>
      <c r="I37" s="207">
        <f>F37/C37</f>
        <v/>
      </c>
    </row>
    <row r="38" ht="14.25" customFormat="1" customHeight="1" s="483">
      <c r="A38" s="600" t="inlineStr">
        <is>
          <t>理财师005</t>
        </is>
      </c>
      <c r="B38" s="601" t="inlineStr">
        <is>
          <t>理财师005</t>
        </is>
      </c>
      <c r="C38" s="433" t="n">
        <v>49.71</v>
      </c>
      <c r="D38" s="142" t="n">
        <v>0</v>
      </c>
      <c r="E38" s="142" t="n">
        <v>0</v>
      </c>
      <c r="F38" s="118" t="n">
        <v>0</v>
      </c>
      <c r="G38" s="142" t="n">
        <v>0</v>
      </c>
      <c r="H38" s="118">
        <f>F38-C38</f>
        <v/>
      </c>
      <c r="I38" s="88">
        <f>F38/C38*100%</f>
        <v/>
      </c>
    </row>
    <row r="39" ht="15" customFormat="1" customHeight="1" s="483">
      <c r="A39" s="607" t="n"/>
      <c r="B39" s="608" t="inlineStr">
        <is>
          <t>理财师026</t>
        </is>
      </c>
      <c r="C39" s="433" t="n">
        <v>46.265</v>
      </c>
      <c r="D39" s="154" t="n">
        <v>0</v>
      </c>
      <c r="E39" s="154" t="n">
        <v>0</v>
      </c>
      <c r="F39" s="118" t="n">
        <v>0</v>
      </c>
      <c r="G39" s="154" t="n">
        <v>0</v>
      </c>
      <c r="H39" s="118">
        <f>F39-C39</f>
        <v/>
      </c>
      <c r="I39" s="88">
        <f>F39/C39*100%</f>
        <v/>
      </c>
    </row>
    <row r="40" ht="14.25" customFormat="1" customHeight="1" s="483">
      <c r="A40" s="618" t="inlineStr">
        <is>
          <t>合计</t>
        </is>
      </c>
      <c r="B40" s="620" t="n"/>
      <c r="C40" s="621">
        <f>SUM(C38:C39)</f>
        <v/>
      </c>
      <c r="D40" s="621">
        <f>SUM(D38:D39)</f>
        <v/>
      </c>
      <c r="E40" s="621">
        <f>SUM(E38:E39)</f>
        <v/>
      </c>
      <c r="F40" s="621">
        <f>SUM(F38:F39)</f>
        <v/>
      </c>
      <c r="G40" s="621">
        <f>SUM(G38:G39)</f>
        <v/>
      </c>
      <c r="H40" s="580">
        <f>F40-C40</f>
        <v/>
      </c>
      <c r="I40" s="207">
        <f>F40/C40</f>
        <v/>
      </c>
    </row>
    <row r="41" ht="14.25" customFormat="1" customHeight="1" s="483">
      <c r="A41" s="600" t="inlineStr">
        <is>
          <t>理财师008</t>
        </is>
      </c>
      <c r="B41" s="601" t="inlineStr">
        <is>
          <t>理财师008</t>
        </is>
      </c>
      <c r="C41" s="433" t="n">
        <v>50.845</v>
      </c>
      <c r="D41" s="142" t="n">
        <v>0</v>
      </c>
      <c r="E41" s="142" t="n">
        <v>0</v>
      </c>
      <c r="F41" s="118" t="n">
        <v>0</v>
      </c>
      <c r="G41" s="142" t="n">
        <v>0</v>
      </c>
      <c r="H41" s="118">
        <f>F41-C41</f>
        <v/>
      </c>
      <c r="I41" s="88">
        <f>F41/C41*100%</f>
        <v/>
      </c>
    </row>
    <row r="42" ht="15" customFormat="1" customHeight="1" s="483">
      <c r="A42" s="607" t="n"/>
      <c r="B42" s="608" t="inlineStr">
        <is>
          <t>理财师011</t>
        </is>
      </c>
      <c r="C42" s="433" t="n">
        <v>30.035</v>
      </c>
      <c r="D42" s="154" t="n">
        <v>0</v>
      </c>
      <c r="E42" s="154" t="n">
        <v>0</v>
      </c>
      <c r="F42" s="118" t="n">
        <v>0</v>
      </c>
      <c r="G42" s="154" t="n">
        <v>0</v>
      </c>
      <c r="H42" s="118">
        <f>F42-C42</f>
        <v/>
      </c>
      <c r="I42" s="88">
        <f>F42/C42*100%</f>
        <v/>
      </c>
    </row>
    <row r="43" ht="14.25" customFormat="1" customHeight="1" s="483">
      <c r="A43" s="618" t="inlineStr">
        <is>
          <t>合计</t>
        </is>
      </c>
      <c r="B43" s="620" t="n"/>
      <c r="C43" s="621">
        <f>SUM(C41:C42)</f>
        <v/>
      </c>
      <c r="D43" s="621">
        <f>SUM(D41:D42)</f>
        <v/>
      </c>
      <c r="E43" s="621">
        <f>SUM(E41:E42)</f>
        <v/>
      </c>
      <c r="F43" s="621">
        <f>SUM(F41:F42)</f>
        <v/>
      </c>
      <c r="G43" s="621">
        <f>SUM(G41:G42)</f>
        <v/>
      </c>
      <c r="H43" s="580">
        <f>F43-C43</f>
        <v/>
      </c>
      <c r="I43" s="207">
        <f>F43/C43</f>
        <v/>
      </c>
    </row>
    <row r="44" ht="14.1" customFormat="1" customHeight="1" s="483">
      <c r="A44" s="583" t="inlineStr">
        <is>
          <t>理财师004</t>
        </is>
      </c>
      <c r="B44" s="584" t="inlineStr">
        <is>
          <t>理财师003</t>
        </is>
      </c>
      <c r="C44" s="433" t="n">
        <v>62.855</v>
      </c>
      <c r="D44" s="118" t="n">
        <v>0</v>
      </c>
      <c r="E44" s="118" t="n">
        <v>0</v>
      </c>
      <c r="F44" s="118" t="n">
        <v>0</v>
      </c>
      <c r="G44" s="118" t="n">
        <v>0</v>
      </c>
      <c r="H44" s="118">
        <f>F44-C44</f>
        <v/>
      </c>
      <c r="I44" s="88">
        <f>F44/C44*100%</f>
        <v/>
      </c>
    </row>
    <row r="45" ht="14.1" customFormat="1" customHeight="1" s="483">
      <c r="A45" s="500" t="n"/>
      <c r="B45" s="563" t="inlineStr">
        <is>
          <t>理财师006</t>
        </is>
      </c>
      <c r="C45" s="433" t="n">
        <v>28.725</v>
      </c>
      <c r="D45" s="85" t="n">
        <v>0</v>
      </c>
      <c r="E45" s="85" t="n">
        <v>0</v>
      </c>
      <c r="F45" s="118" t="n">
        <v>0</v>
      </c>
      <c r="G45" s="85" t="n">
        <v>0</v>
      </c>
      <c r="H45" s="118">
        <f>F45-C45</f>
        <v/>
      </c>
      <c r="I45" s="88">
        <f>F45/C45*100%</f>
        <v/>
      </c>
    </row>
    <row r="46" ht="14.1" customFormat="1" customHeight="1" s="483">
      <c r="A46" s="500" t="n"/>
      <c r="B46" s="563" t="inlineStr">
        <is>
          <t>理财师012</t>
        </is>
      </c>
      <c r="C46" s="433" t="n">
        <v>57.105</v>
      </c>
      <c r="D46" s="85" t="n">
        <v>0</v>
      </c>
      <c r="E46" s="85" t="n">
        <v>0</v>
      </c>
      <c r="F46" s="118" t="n">
        <v>0</v>
      </c>
      <c r="G46" s="85" t="n">
        <v>0</v>
      </c>
      <c r="H46" s="118">
        <f>F46-C46</f>
        <v/>
      </c>
      <c r="I46" s="88">
        <f>F46/C46*100%</f>
        <v/>
      </c>
    </row>
    <row r="47" ht="15" customFormat="1" customHeight="1" s="483">
      <c r="A47" s="501" t="n"/>
      <c r="B47" s="572" t="inlineStr">
        <is>
          <t>理财师004</t>
        </is>
      </c>
      <c r="C47" s="433" t="n">
        <v>38.56</v>
      </c>
      <c r="D47" s="100" t="n">
        <v>0</v>
      </c>
      <c r="E47" s="100" t="n">
        <v>0</v>
      </c>
      <c r="F47" s="118" t="n">
        <v>0</v>
      </c>
      <c r="G47" s="100" t="n">
        <v>0</v>
      </c>
      <c r="H47" s="118">
        <f>F47-C47</f>
        <v/>
      </c>
      <c r="I47" s="88">
        <f>F47/C47*100%</f>
        <v/>
      </c>
    </row>
    <row r="48" ht="14.25" customFormat="1" customHeight="1" s="483">
      <c r="A48" s="577" t="inlineStr">
        <is>
          <t>合计</t>
        </is>
      </c>
      <c r="B48" s="578" t="n"/>
      <c r="C48" s="590">
        <f>SUM(C44:C47)</f>
        <v/>
      </c>
      <c r="D48" s="591">
        <f>SUM(D44:D47)</f>
        <v/>
      </c>
      <c r="E48" s="591">
        <f>SUM(E44:E47)</f>
        <v/>
      </c>
      <c r="F48" s="579">
        <f>SUM(F44:F47)</f>
        <v/>
      </c>
      <c r="G48" s="591">
        <f>SUM(G44:G47)</f>
        <v/>
      </c>
      <c r="H48" s="580">
        <f>F48-C48</f>
        <v/>
      </c>
      <c r="I48" s="207">
        <f>F48/C48</f>
        <v/>
      </c>
    </row>
    <row r="49" ht="35.1" customFormat="1" customHeight="1" s="483">
      <c r="A49" s="630" t="inlineStr">
        <is>
          <t>合计</t>
        </is>
      </c>
      <c r="B49" s="578" t="n"/>
      <c r="C49" s="631">
        <f>SUM(C9+C15+C21+C26+C30+C34+C37+C40+C43+C48)</f>
        <v/>
      </c>
      <c r="D49" s="631">
        <f>SUM(D9+D15+D21+D26+D30+D34+D37+D40+D43+D48)</f>
        <v/>
      </c>
      <c r="E49" s="631">
        <f>SUM(E9+E15+E21+E26+E30+E34+E37+E40+E43+E48)</f>
        <v/>
      </c>
      <c r="F49" s="631">
        <f>SUM(F9+F15+F21+F26+F30+F34+F37+F40+F43+F48)</f>
        <v/>
      </c>
      <c r="G49" s="631">
        <f>SUM(G9+G15+G21+G26+G30+G34+G37+G40+G43+G48)</f>
        <v/>
      </c>
      <c r="H49" s="631">
        <f>F49-C49</f>
        <v/>
      </c>
      <c r="I49" s="435">
        <f>F49/C49</f>
        <v/>
      </c>
    </row>
    <row r="50" ht="24" customFormat="1" customHeight="1" s="483"/>
  </sheetData>
  <mergeCells count="22">
    <mergeCell ref="A48:B48"/>
    <mergeCell ref="A30:B30"/>
    <mergeCell ref="A15:B15"/>
    <mergeCell ref="A49:B49"/>
    <mergeCell ref="A41:A42"/>
    <mergeCell ref="A37:B37"/>
    <mergeCell ref="A10:A14"/>
    <mergeCell ref="A31:A33"/>
    <mergeCell ref="A26:B26"/>
    <mergeCell ref="A21:B21"/>
    <mergeCell ref="A3:A8"/>
    <mergeCell ref="A22:A25"/>
    <mergeCell ref="A35:A36"/>
    <mergeCell ref="A44:A47"/>
    <mergeCell ref="A38:A39"/>
    <mergeCell ref="A43:B43"/>
    <mergeCell ref="A16:A20"/>
    <mergeCell ref="A1:I1"/>
    <mergeCell ref="A27:A29"/>
    <mergeCell ref="A40:B40"/>
    <mergeCell ref="A9:B9"/>
    <mergeCell ref="A34:B34"/>
  </mergeCells>
  <conditionalFormatting sqref="F2 H2">
    <cfRule type="cellIs" priority="1" operator="lessThan" dxfId="3">
      <formula>100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zoomScale="110" zoomScaleNormal="110" workbookViewId="0">
      <selection activeCell="A1" sqref="A1"/>
    </sheetView>
  </sheetViews>
  <sheetFormatPr baseColWidth="8" defaultColWidth="9" defaultRowHeight="16.8"/>
  <cols>
    <col width="15.75" customWidth="1" style="483" min="3" max="4"/>
    <col width="19.75" customWidth="1" style="483" min="5" max="5"/>
    <col width="18.25" customWidth="1" style="483" min="6" max="6"/>
  </cols>
  <sheetData>
    <row r="1" ht="20.25" customFormat="1" customHeight="1" s="483">
      <c r="A1" s="754" t="inlineStr">
        <is>
          <t>私人财富管理部开单及新客户数统计-截止20260130</t>
        </is>
      </c>
      <c r="B1" s="486" t="n"/>
      <c r="C1" s="486" t="n"/>
      <c r="D1" s="486" t="n"/>
      <c r="E1" s="486" t="n"/>
      <c r="F1" s="486" t="n"/>
      <c r="G1" s="483" t="inlineStr">
        <is>
          <t>责任人：销管+销售助理</t>
        </is>
      </c>
    </row>
    <row r="2" ht="58.5" customFormat="1" customHeight="1" s="483">
      <c r="A2" s="788" t="inlineStr">
        <is>
          <t>团队</t>
        </is>
      </c>
      <c r="B2" s="789" t="inlineStr">
        <is>
          <t>理财师</t>
        </is>
      </c>
      <c r="C2" s="789" t="inlineStr">
        <is>
          <t>开门红激励活动-传统1月开单
【自有客户单笔成交10万美金】</t>
        </is>
      </c>
      <c r="D2" s="789" t="inlineStr">
        <is>
          <t>传统业务开单1月
【单笔交易≥5万美金】Y/N</t>
        </is>
      </c>
      <c r="E2" s="789" t="inlineStr">
        <is>
          <t>开门红激励活动-传统2月开单
【自有客户单笔成交10万美金】</t>
        </is>
      </c>
      <c r="F2" s="789" t="inlineStr">
        <is>
          <t>传统业务开单2月
【单笔交易≥5万美金】Y/N</t>
        </is>
      </c>
    </row>
    <row r="3" ht="14.25" customFormat="1" customHeight="1" s="483">
      <c r="A3" s="562" t="inlineStr">
        <is>
          <t>理财师018</t>
        </is>
      </c>
      <c r="B3" s="563" t="inlineStr">
        <is>
          <t>理财师017</t>
        </is>
      </c>
      <c r="C3" s="563" t="inlineStr"/>
      <c r="D3" s="563" t="inlineStr">
        <is>
          <t>Y</t>
        </is>
      </c>
      <c r="E3" s="563" t="inlineStr"/>
      <c r="F3" s="563" t="inlineStr">
        <is>
          <t>Y</t>
        </is>
      </c>
    </row>
    <row r="4" ht="14.25" customFormat="1" customHeight="1" s="483">
      <c r="A4" s="500" t="n"/>
      <c r="B4" s="563" t="inlineStr">
        <is>
          <t>理财师018</t>
        </is>
      </c>
      <c r="C4" s="563" t="n">
        <v>1.3321</v>
      </c>
      <c r="D4" s="563" t="inlineStr">
        <is>
          <t>Y</t>
        </is>
      </c>
      <c r="E4" s="563" t="n">
        <v>1.3321</v>
      </c>
      <c r="F4" s="563" t="inlineStr">
        <is>
          <t>Y</t>
        </is>
      </c>
    </row>
    <row r="5" ht="14.25" customFormat="1" customHeight="1" s="483">
      <c r="A5" s="500" t="n"/>
      <c r="B5" s="563" t="inlineStr">
        <is>
          <t>理财师019</t>
        </is>
      </c>
      <c r="C5" s="563" t="inlineStr"/>
      <c r="D5" s="563" t="inlineStr">
        <is>
          <t>Y</t>
        </is>
      </c>
      <c r="E5" s="563" t="inlineStr"/>
      <c r="F5" s="563" t="inlineStr">
        <is>
          <t>Y</t>
        </is>
      </c>
    </row>
    <row r="6" ht="14.25" customFormat="1" customHeight="1" s="483">
      <c r="A6" s="500" t="n"/>
      <c r="B6" s="563" t="inlineStr">
        <is>
          <t>理财师021</t>
        </is>
      </c>
      <c r="C6" s="563" t="n">
        <v>0.7213000000000001</v>
      </c>
      <c r="D6" s="563" t="inlineStr">
        <is>
          <t>Y</t>
        </is>
      </c>
      <c r="E6" s="563" t="n">
        <v>0.7213000000000001</v>
      </c>
      <c r="F6" s="563" t="inlineStr">
        <is>
          <t>Y</t>
        </is>
      </c>
    </row>
    <row r="7" ht="14.25" customFormat="1" customHeight="1" s="483">
      <c r="A7" s="500" t="n"/>
      <c r="B7" s="563" t="inlineStr">
        <is>
          <t>理财师025</t>
        </is>
      </c>
      <c r="C7" s="563" t="n">
        <v>1.0584</v>
      </c>
      <c r="D7" s="563" t="inlineStr">
        <is>
          <t>Y</t>
        </is>
      </c>
      <c r="E7" s="563" t="n">
        <v>1.0584</v>
      </c>
      <c r="F7" s="563" t="inlineStr">
        <is>
          <t>Y</t>
        </is>
      </c>
    </row>
    <row r="8" ht="14.25" customFormat="1" customHeight="1" s="483">
      <c r="A8" s="501" t="n"/>
      <c r="B8" s="563" t="inlineStr">
        <is>
          <t>理财师277</t>
        </is>
      </c>
      <c r="C8" s="563" t="inlineStr"/>
      <c r="D8" s="563" t="inlineStr">
        <is>
          <t>N</t>
        </is>
      </c>
      <c r="E8" s="563" t="inlineStr"/>
      <c r="F8" s="563" t="inlineStr">
        <is>
          <t>N</t>
        </is>
      </c>
    </row>
    <row r="9">
      <c r="A9" s="790" t="inlineStr">
        <is>
          <t>合计</t>
        </is>
      </c>
      <c r="B9" s="495" t="n"/>
      <c r="C9" s="439" t="n">
        <v>3</v>
      </c>
      <c r="D9" s="439" t="inlineStr"/>
      <c r="E9" s="439" t="n">
        <v>3</v>
      </c>
      <c r="F9" s="439" t="inlineStr"/>
    </row>
    <row r="10" ht="14.25" customFormat="1" customHeight="1" s="483">
      <c r="A10" s="791" t="inlineStr">
        <is>
          <t>理财师014</t>
        </is>
      </c>
      <c r="B10" s="563" t="inlineStr">
        <is>
          <t>理财师013</t>
        </is>
      </c>
      <c r="C10" s="563" t="inlineStr"/>
      <c r="D10" s="563" t="inlineStr"/>
      <c r="E10" s="563" t="inlineStr"/>
      <c r="F10" s="563" t="inlineStr"/>
    </row>
    <row r="11" ht="14.25" customFormat="1" customHeight="1" s="483">
      <c r="A11" s="500" t="n"/>
      <c r="B11" s="563" t="inlineStr">
        <is>
          <t>理财师014</t>
        </is>
      </c>
      <c r="C11" s="563" t="inlineStr"/>
      <c r="D11" s="563" t="inlineStr"/>
      <c r="E11" s="563" t="inlineStr"/>
      <c r="F11" s="563" t="inlineStr"/>
    </row>
    <row r="12" ht="14.25" customFormat="1" customHeight="1" s="483">
      <c r="A12" s="500" t="n"/>
      <c r="B12" s="563" t="inlineStr">
        <is>
          <t>理财师022</t>
        </is>
      </c>
      <c r="C12" s="563" t="inlineStr"/>
      <c r="D12" s="563" t="inlineStr"/>
      <c r="E12" s="563" t="inlineStr"/>
      <c r="F12" s="563" t="inlineStr"/>
    </row>
    <row r="13" ht="14.25" customFormat="1" customHeight="1" s="483">
      <c r="A13" s="500" t="n"/>
      <c r="B13" s="563" t="inlineStr">
        <is>
          <t>理财师024</t>
        </is>
      </c>
      <c r="C13" s="563" t="inlineStr"/>
      <c r="D13" s="563" t="inlineStr"/>
      <c r="E13" s="563" t="inlineStr"/>
      <c r="F13" s="563" t="inlineStr"/>
    </row>
    <row r="14" ht="14.25" customFormat="1" customHeight="1" s="483">
      <c r="A14" s="501" t="n"/>
      <c r="B14" s="563" t="inlineStr">
        <is>
          <t>理财师188</t>
        </is>
      </c>
      <c r="C14" s="563" t="inlineStr"/>
      <c r="D14" s="563" t="inlineStr"/>
      <c r="E14" s="563" t="inlineStr"/>
      <c r="F14" s="563" t="inlineStr"/>
    </row>
    <row r="15">
      <c r="A15" s="790" t="inlineStr">
        <is>
          <t>合计</t>
        </is>
      </c>
      <c r="B15" s="495" t="n"/>
      <c r="C15" s="439" t="inlineStr"/>
      <c r="D15" s="439" t="inlineStr"/>
      <c r="E15" s="439" t="inlineStr"/>
      <c r="F15" s="439" t="inlineStr"/>
    </row>
    <row r="16" ht="14.25" customFormat="1" customHeight="1" s="483">
      <c r="A16" s="791" t="inlineStr">
        <is>
          <t>理财师007</t>
        </is>
      </c>
      <c r="B16" s="563" t="inlineStr">
        <is>
          <t>理财师007</t>
        </is>
      </c>
      <c r="C16" s="563" t="inlineStr"/>
      <c r="D16" s="563" t="inlineStr"/>
      <c r="E16" s="563" t="inlineStr"/>
      <c r="F16" s="563" t="inlineStr"/>
    </row>
    <row r="17" ht="14.25" customFormat="1" customHeight="1" s="483">
      <c r="A17" s="500" t="n"/>
      <c r="B17" s="563" t="inlineStr">
        <is>
          <t>理财师023</t>
        </is>
      </c>
      <c r="C17" s="563" t="inlineStr"/>
      <c r="D17" s="563" t="inlineStr"/>
      <c r="E17" s="563" t="inlineStr"/>
      <c r="F17" s="563" t="inlineStr"/>
    </row>
    <row r="18" ht="14.25" customFormat="1" customHeight="1" s="483">
      <c r="A18" s="500" t="n"/>
      <c r="B18" s="563" t="inlineStr">
        <is>
          <t>理财师231</t>
        </is>
      </c>
      <c r="C18" s="563" t="inlineStr"/>
      <c r="D18" s="563" t="inlineStr"/>
      <c r="E18" s="563" t="inlineStr"/>
      <c r="F18" s="563" t="inlineStr"/>
    </row>
    <row r="19" ht="14.25" customFormat="1" customHeight="1" s="483">
      <c r="A19" s="500" t="n"/>
      <c r="B19" s="563" t="inlineStr">
        <is>
          <t>理财师091</t>
        </is>
      </c>
      <c r="C19" s="563" t="inlineStr"/>
      <c r="D19" s="563" t="inlineStr"/>
      <c r="E19" s="563" t="inlineStr"/>
      <c r="F19" s="563" t="inlineStr"/>
    </row>
    <row r="20" ht="14.25" customFormat="1" customHeight="1" s="483">
      <c r="A20" s="501" t="n"/>
      <c r="B20" s="563" t="inlineStr">
        <is>
          <t>理财师278</t>
        </is>
      </c>
      <c r="C20" s="563" t="inlineStr"/>
      <c r="D20" s="563" t="inlineStr"/>
      <c r="E20" s="563" t="inlineStr"/>
      <c r="F20" s="563" t="inlineStr"/>
    </row>
    <row r="21">
      <c r="A21" s="790" t="inlineStr">
        <is>
          <t>合计</t>
        </is>
      </c>
      <c r="B21" s="495" t="n"/>
      <c r="C21" s="439" t="inlineStr"/>
      <c r="D21" s="439" t="inlineStr"/>
      <c r="E21" s="439" t="inlineStr"/>
      <c r="F21" s="439" t="inlineStr"/>
    </row>
    <row r="22" ht="14.25" customFormat="1" customHeight="1" s="483">
      <c r="A22" s="791" t="inlineStr">
        <is>
          <t>理财师016</t>
        </is>
      </c>
      <c r="B22" s="563" t="inlineStr">
        <is>
          <t>理财师208</t>
        </is>
      </c>
      <c r="C22" s="563" t="inlineStr"/>
      <c r="D22" s="563" t="inlineStr"/>
      <c r="E22" s="563" t="inlineStr"/>
      <c r="F22" s="563" t="inlineStr"/>
    </row>
    <row r="23" ht="14.25" customFormat="1" customHeight="1" s="483">
      <c r="A23" s="500" t="n"/>
      <c r="B23" s="563" t="inlineStr">
        <is>
          <t>理财师015</t>
        </is>
      </c>
      <c r="C23" s="563" t="inlineStr"/>
      <c r="D23" s="563" t="inlineStr"/>
      <c r="E23" s="563" t="inlineStr"/>
      <c r="F23" s="563" t="inlineStr"/>
    </row>
    <row r="24" ht="14.25" customFormat="1" customHeight="1" s="483">
      <c r="A24" s="500" t="n"/>
      <c r="B24" s="563" t="inlineStr">
        <is>
          <t>理财师016</t>
        </is>
      </c>
      <c r="C24" s="563" t="inlineStr"/>
      <c r="D24" s="563" t="inlineStr"/>
      <c r="E24" s="563" t="inlineStr"/>
      <c r="F24" s="563" t="inlineStr"/>
    </row>
    <row r="25" ht="14.25" customFormat="1" customHeight="1" s="483">
      <c r="A25" s="501" t="n"/>
      <c r="B25" s="563" t="inlineStr">
        <is>
          <t>理财师028</t>
        </is>
      </c>
      <c r="C25" s="563" t="inlineStr"/>
      <c r="D25" s="563" t="inlineStr"/>
      <c r="E25" s="563" t="inlineStr"/>
      <c r="F25" s="563" t="inlineStr"/>
    </row>
    <row r="26">
      <c r="A26" s="790" t="inlineStr">
        <is>
          <t>合计</t>
        </is>
      </c>
      <c r="B26" s="495" t="n"/>
      <c r="C26" s="439" t="inlineStr"/>
      <c r="D26" s="439" t="inlineStr"/>
      <c r="E26" s="439" t="inlineStr"/>
      <c r="F26" s="439" t="inlineStr"/>
    </row>
    <row r="27" ht="14.25" customFormat="1" customHeight="1" s="483">
      <c r="A27" s="791" t="inlineStr">
        <is>
          <t>理财师002</t>
        </is>
      </c>
      <c r="B27" s="563" t="inlineStr">
        <is>
          <t>理财师001</t>
        </is>
      </c>
      <c r="C27" s="563" t="inlineStr"/>
      <c r="D27" s="563" t="inlineStr"/>
      <c r="E27" s="563" t="inlineStr"/>
      <c r="F27" s="563" t="inlineStr"/>
    </row>
    <row r="28" ht="14.25" customFormat="1" customHeight="1" s="483">
      <c r="A28" s="500" t="n"/>
      <c r="B28" s="563" t="inlineStr">
        <is>
          <t>理财师002</t>
        </is>
      </c>
      <c r="C28" s="563" t="inlineStr"/>
      <c r="D28" s="563" t="inlineStr"/>
      <c r="E28" s="563" t="inlineStr"/>
      <c r="F28" s="563" t="inlineStr"/>
    </row>
    <row r="29" ht="14.25" customFormat="1" customHeight="1" s="483">
      <c r="A29" s="501" t="n"/>
      <c r="B29" s="563" t="inlineStr">
        <is>
          <t>理财师027</t>
        </is>
      </c>
      <c r="C29" s="563" t="inlineStr"/>
      <c r="D29" s="563" t="inlineStr"/>
      <c r="E29" s="563" t="inlineStr"/>
      <c r="F29" s="563" t="inlineStr"/>
    </row>
    <row r="30">
      <c r="A30" s="790" t="inlineStr">
        <is>
          <t>合计</t>
        </is>
      </c>
      <c r="B30" s="495" t="n"/>
      <c r="C30" s="439" t="inlineStr"/>
      <c r="D30" s="439" t="inlineStr"/>
      <c r="E30" s="439" t="inlineStr"/>
      <c r="F30" s="439" t="inlineStr"/>
    </row>
    <row r="31" ht="14.25" customFormat="1" customHeight="1" s="483">
      <c r="A31" s="791" t="inlineStr">
        <is>
          <t>理财师009</t>
        </is>
      </c>
      <c r="B31" s="563" t="inlineStr">
        <is>
          <t>理财师048</t>
        </is>
      </c>
      <c r="C31" s="563" t="inlineStr"/>
      <c r="D31" s="563" t="inlineStr"/>
      <c r="E31" s="563" t="inlineStr"/>
      <c r="F31" s="563" t="inlineStr"/>
    </row>
    <row r="32" ht="14.25" customFormat="1" customHeight="1" s="483">
      <c r="A32" s="500" t="n"/>
      <c r="B32" s="563" t="inlineStr">
        <is>
          <t>理财师009</t>
        </is>
      </c>
      <c r="C32" s="563" t="inlineStr"/>
      <c r="D32" s="563" t="inlineStr"/>
      <c r="E32" s="563" t="inlineStr"/>
      <c r="F32" s="563" t="inlineStr"/>
    </row>
    <row r="33" ht="14.25" customFormat="1" customHeight="1" s="483">
      <c r="A33" s="501" t="n"/>
      <c r="B33" s="563" t="inlineStr">
        <is>
          <t>理财师010</t>
        </is>
      </c>
      <c r="C33" s="563" t="inlineStr"/>
      <c r="D33" s="563" t="inlineStr"/>
      <c r="E33" s="563" t="inlineStr"/>
      <c r="F33" s="563" t="inlineStr"/>
    </row>
    <row r="34">
      <c r="A34" s="790" t="inlineStr">
        <is>
          <t>合计</t>
        </is>
      </c>
      <c r="B34" s="495" t="n"/>
      <c r="C34" s="439" t="inlineStr"/>
      <c r="D34" s="439" t="inlineStr"/>
      <c r="E34" s="439" t="inlineStr"/>
      <c r="F34" s="439" t="inlineStr"/>
    </row>
    <row r="35" ht="14.25" customFormat="1" customHeight="1" s="483">
      <c r="A35" s="791" t="inlineStr">
        <is>
          <t>理财师020</t>
        </is>
      </c>
      <c r="B35" s="563" t="inlineStr">
        <is>
          <t>理财师020</t>
        </is>
      </c>
      <c r="C35" s="563" t="inlineStr"/>
      <c r="D35" s="563" t="inlineStr"/>
      <c r="E35" s="563" t="inlineStr"/>
      <c r="F35" s="563" t="inlineStr"/>
    </row>
    <row r="36" ht="14.25" customFormat="1" customHeight="1" s="483">
      <c r="A36" s="501" t="n"/>
      <c r="B36" s="563" t="inlineStr">
        <is>
          <t>理财师032</t>
        </is>
      </c>
      <c r="C36" s="563" t="inlineStr"/>
      <c r="D36" s="563" t="inlineStr"/>
      <c r="E36" s="563" t="inlineStr"/>
      <c r="F36" s="563" t="inlineStr"/>
    </row>
    <row r="37">
      <c r="A37" s="790" t="inlineStr">
        <is>
          <t>合计</t>
        </is>
      </c>
      <c r="B37" s="495" t="n"/>
      <c r="C37" s="439" t="inlineStr"/>
      <c r="D37" s="439" t="inlineStr"/>
      <c r="E37" s="439" t="inlineStr"/>
      <c r="F37" s="439" t="inlineStr"/>
    </row>
    <row r="38" ht="14.25" customFormat="1" customHeight="1" s="483">
      <c r="A38" s="791" t="inlineStr">
        <is>
          <t>理财师005</t>
        </is>
      </c>
      <c r="B38" s="563" t="inlineStr">
        <is>
          <t>理财师005</t>
        </is>
      </c>
      <c r="C38" s="563" t="inlineStr"/>
      <c r="D38" s="563" t="inlineStr"/>
      <c r="E38" s="563" t="inlineStr"/>
      <c r="F38" s="563" t="inlineStr"/>
    </row>
    <row r="39" ht="14.25" customFormat="1" customHeight="1" s="483">
      <c r="A39" s="501" t="n"/>
      <c r="B39" s="563" t="inlineStr">
        <is>
          <t>理财师026</t>
        </is>
      </c>
      <c r="C39" s="563" t="inlineStr"/>
      <c r="D39" s="563" t="inlineStr"/>
      <c r="E39" s="563" t="inlineStr"/>
      <c r="F39" s="563" t="inlineStr"/>
    </row>
    <row r="40">
      <c r="A40" s="790" t="inlineStr">
        <is>
          <t>合计</t>
        </is>
      </c>
      <c r="B40" s="495" t="n"/>
      <c r="C40" s="439" t="inlineStr"/>
      <c r="D40" s="439" t="inlineStr"/>
      <c r="E40" s="439" t="inlineStr"/>
      <c r="F40" s="439" t="inlineStr"/>
    </row>
    <row r="41" ht="14.25" customFormat="1" customHeight="1" s="483">
      <c r="A41" s="791" t="inlineStr">
        <is>
          <t>理财师008</t>
        </is>
      </c>
      <c r="B41" s="563" t="inlineStr">
        <is>
          <t>理财师008</t>
        </is>
      </c>
      <c r="C41" s="563" t="inlineStr"/>
      <c r="D41" s="563" t="inlineStr"/>
      <c r="E41" s="563" t="inlineStr"/>
      <c r="F41" s="563" t="inlineStr"/>
    </row>
    <row r="42" ht="14.25" customFormat="1" customHeight="1" s="483">
      <c r="A42" s="501" t="n"/>
      <c r="B42" s="563" t="inlineStr">
        <is>
          <t>理财师011</t>
        </is>
      </c>
      <c r="C42" s="563" t="inlineStr"/>
      <c r="D42" s="563" t="inlineStr"/>
      <c r="E42" s="563" t="inlineStr"/>
      <c r="F42" s="563" t="inlineStr"/>
    </row>
    <row r="43">
      <c r="A43" s="790" t="inlineStr">
        <is>
          <t>合计</t>
        </is>
      </c>
      <c r="B43" s="495" t="n"/>
      <c r="C43" s="439" t="inlineStr"/>
      <c r="D43" s="439" t="inlineStr"/>
      <c r="E43" s="439" t="inlineStr"/>
      <c r="F43" s="439" t="inlineStr"/>
    </row>
    <row r="44" ht="14.25" customFormat="1" customHeight="1" s="483">
      <c r="A44" s="791" t="inlineStr">
        <is>
          <t>理财师004</t>
        </is>
      </c>
      <c r="B44" s="563" t="inlineStr">
        <is>
          <t>理财师003</t>
        </is>
      </c>
      <c r="C44" s="563" t="inlineStr"/>
      <c r="D44" s="563" t="inlineStr"/>
      <c r="E44" s="563" t="inlineStr"/>
      <c r="F44" s="563" t="inlineStr"/>
    </row>
    <row r="45" ht="14.25" customFormat="1" customHeight="1" s="483">
      <c r="A45" s="500" t="n"/>
      <c r="B45" s="563" t="inlineStr">
        <is>
          <t>理财师006</t>
        </is>
      </c>
      <c r="C45" s="563" t="inlineStr"/>
      <c r="D45" s="563" t="inlineStr"/>
      <c r="E45" s="563" t="inlineStr"/>
      <c r="F45" s="563" t="inlineStr"/>
    </row>
    <row r="46" ht="14.25" customFormat="1" customHeight="1" s="483">
      <c r="A46" s="500" t="n"/>
      <c r="B46" s="563" t="inlineStr">
        <is>
          <t>理财师012</t>
        </is>
      </c>
      <c r="C46" s="563" t="inlineStr"/>
      <c r="D46" s="563" t="inlineStr"/>
      <c r="E46" s="563" t="inlineStr"/>
      <c r="F46" s="563" t="inlineStr"/>
    </row>
    <row r="47" ht="14.25" customFormat="1" customHeight="1" s="483">
      <c r="A47" s="501" t="n"/>
      <c r="B47" s="563" t="inlineStr">
        <is>
          <t>理财师004</t>
        </is>
      </c>
      <c r="C47" s="563" t="inlineStr"/>
      <c r="D47" s="563" t="inlineStr"/>
      <c r="E47" s="563" t="inlineStr"/>
      <c r="F47" s="563" t="inlineStr"/>
    </row>
    <row r="48">
      <c r="A48" s="790" t="inlineStr">
        <is>
          <t>合计</t>
        </is>
      </c>
      <c r="B48" s="495" t="n"/>
      <c r="C48" s="439" t="inlineStr"/>
      <c r="D48" s="439" t="inlineStr"/>
      <c r="E48" s="439" t="inlineStr"/>
      <c r="F48" s="439" t="inlineStr"/>
    </row>
    <row r="49">
      <c r="A49" s="792" t="inlineStr">
        <is>
          <t>合计</t>
        </is>
      </c>
      <c r="B49" s="495" t="n"/>
      <c r="C49" s="792" t="inlineStr"/>
      <c r="D49" s="792" t="inlineStr"/>
      <c r="E49" s="792" t="inlineStr"/>
      <c r="F49" s="792" t="inlineStr"/>
    </row>
  </sheetData>
  <mergeCells count="22">
    <mergeCell ref="A48:B48"/>
    <mergeCell ref="A30:B30"/>
    <mergeCell ref="A15:B15"/>
    <mergeCell ref="A49:B49"/>
    <mergeCell ref="A41:A42"/>
    <mergeCell ref="A37:B37"/>
    <mergeCell ref="A10:A14"/>
    <mergeCell ref="A31:A33"/>
    <mergeCell ref="A26:B26"/>
    <mergeCell ref="A21:B21"/>
    <mergeCell ref="A3:A8"/>
    <mergeCell ref="A22:A25"/>
    <mergeCell ref="A35:A36"/>
    <mergeCell ref="A44:A47"/>
    <mergeCell ref="A38:A39"/>
    <mergeCell ref="A43:B43"/>
    <mergeCell ref="A1:F1"/>
    <mergeCell ref="A16:A20"/>
    <mergeCell ref="A27:A29"/>
    <mergeCell ref="A40:B40"/>
    <mergeCell ref="A9:B9"/>
    <mergeCell ref="A34:B3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1" workbookViewId="0">
      <selection activeCell="A1" sqref="A1"/>
    </sheetView>
  </sheetViews>
  <sheetFormatPr baseColWidth="8" defaultColWidth="9" defaultRowHeight="16.8"/>
  <cols>
    <col width="13.125" customWidth="1" style="483" min="3" max="3"/>
    <col width="11.125" customWidth="1" style="483" min="4" max="5"/>
    <col width="9.875" customWidth="1" style="483" min="6" max="6"/>
    <col width="9.625" customWidth="1" style="483" min="7" max="7"/>
    <col width="10.375" customWidth="1" style="483" min="8" max="9"/>
    <col width="11" customWidth="1" style="483" min="10" max="10"/>
  </cols>
  <sheetData>
    <row r="1" ht="27" customFormat="1" customHeight="1" s="483">
      <c r="A1" s="788" t="inlineStr">
        <is>
          <t>团队</t>
        </is>
      </c>
      <c r="B1" s="789" t="inlineStr">
        <is>
          <t>理财师</t>
        </is>
      </c>
      <c r="C1" s="793" t="inlineStr">
        <is>
          <t>本周
新开户</t>
        </is>
      </c>
      <c r="D1" s="793" t="inlineStr">
        <is>
          <t>1月累
计新开户</t>
        </is>
      </c>
      <c r="E1" s="793" t="inlineStr">
        <is>
          <t>2月累
计新开户</t>
        </is>
      </c>
      <c r="F1" s="793" t="inlineStr">
        <is>
          <t>YTD累计
新开户</t>
        </is>
      </c>
      <c r="G1" s="793" t="inlineStr">
        <is>
          <t>本周新
增PI客户</t>
        </is>
      </c>
      <c r="H1" s="793" t="inlineStr">
        <is>
          <t>1月累计
新增pI客户</t>
        </is>
      </c>
      <c r="I1" s="793" t="inlineStr">
        <is>
          <t>2月累计
新增pI客户</t>
        </is>
      </c>
      <c r="J1" s="793" t="inlineStr">
        <is>
          <t>YTD累计
新增PI客户</t>
        </is>
      </c>
      <c r="M1" s="794" t="inlineStr"/>
    </row>
    <row r="2" ht="14.25" customFormat="1" customHeight="1" s="483">
      <c r="A2" s="562" t="inlineStr">
        <is>
          <t>理财师018</t>
        </is>
      </c>
      <c r="B2" s="563" t="inlineStr">
        <is>
          <t>理财师017</t>
        </is>
      </c>
      <c r="C2" s="444" t="n">
        <v>0</v>
      </c>
      <c r="D2" s="444" t="n">
        <v>2</v>
      </c>
      <c r="E2" s="444" t="n">
        <v>0</v>
      </c>
      <c r="F2" s="444" t="n">
        <v>2</v>
      </c>
      <c r="G2" s="444" t="n">
        <v>0</v>
      </c>
      <c r="H2" s="444" t="n">
        <v>0</v>
      </c>
      <c r="I2" s="444" t="n">
        <v>0</v>
      </c>
      <c r="J2" s="444" t="n">
        <v>0</v>
      </c>
    </row>
    <row r="3" ht="14.25" customFormat="1" customHeight="1" s="483">
      <c r="A3" s="500" t="n"/>
      <c r="B3" s="563" t="inlineStr">
        <is>
          <t>理财师018</t>
        </is>
      </c>
      <c r="C3" s="444" t="n">
        <v>1</v>
      </c>
      <c r="D3" s="444" t="n">
        <v>1</v>
      </c>
      <c r="E3" s="444" t="n">
        <v>0</v>
      </c>
      <c r="F3" s="444" t="n">
        <v>0</v>
      </c>
      <c r="G3" s="444" t="n">
        <v>0</v>
      </c>
      <c r="H3" s="444" t="n">
        <v>1</v>
      </c>
      <c r="I3" s="444" t="n">
        <v>0</v>
      </c>
      <c r="J3" s="444" t="n">
        <v>1</v>
      </c>
    </row>
    <row r="4" ht="14.25" customFormat="1" customHeight="1" s="483">
      <c r="A4" s="500" t="n"/>
      <c r="B4" s="563" t="inlineStr">
        <is>
          <t>理财师019</t>
        </is>
      </c>
      <c r="C4" s="444" t="n">
        <v>0</v>
      </c>
      <c r="D4" s="444" t="n">
        <v>1</v>
      </c>
      <c r="E4" s="444" t="n">
        <v>0</v>
      </c>
      <c r="F4" s="444" t="n">
        <v>1</v>
      </c>
      <c r="G4" s="444" t="n">
        <v>0</v>
      </c>
      <c r="H4" s="444" t="n">
        <v>0</v>
      </c>
      <c r="I4" s="444" t="n">
        <v>0</v>
      </c>
      <c r="J4" s="444" t="n">
        <v>0</v>
      </c>
    </row>
    <row r="5" ht="14.25" customFormat="1" customHeight="1" s="483">
      <c r="A5" s="500" t="n"/>
      <c r="B5" s="563" t="inlineStr">
        <is>
          <t>理财师021</t>
        </is>
      </c>
      <c r="C5" s="444" t="n">
        <v>0</v>
      </c>
      <c r="D5" s="444" t="n">
        <v>0</v>
      </c>
      <c r="E5" s="444" t="n">
        <v>0</v>
      </c>
      <c r="F5" s="444" t="n">
        <v>0</v>
      </c>
      <c r="G5" s="444" t="n">
        <v>0</v>
      </c>
      <c r="H5" s="444" t="n">
        <v>0</v>
      </c>
      <c r="I5" s="444" t="n">
        <v>0</v>
      </c>
      <c r="J5" s="444" t="n">
        <v>0</v>
      </c>
    </row>
    <row r="6" ht="14.25" customFormat="1" customHeight="1" s="483">
      <c r="A6" s="500" t="n"/>
      <c r="B6" s="563" t="inlineStr">
        <is>
          <t>理财师025</t>
        </is>
      </c>
      <c r="C6" s="444" t="n">
        <v>0</v>
      </c>
      <c r="D6" s="444" t="n">
        <v>8</v>
      </c>
      <c r="E6" s="444" t="n">
        <v>1</v>
      </c>
      <c r="F6" s="444" t="n">
        <v>9</v>
      </c>
      <c r="G6" s="444" t="n">
        <v>0</v>
      </c>
      <c r="H6" s="444" t="n">
        <v>0</v>
      </c>
      <c r="I6" s="444" t="n">
        <v>0</v>
      </c>
      <c r="J6" s="444" t="n">
        <v>0</v>
      </c>
    </row>
    <row r="7" ht="14.25" customFormat="1" customHeight="1" s="483">
      <c r="A7" s="501" t="n"/>
      <c r="B7" s="563" t="inlineStr">
        <is>
          <t>理财师277</t>
        </is>
      </c>
      <c r="C7" s="444" t="n">
        <v>0</v>
      </c>
      <c r="D7" s="444" t="n">
        <v>0</v>
      </c>
      <c r="E7" s="444" t="n">
        <v>0</v>
      </c>
      <c r="F7" s="444" t="n">
        <v>0</v>
      </c>
      <c r="G7" s="444" t="n">
        <v>0</v>
      </c>
      <c r="H7" s="444" t="n">
        <v>0</v>
      </c>
      <c r="I7" s="444" t="n">
        <v>0</v>
      </c>
      <c r="J7" s="444" t="n">
        <v>0</v>
      </c>
    </row>
    <row r="8">
      <c r="A8" s="790" t="inlineStr">
        <is>
          <t>合计</t>
        </is>
      </c>
      <c r="B8" s="495" t="n"/>
      <c r="C8" s="795">
        <f>SUM(C2:C7)</f>
        <v/>
      </c>
      <c r="D8" s="795">
        <f>SUM(D2:D7)</f>
        <v/>
      </c>
      <c r="E8" s="795">
        <f>SUM(E2:E7)</f>
        <v/>
      </c>
      <c r="F8" s="795">
        <f>SUM(F2:F7)</f>
        <v/>
      </c>
      <c r="G8" s="795">
        <f>SUM(G2:G7)</f>
        <v/>
      </c>
      <c r="H8" s="795">
        <f>SUM(H2:H7)</f>
        <v/>
      </c>
      <c r="I8" s="795">
        <f>SUM(I2:I7)</f>
        <v/>
      </c>
      <c r="J8" s="795">
        <f>SUM(J2:J7)</f>
        <v/>
      </c>
    </row>
    <row r="9" ht="14.25" customFormat="1" customHeight="1" s="483">
      <c r="A9" s="791" t="inlineStr">
        <is>
          <t>理财师014</t>
        </is>
      </c>
      <c r="B9" s="563" t="inlineStr">
        <is>
          <t>理财师013</t>
        </is>
      </c>
      <c r="C9" s="444" t="n">
        <v>0</v>
      </c>
      <c r="D9" s="444" t="n">
        <v>0</v>
      </c>
      <c r="E9" s="444" t="n">
        <v>1</v>
      </c>
      <c r="F9" s="444" t="n">
        <v>1</v>
      </c>
      <c r="G9" s="444" t="n">
        <v>0</v>
      </c>
      <c r="H9" s="444" t="n">
        <v>0</v>
      </c>
      <c r="I9" s="444" t="n">
        <v>1</v>
      </c>
      <c r="J9" s="444" t="n">
        <v>1</v>
      </c>
    </row>
    <row r="10" ht="14.25" customFormat="1" customHeight="1" s="483">
      <c r="A10" s="500" t="n"/>
      <c r="B10" s="563" t="inlineStr">
        <is>
          <t>理财师014</t>
        </is>
      </c>
      <c r="C10" s="444" t="n">
        <v>0</v>
      </c>
      <c r="D10" s="444" t="n">
        <v>2</v>
      </c>
      <c r="E10" s="444" t="n">
        <v>2</v>
      </c>
      <c r="F10" s="444" t="n">
        <v>4</v>
      </c>
      <c r="G10" s="444" t="n">
        <v>0</v>
      </c>
      <c r="H10" s="444" t="n">
        <v>2</v>
      </c>
      <c r="I10" s="444" t="n">
        <v>2</v>
      </c>
      <c r="J10" s="444" t="n">
        <v>4</v>
      </c>
    </row>
    <row r="11" ht="14.25" customFormat="1" customHeight="1" s="483">
      <c r="A11" s="500" t="n"/>
      <c r="B11" s="563" t="inlineStr">
        <is>
          <t>理财师022</t>
        </is>
      </c>
      <c r="C11" s="444" t="n">
        <v>0</v>
      </c>
      <c r="D11" s="444" t="n">
        <v>0</v>
      </c>
      <c r="E11" s="444" t="n">
        <v>0</v>
      </c>
      <c r="F11" s="444" t="n">
        <v>0</v>
      </c>
      <c r="G11" s="444" t="n">
        <v>0</v>
      </c>
      <c r="H11" s="444" t="n">
        <v>0</v>
      </c>
      <c r="I11" s="444" t="n">
        <v>0</v>
      </c>
      <c r="J11" s="444" t="n">
        <v>0</v>
      </c>
    </row>
    <row r="12" ht="14.25" customFormat="1" customHeight="1" s="483">
      <c r="A12" s="500" t="n"/>
      <c r="B12" s="563" t="inlineStr">
        <is>
          <t>理财师024</t>
        </is>
      </c>
      <c r="C12" s="444" t="n">
        <v>1</v>
      </c>
      <c r="D12" s="444" t="n">
        <v>0</v>
      </c>
      <c r="E12" s="444" t="n">
        <v>0</v>
      </c>
      <c r="F12" s="444" t="n">
        <v>1</v>
      </c>
      <c r="G12" s="444" t="n">
        <v>0</v>
      </c>
      <c r="H12" s="444" t="n">
        <v>0</v>
      </c>
      <c r="I12" s="444" t="n">
        <v>0</v>
      </c>
      <c r="J12" s="444" t="n">
        <v>0</v>
      </c>
    </row>
    <row r="13" ht="14.25" customFormat="1" customHeight="1" s="483">
      <c r="A13" s="501" t="n"/>
      <c r="B13" s="563" t="inlineStr">
        <is>
          <t>理财师188</t>
        </is>
      </c>
      <c r="C13" s="444" t="n">
        <v>0</v>
      </c>
      <c r="D13" s="444" t="n">
        <v>0</v>
      </c>
      <c r="E13" s="444" t="n">
        <v>0</v>
      </c>
      <c r="F13" s="444" t="n">
        <v>0</v>
      </c>
      <c r="G13" s="444" t="n">
        <v>0</v>
      </c>
      <c r="H13" s="444" t="n">
        <v>0</v>
      </c>
      <c r="I13" s="444" t="n">
        <v>0</v>
      </c>
      <c r="J13" s="444" t="n">
        <v>0</v>
      </c>
    </row>
    <row r="14" ht="14.25" customFormat="1" customHeight="1" s="483">
      <c r="A14" s="790" t="inlineStr">
        <is>
          <t>合计</t>
        </is>
      </c>
      <c r="B14" s="495" t="n"/>
      <c r="C14" s="795">
        <f>SUM(C8:C13)</f>
        <v/>
      </c>
      <c r="D14" s="795">
        <f>SUM(D8:D13)</f>
        <v/>
      </c>
      <c r="E14" s="795">
        <f>SUM(E8:E13)</f>
        <v/>
      </c>
      <c r="F14" s="795">
        <f>SUM(F8:F13)</f>
        <v/>
      </c>
      <c r="G14" s="795">
        <f>SUM(G8:G13)</f>
        <v/>
      </c>
      <c r="H14" s="795">
        <f>SUM(H8:H13)</f>
        <v/>
      </c>
      <c r="I14" s="795">
        <f>SUM(I8:I13)</f>
        <v/>
      </c>
      <c r="J14" s="795">
        <f>SUM(J8:J13)</f>
        <v/>
      </c>
    </row>
    <row r="15" ht="14.25" customFormat="1" customHeight="1" s="483">
      <c r="A15" s="791" t="inlineStr">
        <is>
          <t>理财师007</t>
        </is>
      </c>
      <c r="B15" s="563" t="inlineStr">
        <is>
          <t>理财师007</t>
        </is>
      </c>
      <c r="C15" s="444" t="n">
        <v>1</v>
      </c>
      <c r="D15" s="444" t="n">
        <v>6</v>
      </c>
      <c r="E15" s="444" t="n">
        <v>1</v>
      </c>
      <c r="F15" s="444" t="n">
        <v>7</v>
      </c>
      <c r="G15" s="444" t="n">
        <v>1</v>
      </c>
      <c r="H15" s="444" t="n">
        <v>3</v>
      </c>
      <c r="I15" s="444" t="n">
        <v>0</v>
      </c>
      <c r="J15" s="444" t="n">
        <v>4</v>
      </c>
    </row>
    <row r="16" ht="14.25" customFormat="1" customHeight="1" s="483">
      <c r="A16" s="500" t="n"/>
      <c r="B16" s="563" t="inlineStr">
        <is>
          <t>理财师023</t>
        </is>
      </c>
      <c r="C16" s="444" t="n">
        <v>1</v>
      </c>
      <c r="D16" s="444" t="n">
        <v>2</v>
      </c>
      <c r="E16" s="444" t="n">
        <v>0</v>
      </c>
      <c r="F16" s="444" t="n">
        <v>0</v>
      </c>
      <c r="G16" s="444" t="n">
        <v>1</v>
      </c>
      <c r="H16" s="444" t="n">
        <v>1</v>
      </c>
      <c r="I16" s="444" t="n">
        <v>0</v>
      </c>
      <c r="J16" s="444" t="n">
        <v>1</v>
      </c>
    </row>
    <row r="17" ht="14.25" customFormat="1" customHeight="1" s="483">
      <c r="A17" s="500" t="n"/>
      <c r="B17" s="563" t="inlineStr">
        <is>
          <t>理财师231</t>
        </is>
      </c>
      <c r="C17" s="444" t="n">
        <v>0</v>
      </c>
      <c r="D17" s="444" t="n">
        <v>0</v>
      </c>
      <c r="E17" s="444" t="n">
        <v>0</v>
      </c>
      <c r="F17" s="444" t="n">
        <v>0</v>
      </c>
      <c r="G17" s="444" t="n">
        <v>0</v>
      </c>
      <c r="H17" s="444" t="n">
        <v>0</v>
      </c>
      <c r="I17" s="444" t="n">
        <v>0</v>
      </c>
      <c r="J17" s="444" t="n">
        <v>0</v>
      </c>
    </row>
    <row r="18" ht="14.25" customFormat="1" customHeight="1" s="483">
      <c r="A18" s="500" t="n"/>
      <c r="B18" s="563" t="inlineStr">
        <is>
          <t>理财师091</t>
        </is>
      </c>
      <c r="C18" s="444" t="n">
        <v>0</v>
      </c>
      <c r="D18" s="444" t="n">
        <v>0</v>
      </c>
      <c r="E18" s="444" t="n">
        <v>0</v>
      </c>
      <c r="F18" s="444" t="n">
        <v>0</v>
      </c>
      <c r="G18" s="444" t="n">
        <v>0</v>
      </c>
      <c r="H18" s="444" t="n">
        <v>0</v>
      </c>
      <c r="I18" s="444" t="n">
        <v>0</v>
      </c>
      <c r="J18" s="444" t="n">
        <v>0</v>
      </c>
    </row>
    <row r="19" ht="14.25" customFormat="1" customHeight="1" s="483">
      <c r="A19" s="501" t="n"/>
      <c r="B19" s="563" t="inlineStr">
        <is>
          <t>理财师278</t>
        </is>
      </c>
      <c r="C19" s="444" t="n">
        <v>0</v>
      </c>
      <c r="D19" s="444" t="n">
        <v>0</v>
      </c>
      <c r="E19" s="444" t="n">
        <v>0</v>
      </c>
      <c r="F19" s="444" t="n">
        <v>0</v>
      </c>
      <c r="G19" s="444" t="n">
        <v>0</v>
      </c>
      <c r="H19" s="444" t="n">
        <v>0</v>
      </c>
      <c r="I19" s="444" t="n">
        <v>0</v>
      </c>
      <c r="J19" s="444" t="n">
        <v>0</v>
      </c>
    </row>
    <row r="20" ht="14.25" customFormat="1" customHeight="1" s="483">
      <c r="A20" s="790" t="inlineStr">
        <is>
          <t>合计</t>
        </is>
      </c>
      <c r="B20" s="495" t="n"/>
      <c r="C20" s="795">
        <f>SUM(C14:C19)</f>
        <v/>
      </c>
      <c r="D20" s="795">
        <f>SUM(D14:D19)</f>
        <v/>
      </c>
      <c r="E20" s="795">
        <f>SUM(E14:E19)</f>
        <v/>
      </c>
      <c r="F20" s="795">
        <f>SUM(F14:F19)</f>
        <v/>
      </c>
      <c r="G20" s="795">
        <f>SUM(G14:G19)</f>
        <v/>
      </c>
      <c r="H20" s="795">
        <f>SUM(H14:H19)</f>
        <v/>
      </c>
      <c r="I20" s="795">
        <f>SUM(I14:I19)</f>
        <v/>
      </c>
      <c r="J20" s="795">
        <f>SUM(J14:J19)</f>
        <v/>
      </c>
    </row>
    <row r="21" ht="14.25" customFormat="1" customHeight="1" s="483">
      <c r="A21" s="791" t="inlineStr">
        <is>
          <t>理财师016</t>
        </is>
      </c>
      <c r="B21" s="563" t="inlineStr">
        <is>
          <t>理财师208</t>
        </is>
      </c>
      <c r="C21" s="444" t="n">
        <v>0</v>
      </c>
      <c r="D21" s="444" t="n">
        <v>0</v>
      </c>
      <c r="E21" s="444" t="n">
        <v>0</v>
      </c>
      <c r="F21" s="444" t="n">
        <v>0</v>
      </c>
      <c r="G21" s="444" t="n">
        <v>0</v>
      </c>
      <c r="H21" s="444" t="n">
        <v>0</v>
      </c>
      <c r="I21" s="444" t="n">
        <v>0</v>
      </c>
      <c r="J21" s="444" t="n">
        <v>0</v>
      </c>
    </row>
    <row r="22" ht="14.25" customFormat="1" customHeight="1" s="483">
      <c r="A22" s="500" t="n"/>
      <c r="B22" s="563" t="inlineStr">
        <is>
          <t>理财师015</t>
        </is>
      </c>
      <c r="C22" s="444" t="n">
        <v>0</v>
      </c>
      <c r="D22" s="444" t="n">
        <v>0</v>
      </c>
      <c r="E22" s="444" t="n">
        <v>0</v>
      </c>
      <c r="F22" s="444" t="n">
        <v>0</v>
      </c>
      <c r="G22" s="444" t="n">
        <v>0</v>
      </c>
      <c r="H22" s="444" t="n">
        <v>0</v>
      </c>
      <c r="I22" s="444" t="n">
        <v>0</v>
      </c>
      <c r="J22" s="444" t="n">
        <v>0</v>
      </c>
    </row>
    <row r="23" ht="14.25" customFormat="1" customHeight="1" s="483">
      <c r="A23" s="500" t="n"/>
      <c r="B23" s="563" t="inlineStr">
        <is>
          <t>理财师016</t>
        </is>
      </c>
      <c r="C23" s="444" t="n">
        <v>0</v>
      </c>
      <c r="D23" s="444" t="n">
        <v>1</v>
      </c>
      <c r="E23" s="444" t="n">
        <v>0</v>
      </c>
      <c r="F23" s="444" t="n">
        <v>1</v>
      </c>
      <c r="G23" s="444" t="n">
        <v>0</v>
      </c>
      <c r="H23" s="444" t="n">
        <v>1</v>
      </c>
      <c r="I23" s="444" t="n">
        <v>0</v>
      </c>
      <c r="J23" s="444" t="n">
        <v>1</v>
      </c>
    </row>
    <row r="24" ht="14.25" customFormat="1" customHeight="1" s="483">
      <c r="A24" s="501" t="n"/>
      <c r="B24" s="563" t="inlineStr">
        <is>
          <t>理财师028</t>
        </is>
      </c>
      <c r="C24" s="444" t="n">
        <v>0</v>
      </c>
      <c r="D24" s="444" t="n">
        <v>1</v>
      </c>
      <c r="E24" s="444" t="n">
        <v>0</v>
      </c>
      <c r="F24" s="444" t="n">
        <v>1</v>
      </c>
      <c r="G24" s="444" t="n">
        <v>0</v>
      </c>
      <c r="H24" s="444" t="n">
        <v>0</v>
      </c>
      <c r="I24" s="444" t="n">
        <v>0</v>
      </c>
      <c r="J24" s="444" t="n">
        <v>0</v>
      </c>
    </row>
    <row r="25" ht="14.25" customFormat="1" customHeight="1" s="483">
      <c r="A25" s="790" t="inlineStr">
        <is>
          <t>合计</t>
        </is>
      </c>
      <c r="B25" s="495" t="n"/>
      <c r="C25" s="795">
        <f>SUM(C19:C24)</f>
        <v/>
      </c>
      <c r="D25" s="795">
        <f>SUM(D19:D24)</f>
        <v/>
      </c>
      <c r="E25" s="795">
        <f>SUM(E19:E24)</f>
        <v/>
      </c>
      <c r="F25" s="795">
        <f>SUM(F19:F24)</f>
        <v/>
      </c>
      <c r="G25" s="795">
        <f>SUM(G19:G24)</f>
        <v/>
      </c>
      <c r="H25" s="795">
        <f>SUM(H19:H24)</f>
        <v/>
      </c>
      <c r="I25" s="795">
        <f>SUM(I19:I24)</f>
        <v/>
      </c>
      <c r="J25" s="795">
        <f>SUM(J19:J24)</f>
        <v/>
      </c>
    </row>
    <row r="26" ht="14.25" customFormat="1" customHeight="1" s="483">
      <c r="A26" s="791" t="inlineStr">
        <is>
          <t>理财师002</t>
        </is>
      </c>
      <c r="B26" s="563" t="inlineStr">
        <is>
          <t>理财师001</t>
        </is>
      </c>
      <c r="C26" s="444" t="n">
        <v>0</v>
      </c>
      <c r="D26" s="444" t="n">
        <v>0</v>
      </c>
      <c r="E26" s="444" t="n">
        <v>1</v>
      </c>
      <c r="F26" s="444" t="n">
        <v>1</v>
      </c>
      <c r="G26" s="444" t="n">
        <v>0</v>
      </c>
      <c r="H26" s="444" t="n">
        <v>0</v>
      </c>
      <c r="I26" s="444" t="n">
        <v>0</v>
      </c>
      <c r="J26" s="444" t="n">
        <v>0</v>
      </c>
    </row>
    <row r="27" ht="14.25" customFormat="1" customHeight="1" s="483">
      <c r="A27" s="500" t="n"/>
      <c r="B27" s="563" t="inlineStr">
        <is>
          <t>理财师002</t>
        </is>
      </c>
      <c r="C27" s="444" t="n">
        <v>0</v>
      </c>
      <c r="D27" s="444" t="n">
        <v>4</v>
      </c>
      <c r="E27" s="444" t="n">
        <v>3</v>
      </c>
      <c r="F27" s="444" t="n">
        <v>7</v>
      </c>
      <c r="G27" s="444" t="n">
        <v>0</v>
      </c>
      <c r="H27" s="444" t="n">
        <v>1</v>
      </c>
      <c r="I27" s="444" t="n">
        <v>1</v>
      </c>
      <c r="J27" s="444" t="n">
        <v>2</v>
      </c>
    </row>
    <row r="28" ht="14.25" customFormat="1" customHeight="1" s="483">
      <c r="A28" s="501" t="n"/>
      <c r="B28" s="563" t="inlineStr">
        <is>
          <t>理财师027</t>
        </is>
      </c>
      <c r="C28" s="444" t="n">
        <v>0</v>
      </c>
      <c r="D28" s="444" t="n">
        <v>0</v>
      </c>
      <c r="E28" s="444" t="n">
        <v>0</v>
      </c>
      <c r="F28" s="444" t="n">
        <v>0</v>
      </c>
      <c r="G28" s="444" t="n">
        <v>0</v>
      </c>
      <c r="H28" s="444" t="n">
        <v>0</v>
      </c>
      <c r="I28" s="444" t="n">
        <v>0</v>
      </c>
      <c r="J28" s="444" t="n">
        <v>0</v>
      </c>
    </row>
    <row r="29" ht="14.25" customFormat="1" customHeight="1" s="483">
      <c r="A29" s="790" t="inlineStr">
        <is>
          <t>合计</t>
        </is>
      </c>
      <c r="B29" s="495" t="n"/>
      <c r="C29" s="795">
        <f>SUM(C23:C28)</f>
        <v/>
      </c>
      <c r="D29" s="795">
        <f>SUM(D23:D28)</f>
        <v/>
      </c>
      <c r="E29" s="795">
        <f>SUM(E23:E28)</f>
        <v/>
      </c>
      <c r="F29" s="795">
        <f>SUM(F23:F28)</f>
        <v/>
      </c>
      <c r="G29" s="795">
        <f>SUM(G23:G28)</f>
        <v/>
      </c>
      <c r="H29" s="795">
        <f>SUM(H23:H28)</f>
        <v/>
      </c>
      <c r="I29" s="795">
        <f>SUM(I23:I28)</f>
        <v/>
      </c>
      <c r="J29" s="795">
        <f>SUM(J23:J28)</f>
        <v/>
      </c>
    </row>
    <row r="30" ht="14.25" customFormat="1" customHeight="1" s="483">
      <c r="A30" s="791" t="inlineStr">
        <is>
          <t>理财师009</t>
        </is>
      </c>
      <c r="B30" s="563" t="inlineStr">
        <is>
          <t>理财师048</t>
        </is>
      </c>
      <c r="C30" s="444" t="n">
        <v>0</v>
      </c>
      <c r="D30" s="444" t="n">
        <v>1</v>
      </c>
      <c r="E30" s="444" t="n">
        <v>0</v>
      </c>
      <c r="F30" s="444" t="n">
        <v>1</v>
      </c>
      <c r="G30" s="444" t="n">
        <v>0</v>
      </c>
      <c r="H30" s="444" t="n">
        <v>0</v>
      </c>
      <c r="I30" s="444" t="n">
        <v>0</v>
      </c>
      <c r="J30" s="444" t="n">
        <v>0</v>
      </c>
    </row>
    <row r="31" ht="14.25" customFormat="1" customHeight="1" s="483">
      <c r="A31" s="500" t="n"/>
      <c r="B31" s="563" t="inlineStr">
        <is>
          <t>理财师009</t>
        </is>
      </c>
      <c r="C31" s="444" t="n">
        <v>0</v>
      </c>
      <c r="D31" s="444" t="n">
        <v>1</v>
      </c>
      <c r="E31" s="444" t="n">
        <v>0</v>
      </c>
      <c r="F31" s="444" t="n">
        <v>1</v>
      </c>
      <c r="G31" s="444" t="n">
        <v>0</v>
      </c>
      <c r="H31" s="444" t="n">
        <v>1</v>
      </c>
      <c r="I31" s="444" t="n">
        <v>0</v>
      </c>
      <c r="J31" s="444" t="n">
        <v>1</v>
      </c>
    </row>
    <row r="32" ht="14.25" customFormat="1" customHeight="1" s="483">
      <c r="A32" s="501" t="n"/>
      <c r="B32" s="563" t="inlineStr">
        <is>
          <t>理财师010</t>
        </is>
      </c>
      <c r="C32" s="444" t="n">
        <v>0</v>
      </c>
      <c r="D32" s="444" t="n">
        <v>0</v>
      </c>
      <c r="E32" s="444" t="n">
        <v>0</v>
      </c>
      <c r="F32" s="444" t="n">
        <v>0</v>
      </c>
      <c r="G32" s="444" t="n">
        <v>0</v>
      </c>
      <c r="H32" s="444" t="n">
        <v>0</v>
      </c>
      <c r="I32" s="444" t="n">
        <v>0</v>
      </c>
      <c r="J32" s="444" t="n">
        <v>0</v>
      </c>
    </row>
    <row r="33" ht="14.25" customFormat="1" customHeight="1" s="483">
      <c r="A33" s="790" t="inlineStr">
        <is>
          <t>合计</t>
        </is>
      </c>
      <c r="B33" s="495" t="n"/>
      <c r="C33" s="795">
        <f>SUM(C27:C32)</f>
        <v/>
      </c>
      <c r="D33" s="795">
        <f>SUM(D27:D32)</f>
        <v/>
      </c>
      <c r="E33" s="795">
        <f>SUM(E27:E32)</f>
        <v/>
      </c>
      <c r="F33" s="795">
        <f>SUM(F27:F32)</f>
        <v/>
      </c>
      <c r="G33" s="795">
        <f>SUM(G27:G32)</f>
        <v/>
      </c>
      <c r="H33" s="795">
        <f>SUM(H27:H32)</f>
        <v/>
      </c>
      <c r="I33" s="795">
        <f>SUM(I27:I32)</f>
        <v/>
      </c>
      <c r="J33" s="795">
        <f>SUM(J27:J32)</f>
        <v/>
      </c>
    </row>
    <row r="34" ht="14.25" customFormat="1" customHeight="1" s="483">
      <c r="A34" s="791" t="inlineStr">
        <is>
          <t>理财师020</t>
        </is>
      </c>
      <c r="B34" s="563" t="inlineStr">
        <is>
          <t>理财师020</t>
        </is>
      </c>
      <c r="C34" s="444" t="n">
        <v>0</v>
      </c>
      <c r="D34" s="444" t="n">
        <v>4</v>
      </c>
      <c r="E34" s="444" t="n">
        <v>3</v>
      </c>
      <c r="F34" s="444" t="n">
        <v>7</v>
      </c>
      <c r="G34" s="444" t="n">
        <v>0</v>
      </c>
      <c r="H34" s="444" t="n">
        <v>1</v>
      </c>
      <c r="I34" s="444" t="n">
        <v>1</v>
      </c>
      <c r="J34" s="444" t="n">
        <v>2</v>
      </c>
    </row>
    <row r="35" ht="14.25" customFormat="1" customHeight="1" s="483">
      <c r="A35" s="501" t="n"/>
      <c r="B35" s="563" t="inlineStr">
        <is>
          <t>理财师032</t>
        </is>
      </c>
      <c r="C35" s="444" t="n">
        <v>0</v>
      </c>
      <c r="D35" s="444" t="n">
        <v>0</v>
      </c>
      <c r="E35" s="444" t="n">
        <v>0</v>
      </c>
      <c r="F35" s="444" t="n">
        <v>0</v>
      </c>
      <c r="G35" s="444" t="n">
        <v>0</v>
      </c>
      <c r="H35" s="444" t="n">
        <v>0</v>
      </c>
      <c r="I35" s="444" t="n">
        <v>0</v>
      </c>
      <c r="J35" s="444" t="n">
        <v>0</v>
      </c>
    </row>
    <row r="36" ht="14.25" customFormat="1" customHeight="1" s="483">
      <c r="A36" s="790" t="inlineStr">
        <is>
          <t>合计</t>
        </is>
      </c>
      <c r="B36" s="495" t="n"/>
      <c r="C36" s="795">
        <f>SUM(C30:C35)</f>
        <v/>
      </c>
      <c r="D36" s="795">
        <f>SUM(D30:D35)</f>
        <v/>
      </c>
      <c r="E36" s="795">
        <f>SUM(E30:E35)</f>
        <v/>
      </c>
      <c r="F36" s="795">
        <f>SUM(F30:F35)</f>
        <v/>
      </c>
      <c r="G36" s="795">
        <f>SUM(G30:G35)</f>
        <v/>
      </c>
      <c r="H36" s="795">
        <f>SUM(H30:H35)</f>
        <v/>
      </c>
      <c r="I36" s="795">
        <f>SUM(I30:I35)</f>
        <v/>
      </c>
      <c r="J36" s="795">
        <f>SUM(J30:J35)</f>
        <v/>
      </c>
    </row>
    <row r="37" ht="14.25" customFormat="1" customHeight="1" s="483">
      <c r="A37" s="791" t="inlineStr">
        <is>
          <t>理财师005</t>
        </is>
      </c>
      <c r="B37" s="563" t="inlineStr">
        <is>
          <t>理财师005</t>
        </is>
      </c>
      <c r="C37" s="444" t="n">
        <v>0</v>
      </c>
      <c r="D37" s="444" t="n">
        <v>0</v>
      </c>
      <c r="E37" s="444" t="n">
        <v>1</v>
      </c>
      <c r="F37" s="444" t="n">
        <v>1</v>
      </c>
      <c r="G37" s="444" t="n">
        <v>0</v>
      </c>
      <c r="H37" s="444" t="n">
        <v>0</v>
      </c>
      <c r="I37" s="444" t="n">
        <v>1</v>
      </c>
      <c r="J37" s="444" t="n">
        <v>1</v>
      </c>
    </row>
    <row r="38" ht="14.25" customFormat="1" customHeight="1" s="483">
      <c r="A38" s="501" t="n"/>
      <c r="B38" s="563" t="inlineStr">
        <is>
          <t>理财师026</t>
        </is>
      </c>
      <c r="C38" s="444" t="n">
        <v>0</v>
      </c>
      <c r="D38" s="444" t="n">
        <v>2</v>
      </c>
      <c r="E38" s="444" t="n">
        <v>0</v>
      </c>
      <c r="F38" s="444" t="n">
        <v>2</v>
      </c>
      <c r="G38" s="444" t="n">
        <v>0</v>
      </c>
      <c r="H38" s="444" t="n">
        <v>1</v>
      </c>
      <c r="I38" s="444" t="n">
        <v>0</v>
      </c>
      <c r="J38" s="444" t="n">
        <v>1</v>
      </c>
    </row>
    <row r="39" ht="14.25" customFormat="1" customHeight="1" s="483">
      <c r="A39" s="790" t="inlineStr">
        <is>
          <t>合计</t>
        </is>
      </c>
      <c r="B39" s="495" t="n"/>
      <c r="C39" s="795">
        <f>SUM(C33:C38)</f>
        <v/>
      </c>
      <c r="D39" s="795">
        <f>SUM(D33:D38)</f>
        <v/>
      </c>
      <c r="E39" s="795">
        <f>SUM(E33:E38)</f>
        <v/>
      </c>
      <c r="F39" s="795">
        <f>SUM(F33:F38)</f>
        <v/>
      </c>
      <c r="G39" s="795">
        <f>SUM(G33:G38)</f>
        <v/>
      </c>
      <c r="H39" s="795">
        <f>SUM(H33:H38)</f>
        <v/>
      </c>
      <c r="I39" s="795">
        <f>SUM(I33:I38)</f>
        <v/>
      </c>
      <c r="J39" s="795">
        <f>SUM(J33:J38)</f>
        <v/>
      </c>
    </row>
    <row r="40" ht="14.25" customFormat="1" customHeight="1" s="483">
      <c r="A40" s="791" t="inlineStr">
        <is>
          <t>理财师008</t>
        </is>
      </c>
      <c r="B40" s="563" t="inlineStr">
        <is>
          <t>理财师008</t>
        </is>
      </c>
      <c r="C40" s="444" t="n">
        <v>1</v>
      </c>
      <c r="D40" s="444" t="n">
        <v>3</v>
      </c>
      <c r="E40" s="444" t="n">
        <v>0</v>
      </c>
      <c r="F40" s="444" t="n">
        <v>3</v>
      </c>
      <c r="G40" s="444" t="n">
        <v>0</v>
      </c>
      <c r="H40" s="444" t="n">
        <v>0</v>
      </c>
      <c r="I40" s="444" t="n">
        <v>0</v>
      </c>
      <c r="J40" s="444" t="n">
        <v>0</v>
      </c>
    </row>
    <row r="41" ht="14.25" customFormat="1" customHeight="1" s="483">
      <c r="A41" s="501" t="n"/>
      <c r="B41" s="563" t="inlineStr">
        <is>
          <t>理财师011</t>
        </is>
      </c>
      <c r="C41" s="444" t="n">
        <v>0</v>
      </c>
      <c r="D41" s="444" t="n">
        <v>0</v>
      </c>
      <c r="E41" s="444" t="n">
        <v>0</v>
      </c>
      <c r="F41" s="444" t="n">
        <v>0</v>
      </c>
      <c r="G41" s="444" t="n">
        <v>0</v>
      </c>
      <c r="H41" s="444" t="n">
        <v>0</v>
      </c>
      <c r="I41" s="444" t="n">
        <v>0</v>
      </c>
      <c r="J41" s="444" t="n">
        <v>0</v>
      </c>
    </row>
    <row r="42" ht="14.25" customFormat="1" customHeight="1" s="483">
      <c r="A42" s="790" t="inlineStr">
        <is>
          <t>合计</t>
        </is>
      </c>
      <c r="B42" s="495" t="n"/>
      <c r="C42" s="795">
        <f>SUM(C36:C41)</f>
        <v/>
      </c>
      <c r="D42" s="795">
        <f>SUM(D36:D41)</f>
        <v/>
      </c>
      <c r="E42" s="795">
        <f>SUM(E36:E41)</f>
        <v/>
      </c>
      <c r="F42" s="795">
        <f>SUM(F36:F41)</f>
        <v/>
      </c>
      <c r="G42" s="795">
        <f>SUM(G36:G41)</f>
        <v/>
      </c>
      <c r="H42" s="795">
        <f>SUM(H36:H41)</f>
        <v/>
      </c>
      <c r="I42" s="795">
        <f>SUM(I36:I41)</f>
        <v/>
      </c>
      <c r="J42" s="795">
        <f>SUM(J36:J41)</f>
        <v/>
      </c>
    </row>
    <row r="43" ht="14.25" customFormat="1" customHeight="1" s="483">
      <c r="A43" s="791" t="inlineStr">
        <is>
          <t>理财师004</t>
        </is>
      </c>
      <c r="B43" s="563" t="inlineStr">
        <is>
          <t>理财师003</t>
        </is>
      </c>
      <c r="C43" s="444" t="n">
        <v>1</v>
      </c>
      <c r="D43" s="444" t="n">
        <v>0</v>
      </c>
      <c r="E43" s="444" t="n">
        <v>0</v>
      </c>
      <c r="F43" s="444" t="n">
        <v>0</v>
      </c>
      <c r="G43" s="444" t="n">
        <v>0</v>
      </c>
      <c r="H43" s="444" t="n">
        <v>0</v>
      </c>
      <c r="I43" s="444" t="n">
        <v>0</v>
      </c>
      <c r="J43" s="444" t="n">
        <v>0</v>
      </c>
    </row>
    <row r="44" ht="14.25" customFormat="1" customHeight="1" s="483">
      <c r="A44" s="500" t="n"/>
      <c r="B44" s="563" t="inlineStr">
        <is>
          <t>理财师006</t>
        </is>
      </c>
      <c r="C44" s="444" t="n">
        <v>0</v>
      </c>
      <c r="D44" s="444" t="n">
        <v>0</v>
      </c>
      <c r="E44" s="444" t="n">
        <v>0</v>
      </c>
      <c r="F44" s="444" t="n">
        <v>0</v>
      </c>
      <c r="G44" s="444" t="n">
        <v>0</v>
      </c>
      <c r="H44" s="444" t="n">
        <v>0</v>
      </c>
      <c r="I44" s="444" t="n">
        <v>0</v>
      </c>
      <c r="J44" s="444" t="n">
        <v>0</v>
      </c>
    </row>
    <row r="45" ht="14.25" customFormat="1" customHeight="1" s="483">
      <c r="A45" s="500" t="n"/>
      <c r="B45" s="563" t="inlineStr">
        <is>
          <t>理财师012</t>
        </is>
      </c>
      <c r="C45" s="444" t="n">
        <v>0</v>
      </c>
      <c r="D45" s="444" t="n">
        <v>0</v>
      </c>
      <c r="E45" s="444" t="n">
        <v>0</v>
      </c>
      <c r="F45" s="444" t="n">
        <v>0</v>
      </c>
      <c r="G45" s="444" t="n">
        <v>0</v>
      </c>
      <c r="H45" s="444" t="n">
        <v>0</v>
      </c>
      <c r="I45" s="444" t="n">
        <v>0</v>
      </c>
      <c r="J45" s="444" t="n">
        <v>0</v>
      </c>
    </row>
    <row r="46" ht="14.25" customFormat="1" customHeight="1" s="483">
      <c r="A46" s="501" t="n"/>
      <c r="B46" s="563" t="inlineStr">
        <is>
          <t>理财师004</t>
        </is>
      </c>
      <c r="C46" s="444" t="n">
        <v>0</v>
      </c>
      <c r="D46" s="444" t="n">
        <v>2</v>
      </c>
      <c r="E46" s="444" t="n">
        <v>0</v>
      </c>
      <c r="F46" s="444" t="n">
        <v>2</v>
      </c>
      <c r="G46" s="444" t="n">
        <v>0</v>
      </c>
      <c r="H46" s="444" t="n">
        <v>2</v>
      </c>
      <c r="I46" s="444" t="n">
        <v>0</v>
      </c>
      <c r="J46" s="444" t="n">
        <v>2</v>
      </c>
    </row>
    <row r="47" ht="14.25" customFormat="1" customHeight="1" s="483">
      <c r="A47" s="790" t="inlineStr">
        <is>
          <t>合计</t>
        </is>
      </c>
      <c r="B47" s="495" t="n"/>
      <c r="C47" s="795">
        <f>SUM(C41:C46)</f>
        <v/>
      </c>
      <c r="D47" s="795">
        <f>SUM(D41:D46)</f>
        <v/>
      </c>
      <c r="E47" s="795">
        <f>SUM(E41:E46)</f>
        <v/>
      </c>
      <c r="F47" s="795">
        <f>SUM(F41:F46)</f>
        <v/>
      </c>
      <c r="G47" s="795">
        <f>SUM(G41:G46)</f>
        <v/>
      </c>
      <c r="H47" s="795">
        <f>SUM(H41:H46)</f>
        <v/>
      </c>
      <c r="I47" s="795">
        <f>SUM(I41:I46)</f>
        <v/>
      </c>
      <c r="J47" s="795">
        <f>SUM(J41:J46)</f>
        <v/>
      </c>
    </row>
    <row r="48">
      <c r="A48" s="792" t="inlineStr">
        <is>
          <t>合计</t>
        </is>
      </c>
      <c r="B48" s="495" t="n"/>
      <c r="C48" s="633">
        <f>SUM(C8+C14+C20+C25+C29+C33+C36+C39+C42+C47)</f>
        <v/>
      </c>
      <c r="D48" s="633">
        <f>SUM(D8+D14+D20+D25+D29+D33+D36+D39+D42+D47)</f>
        <v/>
      </c>
      <c r="E48" s="633">
        <f>SUM(E8+E14+E20+E25+E29+E33+E36+E39+E42+E47)</f>
        <v/>
      </c>
      <c r="F48" s="633">
        <f>SUM(F8+F14+F20+F25+F29+F33+F36+F39+F42+F47)</f>
        <v/>
      </c>
      <c r="G48" s="633">
        <f>SUM(G8+G14+G20+G25+G29+G33+G36+G39+G42+G47)</f>
        <v/>
      </c>
      <c r="H48" s="633">
        <f>SUM(H8+H14+H20+H25+H29+H33+H36+H39+H42+H47)</f>
        <v/>
      </c>
      <c r="I48" s="633">
        <f>SUM(I8+I14+I20+I25+I29+I33+I36+I39+I42+I47)</f>
        <v/>
      </c>
      <c r="J48" s="633">
        <f>SUM(J8+J14+J20+J25+J29+J33+J36+J39+J42+J47)</f>
        <v/>
      </c>
    </row>
  </sheetData>
  <mergeCells count="21">
    <mergeCell ref="A48:B48"/>
    <mergeCell ref="A26:A28"/>
    <mergeCell ref="A36:B36"/>
    <mergeCell ref="A25:B25"/>
    <mergeCell ref="A9:A13"/>
    <mergeCell ref="A21:A24"/>
    <mergeCell ref="A37:A38"/>
    <mergeCell ref="A30:A32"/>
    <mergeCell ref="A15:A19"/>
    <mergeCell ref="A33:B33"/>
    <mergeCell ref="A47:B47"/>
    <mergeCell ref="A42:B42"/>
    <mergeCell ref="A2:A7"/>
    <mergeCell ref="A14:B14"/>
    <mergeCell ref="A8:B8"/>
    <mergeCell ref="A20:B20"/>
    <mergeCell ref="A29:B29"/>
    <mergeCell ref="A34:A35"/>
    <mergeCell ref="A43:A46"/>
    <mergeCell ref="A40:A41"/>
    <mergeCell ref="A39:B39"/>
  </mergeCells>
  <conditionalFormatting sqref="G1:J1">
    <cfRule type="cellIs" priority="1" operator="lessThan" dxfId="3">
      <formula>100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1" workbookViewId="0">
      <selection activeCell="A1" sqref="A1"/>
    </sheetView>
  </sheetViews>
  <sheetFormatPr baseColWidth="8" defaultColWidth="9" defaultRowHeight="16.8"/>
  <cols>
    <col width="12.375" customWidth="1" style="483" min="3" max="4"/>
    <col width="13.625" customWidth="1" style="483" min="5" max="7"/>
    <col width="10.5" customWidth="1" style="483" min="8" max="10"/>
    <col width="10.25" customWidth="1" style="483" min="11" max="11"/>
    <col width="11.5" customWidth="1" style="483" min="12" max="12"/>
  </cols>
  <sheetData>
    <row r="1" ht="20.25" customFormat="1" customHeight="1" s="483">
      <c r="A1" s="796" t="inlineStr">
        <is>
          <t>私人财富管理部开单及新客户数统计-截止20260130</t>
        </is>
      </c>
      <c r="B1" s="797" t="n"/>
      <c r="C1" s="797" t="n"/>
      <c r="D1" s="797" t="n"/>
      <c r="E1" s="797" t="n"/>
      <c r="F1" s="797" t="n"/>
      <c r="G1" s="798" t="n"/>
      <c r="H1" s="799" t="inlineStr"/>
      <c r="I1" s="799" t="inlineStr"/>
      <c r="J1" s="799" t="inlineStr"/>
      <c r="K1" s="799" t="inlineStr"/>
      <c r="L1" s="799" t="inlineStr"/>
      <c r="M1" s="794" t="inlineStr">
        <is>
          <t xml:space="preserve">  运营+销售助理</t>
        </is>
      </c>
      <c r="N1" s="794" t="inlineStr"/>
      <c r="O1" s="794" t="inlineStr"/>
    </row>
    <row r="2" ht="58.5" customFormat="1" customHeight="1" s="483">
      <c r="A2" s="800" t="inlineStr">
        <is>
          <t>团队</t>
        </is>
      </c>
      <c r="B2" s="789" t="inlineStr">
        <is>
          <t>理财师</t>
        </is>
      </c>
      <c r="C2" s="801" t="inlineStr">
        <is>
          <t>本周新
入金
【美金】</t>
        </is>
      </c>
      <c r="D2" s="801" t="inlineStr">
        <is>
          <t>1月新
PI入金</t>
        </is>
      </c>
      <c r="E2" s="801" t="inlineStr">
        <is>
          <t>1月存量PI新入金</t>
        </is>
      </c>
      <c r="F2" s="802" t="inlineStr">
        <is>
          <t>1月累计
出金
【美金】</t>
        </is>
      </c>
      <c r="G2" s="803" t="inlineStr">
        <is>
          <t>1月累计
新入金
【美金】</t>
        </is>
      </c>
      <c r="H2" s="804" t="inlineStr">
        <is>
          <t>2月新
PI入金</t>
        </is>
      </c>
      <c r="I2" s="793" t="inlineStr">
        <is>
          <t>2月存量PI新入金</t>
        </is>
      </c>
      <c r="J2" s="805" t="inlineStr">
        <is>
          <t>2月累计
出金
【美金】</t>
        </is>
      </c>
      <c r="K2" s="793" t="inlineStr">
        <is>
          <t>2月累计
新入金
【美金】</t>
        </is>
      </c>
      <c r="L2" s="793" t="inlineStr">
        <is>
          <t>YTD累计新入金</t>
        </is>
      </c>
    </row>
    <row r="3" ht="14.25" customFormat="1" customHeight="1" s="483">
      <c r="A3" s="806" t="inlineStr">
        <is>
          <t>理财师018</t>
        </is>
      </c>
      <c r="B3" s="563" t="inlineStr">
        <is>
          <t>理财师017</t>
        </is>
      </c>
      <c r="C3" s="565" t="n">
        <v>14554.146816</v>
      </c>
      <c r="D3" s="565" t="n">
        <v>14554.146816</v>
      </c>
      <c r="E3" s="565" t="n">
        <v>16010.869248</v>
      </c>
      <c r="F3" s="565" t="n">
        <v>164833.650432</v>
      </c>
      <c r="G3" s="807" t="n">
        <v>30565.016064</v>
      </c>
      <c r="H3" s="458" t="n">
        <v>0</v>
      </c>
      <c r="I3" s="444" t="n">
        <v>0</v>
      </c>
      <c r="J3" s="444" t="n">
        <v>0</v>
      </c>
      <c r="K3" s="444" t="n">
        <v>0</v>
      </c>
      <c r="L3" s="444" t="n">
        <v>0</v>
      </c>
    </row>
    <row r="4" ht="14.25" customFormat="1" customHeight="1" s="483">
      <c r="A4" s="626" t="n"/>
      <c r="B4" s="563" t="inlineStr">
        <is>
          <t>理财师018</t>
        </is>
      </c>
      <c r="C4" s="565" t="n">
        <v>13315.858094</v>
      </c>
      <c r="D4" s="565" t="n">
        <v>2661.629047</v>
      </c>
      <c r="E4" s="565" t="n">
        <v>971386.9018699999</v>
      </c>
      <c r="F4" s="565" t="n">
        <v>345961.995533</v>
      </c>
      <c r="G4" s="807" t="n">
        <v>974048.530917</v>
      </c>
      <c r="H4" s="458" t="n">
        <v>0</v>
      </c>
      <c r="I4" s="444" t="n">
        <v>0</v>
      </c>
      <c r="J4" s="444" t="n">
        <v>0</v>
      </c>
      <c r="K4" s="444" t="n">
        <v>0</v>
      </c>
      <c r="L4" s="444" t="n">
        <v>0</v>
      </c>
    </row>
    <row r="5" ht="14.25" customFormat="1" customHeight="1" s="483">
      <c r="A5" s="626" t="n"/>
      <c r="B5" s="563" t="inlineStr">
        <is>
          <t>理财师019</t>
        </is>
      </c>
      <c r="C5" s="565" t="n">
        <v>42837.591727</v>
      </c>
      <c r="D5" s="565" t="n">
        <v>0</v>
      </c>
      <c r="E5" s="565" t="n">
        <v>42807.628227</v>
      </c>
      <c r="F5" s="565" t="n">
        <v>93108.76824200001</v>
      </c>
      <c r="G5" s="807" t="n">
        <v>85645.1001</v>
      </c>
      <c r="H5" s="458" t="n">
        <v>0</v>
      </c>
      <c r="I5" s="444" t="n">
        <v>0</v>
      </c>
      <c r="J5" s="444" t="n">
        <v>0</v>
      </c>
      <c r="K5" s="444" t="n">
        <v>0</v>
      </c>
      <c r="L5" s="444" t="n">
        <v>0</v>
      </c>
    </row>
    <row r="6" ht="14.25" customFormat="1" customHeight="1" s="483">
      <c r="A6" s="626" t="n"/>
      <c r="B6" s="563" t="inlineStr">
        <is>
          <t>理财师021</t>
        </is>
      </c>
      <c r="C6" s="565" t="n">
        <v>443359.73988</v>
      </c>
      <c r="D6" s="565" t="n">
        <v>443359.73988</v>
      </c>
      <c r="E6" s="565" t="n">
        <v>3540647.4739</v>
      </c>
      <c r="F6" s="565" t="n">
        <v>530041.75099</v>
      </c>
      <c r="G6" s="807" t="n">
        <v>3984007.639347</v>
      </c>
      <c r="H6" s="458" t="n">
        <v>0</v>
      </c>
      <c r="I6" s="444" t="n">
        <v>0</v>
      </c>
      <c r="J6" s="444" t="n">
        <v>0</v>
      </c>
      <c r="K6" s="444" t="n">
        <v>0</v>
      </c>
      <c r="L6" s="444" t="n">
        <v>0</v>
      </c>
    </row>
    <row r="7" ht="14.25" customFormat="1" customHeight="1" s="483">
      <c r="A7" s="626" t="n"/>
      <c r="B7" s="563" t="inlineStr">
        <is>
          <t>理财师025</t>
        </is>
      </c>
      <c r="C7" s="565" t="n">
        <v>1059.532488</v>
      </c>
      <c r="D7" s="565" t="inlineStr"/>
      <c r="E7" s="565" t="n">
        <v>529197.957288</v>
      </c>
      <c r="F7" s="565" t="n">
        <v>0</v>
      </c>
      <c r="G7" s="807" t="n">
        <v>758991.806496</v>
      </c>
      <c r="H7" s="458" t="n">
        <v>0</v>
      </c>
      <c r="I7" s="444" t="n">
        <v>0</v>
      </c>
      <c r="J7" s="444" t="n">
        <v>0</v>
      </c>
      <c r="K7" s="444" t="n">
        <v>0</v>
      </c>
      <c r="L7" s="444" t="n">
        <v>0</v>
      </c>
    </row>
    <row r="8" ht="14.25" customFormat="1" customHeight="1" s="483">
      <c r="A8" s="607" t="n"/>
      <c r="B8" s="563" t="inlineStr">
        <is>
          <t>理财师277</t>
        </is>
      </c>
      <c r="C8" s="565" t="n">
        <v>0</v>
      </c>
      <c r="D8" s="565" t="n">
        <v>0</v>
      </c>
      <c r="E8" s="565" t="n">
        <v>0</v>
      </c>
      <c r="F8" s="565" t="n">
        <v>0</v>
      </c>
      <c r="G8" s="807" t="n">
        <v>0</v>
      </c>
      <c r="H8" s="458" t="n">
        <v>0</v>
      </c>
      <c r="I8" s="444" t="n">
        <v>0</v>
      </c>
      <c r="J8" s="444" t="n">
        <v>0</v>
      </c>
      <c r="K8" s="444" t="n">
        <v>0</v>
      </c>
      <c r="L8" s="444" t="n">
        <v>0</v>
      </c>
    </row>
    <row r="9">
      <c r="A9" s="808" t="inlineStr">
        <is>
          <t>合计</t>
        </is>
      </c>
      <c r="B9" s="495" t="n"/>
      <c r="C9" s="460" t="n">
        <v>515126.869005</v>
      </c>
      <c r="D9" s="460" t="n">
        <v>628150.95</v>
      </c>
      <c r="E9" s="460" t="n">
        <v>5100050.830533</v>
      </c>
      <c r="F9" s="460" t="n">
        <v>1133946.165197</v>
      </c>
      <c r="G9" s="461" t="n">
        <v>5833258.092924</v>
      </c>
      <c r="H9" s="809" t="inlineStr"/>
      <c r="I9" s="795" t="inlineStr"/>
      <c r="J9" s="795" t="inlineStr"/>
      <c r="K9" s="795" t="inlineStr"/>
      <c r="L9" s="795" t="inlineStr"/>
    </row>
    <row r="10" ht="14.25" customFormat="1" customHeight="1" s="483">
      <c r="A10" s="810" t="inlineStr">
        <is>
          <t>理财师014</t>
        </is>
      </c>
      <c r="B10" s="563" t="inlineStr">
        <is>
          <t>理财师013</t>
        </is>
      </c>
      <c r="C10" s="565" t="n">
        <v>408377.748076</v>
      </c>
      <c r="D10" s="565" t="n">
        <v>0</v>
      </c>
      <c r="E10" s="565" t="n">
        <v>719288.188304</v>
      </c>
      <c r="F10" s="565" t="n">
        <v>311383.916</v>
      </c>
      <c r="G10" s="807" t="n">
        <v>719288.188304</v>
      </c>
      <c r="H10" s="458" t="n">
        <v>0</v>
      </c>
      <c r="I10" s="444" t="n">
        <v>0</v>
      </c>
      <c r="J10" s="444" t="n">
        <v>0</v>
      </c>
      <c r="K10" s="444" t="n">
        <v>0</v>
      </c>
      <c r="L10" s="444" t="n">
        <v>0</v>
      </c>
    </row>
    <row r="11" ht="14.25" customFormat="1" customHeight="1" s="483">
      <c r="A11" s="626" t="n"/>
      <c r="B11" s="563" t="inlineStr">
        <is>
          <t>理财师014</t>
        </is>
      </c>
      <c r="C11" s="811" t="inlineStr"/>
      <c r="D11" s="565" t="n">
        <v>211888.831578</v>
      </c>
      <c r="E11" s="565" t="n">
        <v>517605.31578</v>
      </c>
      <c r="F11" s="565" t="n">
        <v>57095.69778</v>
      </c>
      <c r="G11" s="807" t="n">
        <v>729494.147358</v>
      </c>
      <c r="H11" s="458" t="n">
        <v>0</v>
      </c>
      <c r="I11" s="444" t="n">
        <v>0</v>
      </c>
      <c r="J11" s="444" t="n">
        <v>0</v>
      </c>
      <c r="K11" s="444" t="n">
        <v>0</v>
      </c>
      <c r="L11" s="444" t="n">
        <v>0</v>
      </c>
    </row>
    <row r="12" ht="14.25" customFormat="1" customHeight="1" s="483">
      <c r="A12" s="626" t="n"/>
      <c r="B12" s="563" t="inlineStr">
        <is>
          <t>理财师022</t>
        </is>
      </c>
      <c r="C12" s="565" t="n">
        <v>0</v>
      </c>
      <c r="D12" s="565" t="n">
        <v>0</v>
      </c>
      <c r="E12" s="565" t="n">
        <v>0</v>
      </c>
      <c r="F12" s="565" t="n">
        <v>0</v>
      </c>
      <c r="G12" s="807" t="n">
        <v>0</v>
      </c>
      <c r="H12" s="458" t="n">
        <v>0</v>
      </c>
      <c r="I12" s="444" t="n">
        <v>0</v>
      </c>
      <c r="J12" s="444" t="n">
        <v>0</v>
      </c>
      <c r="K12" s="444" t="n">
        <v>0</v>
      </c>
      <c r="L12" s="444" t="n">
        <v>0</v>
      </c>
    </row>
    <row r="13" ht="14.25" customFormat="1" customHeight="1" s="483">
      <c r="A13" s="626" t="n"/>
      <c r="B13" s="563" t="inlineStr">
        <is>
          <t>理财师024</t>
        </is>
      </c>
      <c r="C13" s="565" t="n">
        <v>1318.122</v>
      </c>
      <c r="D13" s="565" t="n">
        <v>0</v>
      </c>
      <c r="E13" s="565" t="n">
        <v>0</v>
      </c>
      <c r="F13" s="565" t="n">
        <v>216970.268814</v>
      </c>
      <c r="G13" s="807" t="n">
        <v>3954.366</v>
      </c>
      <c r="H13" s="458" t="n">
        <v>0</v>
      </c>
      <c r="I13" s="444" t="n">
        <v>0</v>
      </c>
      <c r="J13" s="444" t="n">
        <v>0</v>
      </c>
      <c r="K13" s="444" t="n">
        <v>0</v>
      </c>
      <c r="L13" s="444" t="n">
        <v>0</v>
      </c>
    </row>
    <row r="14" ht="14.25" customFormat="1" customHeight="1" s="483">
      <c r="A14" s="607" t="n"/>
      <c r="B14" s="563" t="inlineStr">
        <is>
          <t>理财师188</t>
        </is>
      </c>
      <c r="C14" s="565" t="n">
        <v>0</v>
      </c>
      <c r="D14" s="565" t="n">
        <v>0</v>
      </c>
      <c r="E14" s="565" t="n">
        <v>0</v>
      </c>
      <c r="F14" s="565" t="n">
        <v>0</v>
      </c>
      <c r="G14" s="807" t="n">
        <v>0</v>
      </c>
      <c r="H14" s="458" t="n">
        <v>0</v>
      </c>
      <c r="I14" s="444" t="n">
        <v>0</v>
      </c>
      <c r="J14" s="444" t="n">
        <v>0</v>
      </c>
      <c r="K14" s="444" t="n">
        <v>0</v>
      </c>
      <c r="L14" s="444" t="n">
        <v>0</v>
      </c>
    </row>
    <row r="15">
      <c r="A15" s="808" t="inlineStr">
        <is>
          <t>合计</t>
        </is>
      </c>
      <c r="B15" s="495" t="n"/>
      <c r="C15" s="460" t="n">
        <v>351288.07</v>
      </c>
      <c r="D15" s="460" t="n">
        <v>211888.831578</v>
      </c>
      <c r="E15" s="460" t="n">
        <v>1236893.504084</v>
      </c>
      <c r="F15" s="460" t="n">
        <v>585449.882594</v>
      </c>
      <c r="G15" s="461" t="n">
        <v>1452736.701662</v>
      </c>
      <c r="H15" s="809" t="inlineStr"/>
      <c r="I15" s="795" t="inlineStr"/>
      <c r="J15" s="795" t="inlineStr"/>
      <c r="K15" s="795" t="inlineStr"/>
      <c r="L15" s="795" t="inlineStr"/>
    </row>
    <row r="16" ht="14.25" customFormat="1" customHeight="1" s="483">
      <c r="A16" s="810" t="inlineStr">
        <is>
          <t>理财师007</t>
        </is>
      </c>
      <c r="B16" s="563" t="inlineStr">
        <is>
          <t>理财师007</t>
        </is>
      </c>
      <c r="C16" s="565" t="n">
        <v>815059.263669</v>
      </c>
      <c r="D16" s="565" t="n">
        <v>342056.7</v>
      </c>
      <c r="E16" s="565" t="n">
        <v>473002.563669</v>
      </c>
      <c r="F16" s="565" t="n">
        <v>5051178.3825</v>
      </c>
      <c r="G16" s="807" t="n">
        <v>2009962.479345</v>
      </c>
      <c r="H16" s="458" t="n">
        <v>0</v>
      </c>
      <c r="I16" s="444" t="n">
        <v>0</v>
      </c>
      <c r="J16" s="444" t="n">
        <v>0</v>
      </c>
      <c r="K16" s="444" t="n">
        <v>0</v>
      </c>
      <c r="L16" s="444" t="n">
        <v>0</v>
      </c>
    </row>
    <row r="17" ht="14.25" customFormat="1" customHeight="1" s="483">
      <c r="A17" s="626" t="n"/>
      <c r="B17" s="563" t="inlineStr">
        <is>
          <t>理财师023</t>
        </is>
      </c>
      <c r="C17" s="565" t="n">
        <v>681237.18929</v>
      </c>
      <c r="D17" s="565" t="n">
        <v>681237.18929</v>
      </c>
      <c r="E17" s="565" t="n">
        <v>271815.68929</v>
      </c>
      <c r="F17" s="565" t="n">
        <v>54071.94002</v>
      </c>
      <c r="G17" s="807" t="n">
        <v>953052.87858</v>
      </c>
      <c r="H17" s="458" t="n">
        <v>0</v>
      </c>
      <c r="I17" s="444" t="n">
        <v>0</v>
      </c>
      <c r="J17" s="444" t="n">
        <v>0</v>
      </c>
      <c r="K17" s="444" t="n">
        <v>0</v>
      </c>
      <c r="L17" s="444" t="n">
        <v>0</v>
      </c>
    </row>
    <row r="18" ht="14.25" customFormat="1" customHeight="1" s="483">
      <c r="A18" s="626" t="n"/>
      <c r="B18" s="563" t="inlineStr">
        <is>
          <t>理财师231</t>
        </is>
      </c>
      <c r="C18" s="565" t="n">
        <v>0</v>
      </c>
      <c r="D18" s="565" t="n">
        <v>0</v>
      </c>
      <c r="E18" s="565" t="n">
        <v>0</v>
      </c>
      <c r="F18" s="565" t="n">
        <v>0</v>
      </c>
      <c r="G18" s="812" t="inlineStr"/>
      <c r="H18" s="458" t="n">
        <v>0</v>
      </c>
      <c r="I18" s="444" t="n">
        <v>0</v>
      </c>
      <c r="J18" s="444" t="n">
        <v>0</v>
      </c>
      <c r="K18" s="444" t="n">
        <v>0</v>
      </c>
      <c r="L18" s="444" t="n">
        <v>0</v>
      </c>
    </row>
    <row r="19" ht="14.25" customFormat="1" customHeight="1" s="483">
      <c r="A19" s="626" t="n"/>
      <c r="B19" s="563" t="inlineStr">
        <is>
          <t>理财师091</t>
        </is>
      </c>
      <c r="C19" s="565" t="n">
        <v>0</v>
      </c>
      <c r="D19" s="565" t="n">
        <v>0</v>
      </c>
      <c r="E19" s="565" t="n">
        <v>0</v>
      </c>
      <c r="F19" s="565" t="n">
        <v>0</v>
      </c>
      <c r="G19" s="807" t="n">
        <v>0</v>
      </c>
      <c r="H19" s="458" t="n">
        <v>0</v>
      </c>
      <c r="I19" s="444" t="n">
        <v>0</v>
      </c>
      <c r="J19" s="444" t="n">
        <v>0</v>
      </c>
      <c r="K19" s="444" t="n">
        <v>0</v>
      </c>
      <c r="L19" s="444" t="n">
        <v>0</v>
      </c>
    </row>
    <row r="20" ht="14.25" customFormat="1" customHeight="1" s="483">
      <c r="A20" s="607" t="n"/>
      <c r="B20" s="563" t="inlineStr">
        <is>
          <t>理财师278</t>
        </is>
      </c>
      <c r="C20" s="565" t="n">
        <v>0</v>
      </c>
      <c r="D20" s="565" t="n">
        <v>0</v>
      </c>
      <c r="E20" s="565" t="n">
        <v>0</v>
      </c>
      <c r="F20" s="565" t="n">
        <v>0</v>
      </c>
      <c r="G20" s="807" t="n">
        <v>0</v>
      </c>
      <c r="H20" s="458" t="n">
        <v>0</v>
      </c>
      <c r="I20" s="444" t="n">
        <v>0</v>
      </c>
      <c r="J20" s="444" t="n">
        <v>0</v>
      </c>
      <c r="K20" s="444" t="n">
        <v>0</v>
      </c>
      <c r="L20" s="444" t="n">
        <v>0</v>
      </c>
    </row>
    <row r="21">
      <c r="A21" s="808" t="inlineStr">
        <is>
          <t>合计</t>
        </is>
      </c>
      <c r="B21" s="495" t="n"/>
      <c r="C21" s="460" t="n">
        <v>1496296.452959</v>
      </c>
      <c r="D21" s="460" t="n">
        <v>1023293.88929</v>
      </c>
      <c r="E21" s="460" t="n">
        <v>744818.2529589999</v>
      </c>
      <c r="F21" s="460" t="n">
        <v>5105250.32252</v>
      </c>
      <c r="G21" s="461" t="n">
        <v>2486949.47</v>
      </c>
      <c r="H21" s="809" t="inlineStr"/>
      <c r="I21" s="795" t="inlineStr"/>
      <c r="J21" s="795" t="inlineStr"/>
      <c r="K21" s="795" t="inlineStr"/>
      <c r="L21" s="795" t="inlineStr"/>
    </row>
    <row r="22" ht="14.25" customFormat="1" customHeight="1" s="483">
      <c r="A22" s="810" t="inlineStr">
        <is>
          <t>理财师016</t>
        </is>
      </c>
      <c r="B22" s="563" t="inlineStr">
        <is>
          <t>理财师208</t>
        </is>
      </c>
      <c r="C22" s="565" t="n">
        <v>0</v>
      </c>
      <c r="D22" s="565" t="n">
        <v>0</v>
      </c>
      <c r="E22" s="565" t="n">
        <v>481360</v>
      </c>
      <c r="F22" s="565" t="n">
        <v>197209.5818</v>
      </c>
      <c r="G22" s="807" t="n">
        <v>481360</v>
      </c>
      <c r="H22" s="458" t="n">
        <v>0</v>
      </c>
      <c r="I22" s="444" t="n">
        <v>0</v>
      </c>
      <c r="J22" s="444" t="n">
        <v>0</v>
      </c>
      <c r="K22" s="444" t="n">
        <v>0</v>
      </c>
      <c r="L22" s="444" t="n">
        <v>0</v>
      </c>
    </row>
    <row r="23" ht="14.25" customFormat="1" customHeight="1" s="483">
      <c r="A23" s="626" t="n"/>
      <c r="B23" s="563" t="inlineStr">
        <is>
          <t>理财师015</t>
        </is>
      </c>
      <c r="C23" s="565" t="n">
        <v>0</v>
      </c>
      <c r="D23" s="565" t="n">
        <v>0</v>
      </c>
      <c r="E23" s="565" t="n">
        <v>0</v>
      </c>
      <c r="F23" s="565" t="n">
        <v>0</v>
      </c>
      <c r="G23" s="807" t="n">
        <v>0</v>
      </c>
      <c r="H23" s="458" t="n">
        <v>0</v>
      </c>
      <c r="I23" s="444" t="n">
        <v>0</v>
      </c>
      <c r="J23" s="444" t="n">
        <v>0</v>
      </c>
      <c r="K23" s="444" t="n">
        <v>0</v>
      </c>
      <c r="L23" s="444" t="n">
        <v>0</v>
      </c>
    </row>
    <row r="24" ht="14.25" customFormat="1" customHeight="1" s="483">
      <c r="A24" s="626" t="n"/>
      <c r="B24" s="563" t="inlineStr">
        <is>
          <t>理财师016</t>
        </is>
      </c>
      <c r="C24" s="565" t="n">
        <v>0</v>
      </c>
      <c r="D24" s="565" t="n">
        <v>0</v>
      </c>
      <c r="E24" s="565" t="n">
        <v>0</v>
      </c>
      <c r="F24" s="565" t="n">
        <v>0</v>
      </c>
      <c r="G24" s="807" t="n">
        <v>60211.641867</v>
      </c>
      <c r="H24" s="458" t="n">
        <v>0</v>
      </c>
      <c r="I24" s="444" t="n">
        <v>0</v>
      </c>
      <c r="J24" s="444" t="n">
        <v>0</v>
      </c>
      <c r="K24" s="444" t="n">
        <v>0</v>
      </c>
      <c r="L24" s="444" t="n">
        <v>0</v>
      </c>
    </row>
    <row r="25" ht="14.25" customFormat="1" customHeight="1" s="483">
      <c r="A25" s="607" t="n"/>
      <c r="B25" s="563" t="inlineStr">
        <is>
          <t>理财师028</t>
        </is>
      </c>
      <c r="C25" s="565" t="n">
        <v>37211.5</v>
      </c>
      <c r="D25" s="565" t="n">
        <v>0</v>
      </c>
      <c r="E25" s="565" t="n">
        <v>0</v>
      </c>
      <c r="F25" s="565" t="n">
        <v>0</v>
      </c>
      <c r="G25" s="807" t="n">
        <v>529578.4</v>
      </c>
      <c r="H25" s="458" t="n">
        <v>0</v>
      </c>
      <c r="I25" s="444" t="n">
        <v>0</v>
      </c>
      <c r="J25" s="444" t="n">
        <v>0</v>
      </c>
      <c r="K25" s="444" t="n">
        <v>0</v>
      </c>
      <c r="L25" s="444" t="n">
        <v>0</v>
      </c>
    </row>
    <row r="26">
      <c r="A26" s="808" t="inlineStr">
        <is>
          <t>合计</t>
        </is>
      </c>
      <c r="B26" s="495" t="n"/>
      <c r="C26" s="460" t="n">
        <v>37211.5</v>
      </c>
      <c r="D26" s="460" t="n">
        <v>0</v>
      </c>
      <c r="E26" s="460" t="n">
        <v>481360</v>
      </c>
      <c r="F26" s="460" t="n">
        <v>197209.5818</v>
      </c>
      <c r="G26" s="461" t="n">
        <v>1071150.041867</v>
      </c>
      <c r="H26" s="809" t="inlineStr"/>
      <c r="I26" s="795" t="inlineStr"/>
      <c r="J26" s="795" t="inlineStr"/>
      <c r="K26" s="795" t="inlineStr"/>
      <c r="L26" s="795" t="inlineStr"/>
    </row>
    <row r="27" ht="14.25" customFormat="1" customHeight="1" s="483">
      <c r="A27" s="810" t="inlineStr">
        <is>
          <t>理财师002</t>
        </is>
      </c>
      <c r="B27" s="563" t="inlineStr">
        <is>
          <t>理财师001</t>
        </is>
      </c>
      <c r="C27" s="565" t="n">
        <v>0</v>
      </c>
      <c r="D27" s="565" t="n">
        <v>0</v>
      </c>
      <c r="E27" s="565" t="n">
        <v>229526.503243</v>
      </c>
      <c r="F27" s="565" t="n">
        <v>927290.386878</v>
      </c>
      <c r="G27" s="807" t="n">
        <v>229526.503243</v>
      </c>
      <c r="H27" s="458" t="n">
        <v>0</v>
      </c>
      <c r="I27" s="444" t="n">
        <v>0</v>
      </c>
      <c r="J27" s="444" t="n">
        <v>0</v>
      </c>
      <c r="K27" s="444" t="n">
        <v>0</v>
      </c>
      <c r="L27" s="444" t="n">
        <v>0</v>
      </c>
    </row>
    <row r="28" ht="14.25" customFormat="1" customHeight="1" s="483">
      <c r="A28" s="626" t="n"/>
      <c r="B28" s="563" t="inlineStr">
        <is>
          <t>理财师002</t>
        </is>
      </c>
      <c r="C28" s="565" t="n">
        <v>104993.541825</v>
      </c>
      <c r="D28" s="565" t="n">
        <v>0</v>
      </c>
      <c r="E28" s="565" t="n">
        <v>2626282.431864</v>
      </c>
      <c r="F28" s="565" t="n">
        <v>7985491.5011</v>
      </c>
      <c r="G28" s="807" t="n">
        <v>3288548.150541</v>
      </c>
      <c r="H28" s="458" t="n">
        <v>0</v>
      </c>
      <c r="I28" s="444" t="n">
        <v>0</v>
      </c>
      <c r="J28" s="444" t="n">
        <v>0</v>
      </c>
      <c r="K28" s="444" t="n">
        <v>0</v>
      </c>
      <c r="L28" s="444" t="n">
        <v>0</v>
      </c>
    </row>
    <row r="29" ht="14.25" customFormat="1" customHeight="1" s="483">
      <c r="A29" s="607" t="n"/>
      <c r="B29" s="563" t="inlineStr">
        <is>
          <t>理财师027</t>
        </is>
      </c>
      <c r="C29" s="565" t="n">
        <v>0</v>
      </c>
      <c r="D29" s="565" t="n">
        <v>0</v>
      </c>
      <c r="E29" s="565" t="n">
        <v>341.028529</v>
      </c>
      <c r="F29" s="565" t="n">
        <v>0</v>
      </c>
      <c r="G29" s="807" t="n">
        <v>341.028529</v>
      </c>
      <c r="H29" s="458" t="n">
        <v>0</v>
      </c>
      <c r="I29" s="444" t="n">
        <v>0</v>
      </c>
      <c r="J29" s="444" t="n">
        <v>0</v>
      </c>
      <c r="K29" s="444" t="n">
        <v>0</v>
      </c>
      <c r="L29" s="444" t="n">
        <v>0</v>
      </c>
    </row>
    <row r="30">
      <c r="A30" s="808" t="inlineStr">
        <is>
          <t>合计</t>
        </is>
      </c>
      <c r="B30" s="495" t="n"/>
      <c r="C30" s="460" t="n">
        <v>104993.541825</v>
      </c>
      <c r="D30" s="460" t="n">
        <v>0</v>
      </c>
      <c r="E30" s="460" t="n">
        <v>2856149.963636</v>
      </c>
      <c r="F30" s="460" t="n">
        <v>8912781.887978001</v>
      </c>
      <c r="G30" s="461" t="n">
        <v>3518415.682313</v>
      </c>
      <c r="H30" s="809" t="inlineStr"/>
      <c r="I30" s="795" t="inlineStr"/>
      <c r="J30" s="795" t="inlineStr"/>
      <c r="K30" s="795" t="inlineStr"/>
      <c r="L30" s="795" t="inlineStr"/>
    </row>
    <row r="31" ht="14.25" customFormat="1" customHeight="1" s="483">
      <c r="A31" s="810" t="inlineStr">
        <is>
          <t>理财师009</t>
        </is>
      </c>
      <c r="B31" s="563" t="inlineStr">
        <is>
          <t>理财师048</t>
        </is>
      </c>
      <c r="C31" s="565" t="n">
        <v>34604.043133</v>
      </c>
      <c r="D31" s="565" t="n">
        <v>34604.043133</v>
      </c>
      <c r="E31" s="813" t="n">
        <v>178600.147</v>
      </c>
      <c r="F31" s="565" t="n">
        <v>1487.439701</v>
      </c>
      <c r="G31" s="807" t="n">
        <v>213203.989482</v>
      </c>
      <c r="H31" s="458" t="n">
        <v>0</v>
      </c>
      <c r="I31" s="444" t="n">
        <v>0</v>
      </c>
      <c r="J31" s="444" t="n">
        <v>0</v>
      </c>
      <c r="K31" s="444" t="n">
        <v>0</v>
      </c>
      <c r="L31" s="444" t="n">
        <v>0</v>
      </c>
    </row>
    <row r="32" ht="14.25" customFormat="1" customHeight="1" s="483">
      <c r="A32" s="626" t="n"/>
      <c r="B32" s="563" t="inlineStr">
        <is>
          <t>理财师009</t>
        </is>
      </c>
      <c r="C32" s="565" t="n">
        <v>191097.54118</v>
      </c>
      <c r="D32" s="565" t="n">
        <v>0</v>
      </c>
      <c r="E32" s="565" t="n">
        <v>191097.54118</v>
      </c>
      <c r="F32" s="811" t="n">
        <v>142413.65684</v>
      </c>
      <c r="G32" s="807" t="n">
        <v>1135655.9578</v>
      </c>
      <c r="H32" s="458" t="n">
        <v>0</v>
      </c>
      <c r="I32" s="444" t="n">
        <v>0</v>
      </c>
      <c r="J32" s="444" t="n">
        <v>0</v>
      </c>
      <c r="K32" s="444" t="n">
        <v>0</v>
      </c>
      <c r="L32" s="444" t="n">
        <v>0</v>
      </c>
    </row>
    <row r="33" ht="14.25" customFormat="1" customHeight="1" s="483">
      <c r="A33" s="607" t="n"/>
      <c r="B33" s="563" t="inlineStr">
        <is>
          <t>理财师010</t>
        </is>
      </c>
      <c r="C33" s="565" t="n">
        <v>0</v>
      </c>
      <c r="D33" s="565" t="n">
        <v>13086.42544</v>
      </c>
      <c r="E33" s="565" t="n">
        <v>204367.527188</v>
      </c>
      <c r="F33" s="565" t="n">
        <v>105886.5368</v>
      </c>
      <c r="G33" s="807" t="n">
        <v>214509.527188</v>
      </c>
      <c r="H33" s="458" t="n">
        <v>0</v>
      </c>
      <c r="I33" s="444" t="n">
        <v>0</v>
      </c>
      <c r="J33" s="444" t="n">
        <v>0</v>
      </c>
      <c r="K33" s="444" t="n">
        <v>0</v>
      </c>
      <c r="L33" s="444" t="n">
        <v>0</v>
      </c>
    </row>
    <row r="34">
      <c r="A34" s="808" t="inlineStr">
        <is>
          <t>合计</t>
        </is>
      </c>
      <c r="B34" s="495" t="n"/>
      <c r="C34" s="460" t="n">
        <v>225701.584313</v>
      </c>
      <c r="D34" s="460" t="n">
        <v>47690.468573</v>
      </c>
      <c r="E34" s="460" t="n">
        <v>574065.215368</v>
      </c>
      <c r="F34" s="460" t="n">
        <v>249787.633341</v>
      </c>
      <c r="G34" s="461" t="n">
        <v>1563369.47447</v>
      </c>
      <c r="H34" s="809" t="inlineStr"/>
      <c r="I34" s="795" t="inlineStr"/>
      <c r="J34" s="795" t="inlineStr"/>
      <c r="K34" s="795" t="inlineStr"/>
      <c r="L34" s="795" t="inlineStr"/>
    </row>
    <row r="35" ht="14.25" customFormat="1" customHeight="1" s="483">
      <c r="A35" s="810" t="inlineStr">
        <is>
          <t>理财师020</t>
        </is>
      </c>
      <c r="B35" s="563" t="inlineStr">
        <is>
          <t>理财师020</t>
        </is>
      </c>
      <c r="C35" s="565" t="n">
        <v>365142.974157</v>
      </c>
      <c r="D35" s="565" t="n">
        <v>365142.974157</v>
      </c>
      <c r="E35" s="565" t="n">
        <v>2609759.799855</v>
      </c>
      <c r="F35" s="565" t="n">
        <v>1088.470422</v>
      </c>
      <c r="G35" s="807" t="n">
        <v>2974902.774012</v>
      </c>
      <c r="H35" s="458" t="n">
        <v>0</v>
      </c>
      <c r="I35" s="444" t="n">
        <v>0</v>
      </c>
      <c r="J35" s="444" t="n">
        <v>0</v>
      </c>
      <c r="K35" s="444" t="n">
        <v>0</v>
      </c>
      <c r="L35" s="444" t="n">
        <v>0</v>
      </c>
    </row>
    <row r="36" ht="14.25" customFormat="1" customHeight="1" s="483">
      <c r="A36" s="607" t="n"/>
      <c r="B36" s="563" t="inlineStr">
        <is>
          <t>理财师032</t>
        </is>
      </c>
      <c r="C36" s="565" t="n">
        <v>109263.3</v>
      </c>
      <c r="D36" s="565" t="n">
        <v>0</v>
      </c>
      <c r="E36" s="565" t="n">
        <v>109263.3</v>
      </c>
      <c r="F36" s="565" t="n">
        <v>0</v>
      </c>
      <c r="G36" s="807" t="n">
        <v>109263.3</v>
      </c>
      <c r="H36" s="458" t="n">
        <v>0</v>
      </c>
      <c r="I36" s="444" t="n">
        <v>0</v>
      </c>
      <c r="J36" s="444" t="n">
        <v>0</v>
      </c>
      <c r="K36" s="444" t="n">
        <v>0</v>
      </c>
      <c r="L36" s="444" t="n">
        <v>0</v>
      </c>
    </row>
    <row r="37">
      <c r="A37" s="808" t="inlineStr">
        <is>
          <t>合计</t>
        </is>
      </c>
      <c r="B37" s="495" t="n"/>
      <c r="C37" s="460" t="n">
        <v>474406.274157</v>
      </c>
      <c r="D37" s="460" t="n">
        <v>365142.974157</v>
      </c>
      <c r="E37" s="460" t="n">
        <v>2719023.099855</v>
      </c>
      <c r="F37" s="460" t="n">
        <v>1088.470422</v>
      </c>
      <c r="G37" s="461" t="n">
        <v>3084166.074012</v>
      </c>
      <c r="H37" s="809" t="inlineStr"/>
      <c r="I37" s="795" t="inlineStr"/>
      <c r="J37" s="795" t="inlineStr"/>
      <c r="K37" s="795" t="inlineStr"/>
      <c r="L37" s="795" t="inlineStr"/>
    </row>
    <row r="38" ht="14.25" customFormat="1" customHeight="1" s="483">
      <c r="A38" s="810" t="inlineStr">
        <is>
          <t>理财师005</t>
        </is>
      </c>
      <c r="B38" s="563" t="inlineStr">
        <is>
          <t>理财师005</t>
        </is>
      </c>
      <c r="C38" s="565" t="n">
        <v>0</v>
      </c>
      <c r="D38" s="565" t="n">
        <v>0</v>
      </c>
      <c r="E38" s="565" t="n">
        <v>901015.254546</v>
      </c>
      <c r="F38" s="565" t="n">
        <v>29328.9</v>
      </c>
      <c r="G38" s="807" t="n">
        <v>901015.254546</v>
      </c>
      <c r="H38" s="458" t="n">
        <v>0</v>
      </c>
      <c r="I38" s="444" t="n">
        <v>0</v>
      </c>
      <c r="J38" s="444" t="n">
        <v>0</v>
      </c>
      <c r="K38" s="444" t="n">
        <v>0</v>
      </c>
      <c r="L38" s="444" t="n">
        <v>0</v>
      </c>
    </row>
    <row r="39" ht="14.25" customFormat="1" customHeight="1" s="483">
      <c r="A39" s="607" t="n"/>
      <c r="B39" s="563" t="inlineStr">
        <is>
          <t>理财师026</t>
        </is>
      </c>
      <c r="C39" s="565" t="n">
        <v>0</v>
      </c>
      <c r="D39" s="565" t="n">
        <v>0</v>
      </c>
      <c r="E39" s="565" t="n">
        <v>0</v>
      </c>
      <c r="F39" s="565" t="n">
        <v>0</v>
      </c>
      <c r="G39" s="807" t="n">
        <v>0</v>
      </c>
      <c r="H39" s="458" t="n">
        <v>0</v>
      </c>
      <c r="I39" s="444" t="n">
        <v>0</v>
      </c>
      <c r="J39" s="444" t="n">
        <v>0</v>
      </c>
      <c r="K39" s="444" t="n">
        <v>0</v>
      </c>
      <c r="L39" s="444" t="n">
        <v>0</v>
      </c>
    </row>
    <row r="40">
      <c r="A40" s="808" t="inlineStr">
        <is>
          <t>合计</t>
        </is>
      </c>
      <c r="B40" s="495" t="n"/>
      <c r="C40" s="814" t="n">
        <v>0</v>
      </c>
      <c r="D40" s="814" t="n">
        <v>0</v>
      </c>
      <c r="E40" s="460" t="n">
        <v>901015.254546</v>
      </c>
      <c r="F40" s="460" t="n">
        <v>29328.9</v>
      </c>
      <c r="G40" s="461" t="n">
        <v>901015.254546</v>
      </c>
      <c r="H40" s="809" t="n">
        <v>0</v>
      </c>
      <c r="I40" s="795" t="n">
        <v>0</v>
      </c>
      <c r="J40" s="795" t="n">
        <v>0</v>
      </c>
      <c r="K40" s="795" t="n">
        <v>0</v>
      </c>
      <c r="L40" s="795" t="n">
        <v>0</v>
      </c>
    </row>
    <row r="41" ht="14.25" customFormat="1" customHeight="1" s="483">
      <c r="A41" s="810" t="inlineStr">
        <is>
          <t>理财师008</t>
        </is>
      </c>
      <c r="B41" s="563" t="inlineStr">
        <is>
          <t>理财师008</t>
        </is>
      </c>
      <c r="C41" s="565" t="n">
        <v>296422.424766</v>
      </c>
      <c r="D41" s="565" t="n">
        <v>133769.269766</v>
      </c>
      <c r="E41" s="565" t="n">
        <v>538954.9865380001</v>
      </c>
      <c r="F41" s="565" t="n">
        <v>174474.6175</v>
      </c>
      <c r="G41" s="807" t="n">
        <v>637252.536955</v>
      </c>
      <c r="H41" s="458" t="n">
        <v>0</v>
      </c>
      <c r="I41" s="444" t="n">
        <v>0</v>
      </c>
      <c r="J41" s="444" t="n">
        <v>0</v>
      </c>
      <c r="K41" s="444" t="n">
        <v>0</v>
      </c>
      <c r="L41" s="444" t="n">
        <v>0</v>
      </c>
    </row>
    <row r="42" ht="14.25" customFormat="1" customHeight="1" s="483">
      <c r="A42" s="607" t="n"/>
      <c r="B42" s="563" t="inlineStr">
        <is>
          <t>理财师011</t>
        </is>
      </c>
      <c r="C42" s="565" t="n">
        <v>0</v>
      </c>
      <c r="D42" s="565" t="n">
        <v>0</v>
      </c>
      <c r="E42" s="565" t="n">
        <v>0</v>
      </c>
      <c r="F42" s="565" t="n">
        <v>187825.512411</v>
      </c>
      <c r="G42" s="807" t="n">
        <v>0</v>
      </c>
      <c r="H42" s="458" t="n">
        <v>0</v>
      </c>
      <c r="I42" s="444" t="n">
        <v>0</v>
      </c>
      <c r="J42" s="444" t="n">
        <v>0</v>
      </c>
      <c r="K42" s="444" t="n">
        <v>0</v>
      </c>
      <c r="L42" s="444" t="n">
        <v>0</v>
      </c>
    </row>
    <row r="43">
      <c r="A43" s="808" t="inlineStr">
        <is>
          <t>合计</t>
        </is>
      </c>
      <c r="B43" s="495" t="n"/>
      <c r="C43" s="460" t="n">
        <v>296422.424766</v>
      </c>
      <c r="D43" s="460" t="n">
        <v>133769.269766</v>
      </c>
      <c r="E43" s="460" t="n">
        <v>538954.9865380001</v>
      </c>
      <c r="F43" s="460" t="n">
        <v>362300.129911</v>
      </c>
      <c r="G43" s="461" t="n">
        <v>637252.536955</v>
      </c>
      <c r="H43" s="809" t="n">
        <v>0</v>
      </c>
      <c r="I43" s="795" t="n">
        <v>0</v>
      </c>
      <c r="J43" s="795" t="n">
        <v>0</v>
      </c>
      <c r="K43" s="795" t="n">
        <v>0</v>
      </c>
      <c r="L43" s="795" t="n">
        <v>0</v>
      </c>
    </row>
    <row r="44" ht="14.25" customFormat="1" customHeight="1" s="483">
      <c r="A44" s="810" t="inlineStr">
        <is>
          <t>理财师004</t>
        </is>
      </c>
      <c r="B44" s="563" t="inlineStr">
        <is>
          <t>理财师003</t>
        </is>
      </c>
      <c r="C44" s="565" t="n">
        <v>439982.661794</v>
      </c>
      <c r="D44" s="565" t="n">
        <v>377127.573797</v>
      </c>
      <c r="E44" s="565" t="n">
        <v>3305323.2004</v>
      </c>
      <c r="F44" s="565" t="n">
        <v>3912489.9294</v>
      </c>
      <c r="G44" s="807" t="n">
        <v>2587558.460201</v>
      </c>
      <c r="H44" s="458" t="n">
        <v>0</v>
      </c>
      <c r="I44" s="444" t="n">
        <v>0</v>
      </c>
      <c r="J44" s="444" t="n">
        <v>0</v>
      </c>
      <c r="K44" s="444" t="n">
        <v>0</v>
      </c>
      <c r="L44" s="444" t="n">
        <v>0</v>
      </c>
    </row>
    <row r="45" ht="14.25" customFormat="1" customHeight="1" s="483">
      <c r="A45" s="626" t="n"/>
      <c r="B45" s="563" t="inlineStr">
        <is>
          <t>理财师006</t>
        </is>
      </c>
      <c r="C45" s="565" t="n">
        <v>573865.504965</v>
      </c>
      <c r="D45" s="565" t="n">
        <v>1003814.94525</v>
      </c>
      <c r="E45" s="565" t="n">
        <v>1125973.64934</v>
      </c>
      <c r="F45" s="565" t="n">
        <v>10669.65996</v>
      </c>
      <c r="G45" s="807" t="n">
        <v>1125973.64934</v>
      </c>
      <c r="H45" s="458" t="n">
        <v>0</v>
      </c>
      <c r="I45" s="444" t="n">
        <v>0</v>
      </c>
      <c r="J45" s="444" t="n">
        <v>0</v>
      </c>
      <c r="K45" s="444" t="n">
        <v>0</v>
      </c>
      <c r="L45" s="444" t="n">
        <v>0</v>
      </c>
    </row>
    <row r="46" ht="14.25" customFormat="1" customHeight="1" s="483">
      <c r="A46" s="626" t="n"/>
      <c r="B46" s="563" t="inlineStr">
        <is>
          <t>理财师012</t>
        </is>
      </c>
      <c r="C46" s="565" t="n">
        <v>230701.995747</v>
      </c>
      <c r="D46" s="565" t="n">
        <v>0</v>
      </c>
      <c r="E46" s="565" t="n">
        <v>378023.998788</v>
      </c>
      <c r="F46" s="565" t="n">
        <v>123765.322545</v>
      </c>
      <c r="G46" s="807" t="n">
        <v>387605.178477</v>
      </c>
      <c r="H46" s="458" t="n">
        <v>0</v>
      </c>
      <c r="I46" s="444" t="n">
        <v>0</v>
      </c>
      <c r="J46" s="444" t="n">
        <v>0</v>
      </c>
      <c r="K46" s="444" t="n">
        <v>0</v>
      </c>
      <c r="L46" s="444" t="n">
        <v>0</v>
      </c>
    </row>
    <row r="47" ht="14.25" customFormat="1" customHeight="1" s="483">
      <c r="A47" s="607" t="n"/>
      <c r="B47" s="563" t="inlineStr">
        <is>
          <t>理财师004</t>
        </is>
      </c>
      <c r="C47" s="565" t="n">
        <v>148480.8712</v>
      </c>
      <c r="D47" s="565" t="n">
        <v>239568.058976</v>
      </c>
      <c r="E47" s="565" t="n">
        <v>1347505.852672</v>
      </c>
      <c r="F47" s="565" t="n">
        <v>546879.220544</v>
      </c>
      <c r="G47" s="807" t="n">
        <v>1587073.911648</v>
      </c>
      <c r="H47" s="458" t="n">
        <v>0</v>
      </c>
      <c r="I47" s="444" t="n">
        <v>0</v>
      </c>
      <c r="J47" s="444" t="n">
        <v>0</v>
      </c>
      <c r="K47" s="444" t="n">
        <v>0</v>
      </c>
      <c r="L47" s="444" t="n">
        <v>0</v>
      </c>
    </row>
    <row r="48">
      <c r="A48" s="808" t="inlineStr">
        <is>
          <t>合计</t>
        </is>
      </c>
      <c r="B48" s="495" t="n"/>
      <c r="C48" s="460" t="n">
        <v>1393031.033706</v>
      </c>
      <c r="D48" s="460" t="n">
        <v>1620510.578023</v>
      </c>
      <c r="E48" s="460" t="n">
        <v>6156826.7012</v>
      </c>
      <c r="F48" s="460" t="n">
        <v>4593804.132449</v>
      </c>
      <c r="G48" s="461" t="n">
        <v>5688211.199666</v>
      </c>
      <c r="H48" s="809" t="inlineStr"/>
      <c r="I48" s="795" t="inlineStr"/>
      <c r="J48" s="795" t="inlineStr"/>
      <c r="K48" s="795" t="inlineStr"/>
      <c r="L48" s="795" t="inlineStr"/>
    </row>
    <row r="49" ht="14.25" customFormat="1" customHeight="1" s="483">
      <c r="A49" s="815" t="inlineStr">
        <is>
          <t>合计</t>
        </is>
      </c>
      <c r="B49" s="816" t="n"/>
      <c r="C49" s="470" t="n">
        <v>5063873.486633</v>
      </c>
      <c r="D49" s="470" t="n">
        <v>4638733.015692</v>
      </c>
      <c r="E49" s="470" t="n">
        <v>23139244.546279</v>
      </c>
      <c r="F49" s="470" t="n">
        <v>22044302.62007</v>
      </c>
      <c r="G49" s="471" t="n">
        <v>28770521.109795</v>
      </c>
      <c r="H49" s="817" t="inlineStr"/>
      <c r="I49" s="633" t="inlineStr"/>
      <c r="J49" s="633" t="inlineStr"/>
      <c r="K49" s="633" t="inlineStr"/>
      <c r="L49" s="633" t="inlineStr"/>
    </row>
  </sheetData>
  <mergeCells count="22">
    <mergeCell ref="A48:B48"/>
    <mergeCell ref="A30:B30"/>
    <mergeCell ref="A15:B15"/>
    <mergeCell ref="A49:B49"/>
    <mergeCell ref="A41:A42"/>
    <mergeCell ref="A37:B37"/>
    <mergeCell ref="A10:A14"/>
    <mergeCell ref="A31:A33"/>
    <mergeCell ref="A26:B26"/>
    <mergeCell ref="A21:B21"/>
    <mergeCell ref="A1:G1"/>
    <mergeCell ref="A3:A8"/>
    <mergeCell ref="A22:A25"/>
    <mergeCell ref="A35:A36"/>
    <mergeCell ref="A44:A47"/>
    <mergeCell ref="A38:A39"/>
    <mergeCell ref="A43:B43"/>
    <mergeCell ref="A16:A20"/>
    <mergeCell ref="A27:A29"/>
    <mergeCell ref="A40:B40"/>
    <mergeCell ref="A9:B9"/>
    <mergeCell ref="A34:B34"/>
  </mergeCells>
  <conditionalFormatting sqref="C2:F2 H2:J2">
    <cfRule type="cellIs" priority="1" operator="lessThan" dxfId="3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2026-09-23T00:13:09Z</dcterms:created>
  <dcterms:modified xmlns:dcterms="http://purl.org/dc/terms/" xmlns:xsi="http://www.w3.org/2001/XMLSchema-instance" xsi:type="dcterms:W3CDTF">2026-09-23T03:20:05Z</dcterms:modified>
</cp:coreProperties>
</file>